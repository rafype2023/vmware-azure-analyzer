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Migration CSV" sheetId="1" r:id="rId5"/>
  </sheets>
</workbook>
</file>

<file path=xl/comments1.xml><?xml version="1.0" encoding="utf-8"?>
<comments xmlns="http://schemas.openxmlformats.org/spreadsheetml/2006/main">
  <authors>
    <author>tc={AFD85333-25D7-44AD-95F6-E6AC1F00A0A8}</author>
    <author>tc={AB689111-78D4-4865-9452-5AAAB5BB3C63}</author>
    <author>tc={FB2BACDA-C7AB-47C0-AAE8-FD8733F01E46}</author>
    <author>Deltoro, Jose</author>
    <author>tc={AF158FC2-FE72-46DC-9673-373755CCFEF5}</author>
    <author>tc={674F27B6-F540-4603-BE96-C69999C8E51F}</author>
    <author>tc={86A167A0-B253-4549-A64E-D197A93B56BC}</author>
    <author>tc={B66C4D5E-F75D-4508-9395-C589956220BA}</author>
    <author>tc={1138DA21-815C-477E-8EE5-8D9E821A7354}</author>
    <author>tc={D94F815A-C129-47D7-8997-87F89F1482DB}</author>
    <author>tc={0BE9C4ED-1439-43F5-8912-8605C287C5C8}</author>
    <author>tc={04FCFEEE-0DB6-488B-B263-D4DC5A200B7E}</author>
  </authors>
  <commentList>
    <comment ref="R2" authorId="0">
      <text>
        <r>
          <rPr>
            <sz val="11"/>
            <color indexed="8"/>
            <rFont val="Helvetica Neue"/>
          </rPr>
          <t xml:space="preserve">tc={AFD85333-25D7-44AD-95F6-E6AC1F00A0A8}:
[Threaded comment]
Your version of Excel allows you to read this threaded comment; however, any edits to it will get removed if the file is opened in a newer version of Excel. Learn more: https://go.microsoft.com/fwlink/?linkid=870924
Comment:
    Yes / No / Remediated
Track if old server is upgraded in place, new server is built and will need to be migrated, etc. 
</t>
        </r>
      </text>
    </comment>
    <comment ref="S2" authorId="1">
      <text>
        <r>
          <rPr>
            <sz val="11"/>
            <color indexed="8"/>
            <rFont val="Helvetica Neue"/>
          </rPr>
          <t>tc={AB689111-78D4-4865-9452-5AAAB5BB3C63}:
[Threaded comment]
Your version of Excel allows you to read this threaded comment; however, any edits to it will get removed if the file is opened in a newer version of Excel. Learn more: https://go.microsoft.com/fwlink/?linkid=870924
Comment:
    Systems with PCI related data cannot come into JAX/PHX data centers</t>
        </r>
      </text>
    </comment>
    <comment ref="T2" authorId="2">
      <text>
        <r>
          <rPr>
            <sz val="11"/>
            <color indexed="8"/>
            <rFont val="Helvetica Neue"/>
          </rPr>
          <t>tc={FB2BACDA-C7AB-47C0-AAE8-FD8733F01E46}:
[Threaded comment]
Your version of Excel allows you to read this threaded comment; however, any edits to it will get removed if the file is opened in a newer version of Excel. Learn more: https://go.microsoft.com/fwlink/?linkid=870924
Comment:
    Systems that are related to D1 Project. Project start Dec 1st - June 2025</t>
        </r>
      </text>
    </comment>
    <comment ref="AI2" authorId="3">
      <text>
        <r>
          <rPr>
            <sz val="11"/>
            <color indexed="8"/>
            <rFont val="Helvetica Neue"/>
          </rPr>
          <t>Deltoro, Jose:
Milestone 1
Milestone 2
Milestone 3
Milestone 4</t>
        </r>
      </text>
    </comment>
    <comment ref="AL260" authorId="4">
      <text>
        <r>
          <rPr>
            <sz val="11"/>
            <color indexed="8"/>
            <rFont val="Helvetica Neue"/>
          </rPr>
          <t>tc={AF158FC2-FE72-46DC-9673-373755CCFEF5}:
[Threaded comment]
Your version of Excel allows you to read this threaded comment; however, any edits to it will get removed if the file is opened in a newer version of Excel. Learn more: https://go.microsoft.com/fwlink/?linkid=870924
Comment:
    This server also exists as a LAB VM</t>
        </r>
      </text>
    </comment>
    <comment ref="AL261" authorId="5">
      <text>
        <r>
          <rPr>
            <sz val="11"/>
            <color indexed="8"/>
            <rFont val="Helvetica Neue"/>
          </rPr>
          <t>tc={674F27B6-F540-4603-BE96-C69999C8E51F}:
[Threaded comment]
Your version of Excel allows you to read this threaded comment; however, any edits to it will get removed if the file is opened in a newer version of Excel. Learn more: https://go.microsoft.com/fwlink/?linkid=870924
Comment:
    This server also exists as a LAB VM</t>
        </r>
      </text>
    </comment>
    <comment ref="AL263" authorId="6">
      <text>
        <r>
          <rPr>
            <sz val="11"/>
            <color indexed="8"/>
            <rFont val="Helvetica Neue"/>
          </rPr>
          <t>tc={86A167A0-B253-4549-A64E-D197A93B56BC}:
[Threaded comment]
Your version of Excel allows you to read this threaded comment; however, any edits to it will get removed if the file is opened in a newer version of Excel. Learn more: https://go.microsoft.com/fwlink/?linkid=870924
Comment:
    This server also exists as a LAB VM</t>
        </r>
      </text>
    </comment>
    <comment ref="AL264" authorId="7">
      <text>
        <r>
          <rPr>
            <sz val="11"/>
            <color indexed="8"/>
            <rFont val="Helvetica Neue"/>
          </rPr>
          <t>tc={B66C4D5E-F75D-4508-9395-C589956220BA}:
[Threaded comment]
Your version of Excel allows you to read this threaded comment; however, any edits to it will get removed if the file is opened in a newer version of Excel. Learn more: https://go.microsoft.com/fwlink/?linkid=870924
Comment:
    This server also exists as a LAB VM</t>
        </r>
      </text>
    </comment>
    <comment ref="E1003" authorId="8">
      <text>
        <r>
          <rPr>
            <sz val="11"/>
            <color indexed="8"/>
            <rFont val="Helvetica Neue"/>
          </rPr>
          <t>tc={1138DA21-815C-477E-8EE5-8D9E821A7354}: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@Perez, Javier create a new map to determine all ingress database connections for physical servers.</t>
        </r>
      </text>
    </comment>
    <comment ref="AL1156" authorId="9">
      <text>
        <r>
          <rPr>
            <sz val="11"/>
            <color indexed="8"/>
            <rFont val="Helvetica Neue"/>
          </rPr>
          <t>tc={D94F815A-C129-47D7-8997-87F89F1482DB}:
[Threaded comment]
Your version of Excel allows you to read this threaded comment; however, any edits to it will get removed if the file is opened in a newer version of Excel. Learn more: https://go.microsoft.com/fwlink/?linkid=870924
Comment:
    This server also exists as a LAB VM</t>
        </r>
      </text>
    </comment>
    <comment ref="AL1180" authorId="10">
      <text>
        <r>
          <rPr>
            <sz val="11"/>
            <color indexed="8"/>
            <rFont val="Helvetica Neue"/>
          </rPr>
          <t>tc={0BE9C4ED-1439-43F5-8912-8605C287C5C8}:
[Threaded comment]
Your version of Excel allows you to read this threaded comment; however, any edits to it will get removed if the file is opened in a newer version of Excel. Learn more: https://go.microsoft.com/fwlink/?linkid=870924
Comment:
    This server also exists as a LAB VM</t>
        </r>
      </text>
    </comment>
    <comment ref="AL1237" authorId="11">
      <text>
        <r>
          <rPr>
            <sz val="11"/>
            <color indexed="8"/>
            <rFont val="Helvetica Neue"/>
          </rPr>
          <t>tc={04FCFEEE-0DB6-488B-B263-D4DC5A200B7E}:
[Threaded comment]
Your version of Excel allows you to read this threaded comment; however, any edits to it will get removed if the file is opened in a newer version of Excel. Learn more: https://go.microsoft.com/fwlink/?linkid=870924
Comment:
    This server also exists as a LAB VM</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<sst xmlns="http://schemas.openxmlformats.org/spreadsheetml/2006/main" uniqueCount="4899">
  <si>
    <t>Servers</t>
  </si>
  <si>
    <t>Server Name</t>
  </si>
  <si>
    <t>Completed (Yes/No)</t>
  </si>
  <si>
    <t>Pingable</t>
  </si>
  <si>
    <t>App/Role Review</t>
  </si>
  <si>
    <t>Notes</t>
  </si>
  <si>
    <t>Follow up with:</t>
  </si>
  <si>
    <t>Application/Role</t>
  </si>
  <si>
    <t>Application</t>
  </si>
  <si>
    <t>CMDB Status</t>
  </si>
  <si>
    <t>CMDB Environment</t>
  </si>
  <si>
    <t>CMDB Subtype</t>
  </si>
  <si>
    <t>Tester Group</t>
  </si>
  <si>
    <t>Data from Angel</t>
  </si>
  <si>
    <t>From Jose V.</t>
  </si>
  <si>
    <t>Prod/Test/Dev</t>
  </si>
  <si>
    <t>List from Angel</t>
  </si>
  <si>
    <t>Domain Joined</t>
  </si>
  <si>
    <t>Obsolete System</t>
  </si>
  <si>
    <t>PCI Data</t>
  </si>
  <si>
    <t>D1 Systems</t>
  </si>
  <si>
    <t>Historical Systems</t>
  </si>
  <si>
    <t>Rafeal's List (BigFix)</t>
  </si>
  <si>
    <t>Decommissioned List per JT</t>
  </si>
  <si>
    <t>Sales List</t>
  </si>
  <si>
    <t>ITDG</t>
  </si>
  <si>
    <t>Business Owners</t>
  </si>
  <si>
    <t>Application Owners for Testing</t>
  </si>
  <si>
    <t>Application SME</t>
  </si>
  <si>
    <t>PowerShell Application Inventory</t>
  </si>
  <si>
    <t>Faddom App Inventory</t>
  </si>
  <si>
    <t>Faddom Map</t>
  </si>
  <si>
    <t>AMR Application</t>
  </si>
  <si>
    <t>Location</t>
  </si>
  <si>
    <t>Destination - Cloud, FIS, Onsite</t>
  </si>
  <si>
    <t>Migration Phase</t>
  </si>
  <si>
    <t>Migration Group</t>
  </si>
  <si>
    <t>Migration Method</t>
  </si>
  <si>
    <t>Machine Type</t>
  </si>
  <si>
    <t>Powered On</t>
  </si>
  <si>
    <t>Operating System</t>
  </si>
  <si>
    <t>vCPU's</t>
  </si>
  <si>
    <t>vRAM (GB's)</t>
  </si>
  <si>
    <t>Storage Provisioned (MB's)</t>
  </si>
  <si>
    <t>Storage Used (MB's)</t>
  </si>
  <si>
    <t>IP Address</t>
  </si>
  <si>
    <t>Subnet Mask</t>
  </si>
  <si>
    <t>Gateway</t>
  </si>
  <si>
    <t>Tools NAT</t>
  </si>
  <si>
    <t>New IP Address</t>
  </si>
  <si>
    <t>New Subnet Mask</t>
  </si>
  <si>
    <t>New DNS Servers</t>
  </si>
  <si>
    <t>New Gateway</t>
  </si>
  <si>
    <t>Private Cloud - Morpheus Cloud</t>
  </si>
  <si>
    <t>Private Cloud - VMware Datastore</t>
  </si>
  <si>
    <t>Private Cloud - VMware Port Group</t>
  </si>
  <si>
    <t>Public Cloud - Azure SKU Family</t>
  </si>
  <si>
    <t>Public Cloud - Azure SKU</t>
  </si>
  <si>
    <t>Public Cloud - Azure CPU</t>
  </si>
  <si>
    <t>Public Cloud - Azure RAM</t>
  </si>
  <si>
    <t>Public Cloud - Azure Subscription</t>
  </si>
  <si>
    <t>Public Cloud - Azure Resource Group</t>
  </si>
  <si>
    <t>Public Cloud - Azure vNet</t>
  </si>
  <si>
    <t>Public Cloud - Azure Subnet</t>
  </si>
  <si>
    <t>Public Cloud - Azure Tags</t>
  </si>
  <si>
    <t>Backup Method</t>
  </si>
  <si>
    <t>Current Backups in Veeam</t>
  </si>
  <si>
    <t>Hardware Dependancies</t>
  </si>
  <si>
    <t>1502-VC01</t>
  </si>
  <si>
    <t>Yes</t>
  </si>
  <si>
    <t>x</t>
  </si>
  <si>
    <t>Decommissioned</t>
  </si>
  <si>
    <t>Vcenter VMWare</t>
  </si>
  <si>
    <t>Disposed/Retired</t>
  </si>
  <si>
    <t>OFF</t>
  </si>
  <si>
    <t>ESX</t>
  </si>
  <si>
    <t>N/A</t>
  </si>
  <si>
    <t>Not Found</t>
  </si>
  <si>
    <t>No</t>
  </si>
  <si>
    <t>No Migration</t>
  </si>
  <si>
    <t>2M203103GN</t>
  </si>
  <si>
    <t>HPE Simplivity 380 Gen10-3 Nodes cluster for Disaster Recovery</t>
  </si>
  <si>
    <t>No Match</t>
  </si>
  <si>
    <t>TBD</t>
  </si>
  <si>
    <t>2M203103GP</t>
  </si>
  <si>
    <t>2M203103GS</t>
  </si>
  <si>
    <t>2M25210ZY4</t>
  </si>
  <si>
    <t>CHS2-ESXI08 - HP BL460c Gen9 10Gb/20Gb FLB CTO Blade</t>
  </si>
  <si>
    <t>2M25210ZY5</t>
  </si>
  <si>
    <t>CHS2-ESXI01 - HP BL460c Gen9 10Gb/20Gb FLB CTO Blade</t>
  </si>
  <si>
    <t>2M25210ZY6</t>
  </si>
  <si>
    <t>CHS2-ESXI09 - HP BL460c Gen9 10Gb/20Gb FLB CTO Blade</t>
  </si>
  <si>
    <t>2M25210ZY7</t>
  </si>
  <si>
    <t>CHS2-ESXI03 - HP BL460c Gen9 10Gb/20Gb FLB CTO Blade</t>
  </si>
  <si>
    <t>2M25210ZY8</t>
  </si>
  <si>
    <t>CHS2-ESXI12 - HP BL460c Gen9 10Gb/20Gb FLB CTO Blade</t>
  </si>
  <si>
    <t>2M25210ZYB</t>
  </si>
  <si>
    <t>VMWare ESX Hosts - HP BL460c Gen9 10Gb/20Gb FLB CTO Blade</t>
  </si>
  <si>
    <t>VMWare ESX Hosts</t>
  </si>
  <si>
    <t>2M25210ZYC</t>
  </si>
  <si>
    <t>CHS2-ESXI11 - HP BL460c Gen9 10Gb/20Gb FLB CTO Blade</t>
  </si>
  <si>
    <t>2M25210ZYF</t>
  </si>
  <si>
    <t>CHS2-ESXI10 - HP BL460c Gen9 10Gb/20Gb FLB CTO Blade</t>
  </si>
  <si>
    <t>ADBSPR02</t>
  </si>
  <si>
    <t>Active Directory</t>
  </si>
  <si>
    <t>Security</t>
  </si>
  <si>
    <t>Onsite</t>
  </si>
  <si>
    <t>APPSWEBDEV</t>
  </si>
  <si>
    <t>Oracle Cloud</t>
  </si>
  <si>
    <t>AppsWebDEV</t>
  </si>
  <si>
    <t>AppsWeb</t>
  </si>
  <si>
    <t>Installed</t>
  </si>
  <si>
    <t>Development</t>
  </si>
  <si>
    <t>Applications</t>
  </si>
  <si>
    <t>Cloud</t>
  </si>
  <si>
    <t>Physical Server</t>
  </si>
  <si>
    <t>Win2012R2 6.3.9600</t>
  </si>
  <si>
    <t>10.179.4.194</t>
  </si>
  <si>
    <t>No CPU/RAM Info Found</t>
  </si>
  <si>
    <t>APPSWEBPRD</t>
  </si>
  <si>
    <t>MicroStrategy Web Prod</t>
  </si>
  <si>
    <t>MicroStrategy Web</t>
  </si>
  <si>
    <t>Production</t>
  </si>
  <si>
    <t>Review</t>
  </si>
  <si>
    <t>10.179.4.124</t>
  </si>
  <si>
    <t>BIHHPSVR1</t>
  </si>
  <si>
    <t>Miami; Out of scope</t>
  </si>
  <si>
    <t>File Server</t>
  </si>
  <si>
    <t>Win2016 10.0.14393.7070 (1607)</t>
  </si>
  <si>
    <t>10.87.202.15</t>
  </si>
  <si>
    <t>biportal-dev</t>
  </si>
  <si>
    <t>Tutela BiPortal Developments</t>
  </si>
  <si>
    <t>Tutela BiPortalelopments</t>
  </si>
  <si>
    <t>Linux Oracle Enterprise Server 7.9 (5.4.17-2136.327.2.el7uek.x86_64)</t>
  </si>
  <si>
    <t>10.179.4.204</t>
  </si>
  <si>
    <t>BRHHPSVR01</t>
  </si>
  <si>
    <t>10.87.21.15</t>
  </si>
  <si>
    <t>BSDHCP</t>
  </si>
  <si>
    <t>BSINTRASQL</t>
  </si>
  <si>
    <t>Migration</t>
  </si>
  <si>
    <t>Database</t>
  </si>
  <si>
    <t>bsprbi-portal</t>
  </si>
  <si>
    <t>Linux Oracle Enterprise Server 7.9 (5.4.17-2136.321.4.1.el7uek.x86_64)</t>
  </si>
  <si>
    <t>10.179.4.83</t>
  </si>
  <si>
    <t>bspr-edp-cube-02</t>
  </si>
  <si>
    <t>PBX Servers</t>
  </si>
  <si>
    <t>PBX</t>
  </si>
  <si>
    <t>bspr-edp-cucm-01</t>
  </si>
  <si>
    <t>bspr-edp-cucm-02</t>
  </si>
  <si>
    <t>bspr-edp-cucm-03</t>
  </si>
  <si>
    <t>bspr-edp-cucn-01</t>
  </si>
  <si>
    <t>bspr-edp-cups-01</t>
  </si>
  <si>
    <t>bspr-edp-cwms-adm-01</t>
  </si>
  <si>
    <t>bspr-edp-cwms-vcenter-01</t>
  </si>
  <si>
    <t>bspr-edp-paging-srv</t>
  </si>
  <si>
    <t>bspr-edp-pcd-01</t>
  </si>
  <si>
    <t>bspr-edp-uccx-01</t>
  </si>
  <si>
    <t>COHHPSVR02</t>
  </si>
  <si>
    <t>10.87.201.15</t>
  </si>
  <si>
    <t>DCBSPR-ESXI01</t>
  </si>
  <si>
    <t>VMWare ESX Hosts - HP BL460c Gen8 10/20Gb FLB CTO Blade</t>
  </si>
  <si>
    <t>DCBSPR-ESXI01D</t>
  </si>
  <si>
    <t>DCBSPR-ESXI02</t>
  </si>
  <si>
    <t>DCBSPR-ESXI03</t>
  </si>
  <si>
    <t>DCBSPR-ESXI03D</t>
  </si>
  <si>
    <t>DCBSPR-ESXI04</t>
  </si>
  <si>
    <t>DCBSPR-ESXI04D</t>
  </si>
  <si>
    <t>DCBSPR-ESXI05</t>
  </si>
  <si>
    <t>DCBSPR-ESXI06D</t>
  </si>
  <si>
    <t>DCBSPR-ESXI07</t>
  </si>
  <si>
    <t>VMWare ESX Hosts - HP BL460c Gen8 E5-v2 10Gb FLB CTO Blade</t>
  </si>
  <si>
    <t>DCBSPR-ESXI07D</t>
  </si>
  <si>
    <t>DCBSPR-ESXI08</t>
  </si>
  <si>
    <t>DCBSPR-ESXI08D</t>
  </si>
  <si>
    <t>DCBSPR-ESXI09</t>
  </si>
  <si>
    <t>DCBSPR-ESXI09D</t>
  </si>
  <si>
    <t>DCBSPR-ESXI10</t>
  </si>
  <si>
    <t>DCBSPR-ESXI10D</t>
  </si>
  <si>
    <t>DCBSPR-ESXI11</t>
  </si>
  <si>
    <t>DCHHPSVR02</t>
  </si>
  <si>
    <t>10.87.199.35</t>
  </si>
  <si>
    <t>DCPSTG01</t>
  </si>
  <si>
    <t>10.87.200.32</t>
  </si>
  <si>
    <t>DCPVMGT01</t>
  </si>
  <si>
    <t>10.87.200.105</t>
  </si>
  <si>
    <t>DCVBKUP01</t>
  </si>
  <si>
    <t>Miami; Out of scope; updated CMDB status and environment per Angel - jdeltoro 11/10</t>
  </si>
  <si>
    <t>Win2019 10.0.17763.5936 (1809)</t>
  </si>
  <si>
    <t>10.87.200.20</t>
  </si>
  <si>
    <t>DCVBKUP02</t>
  </si>
  <si>
    <t>Win2022 10.0.20348.2527 (21H2)</t>
  </si>
  <si>
    <t>10.87.206.50</t>
  </si>
  <si>
    <t>DCVBPM</t>
  </si>
  <si>
    <t>10.87.199.23</t>
  </si>
  <si>
    <t>DCVBPM01</t>
  </si>
  <si>
    <t>Decommissioned per Angel Lopez - jdeltoro 9/18</t>
  </si>
  <si>
    <t>poweredOff</t>
  </si>
  <si>
    <t>10.87.199.26</t>
  </si>
  <si>
    <t>DC-VC01</t>
  </si>
  <si>
    <t>SIEM Tenable MEXICO CI0068168009 - HP BL460c Gen8 10/20Gb FLB CTO Blade</t>
  </si>
  <si>
    <t>DCVCYAR01</t>
  </si>
  <si>
    <t>Win2022 10.0.20348.2402 (21H2)</t>
  </si>
  <si>
    <t>DCVDC02</t>
  </si>
  <si>
    <t>Domain Controller</t>
  </si>
  <si>
    <t>FIS Infra</t>
  </si>
  <si>
    <t>Juan Espinoza</t>
  </si>
  <si>
    <t>Edgardo Santiago</t>
  </si>
  <si>
    <t>DCVDEPCON01</t>
  </si>
  <si>
    <t>10.87.200.31</t>
  </si>
  <si>
    <t>DCVDWS01</t>
  </si>
  <si>
    <t>Utilities</t>
  </si>
  <si>
    <t>10.87.199.240</t>
  </si>
  <si>
    <t>DCVEDC01</t>
  </si>
  <si>
    <t>10.87.206.24</t>
  </si>
  <si>
    <t>DCVENCOM01</t>
  </si>
  <si>
    <t>10.87.200.27</t>
  </si>
  <si>
    <t>DCVFILE01</t>
  </si>
  <si>
    <t>10.87.199.137</t>
  </si>
  <si>
    <t>DCVFOB01</t>
  </si>
  <si>
    <t>10.87.199.58</t>
  </si>
  <si>
    <t>DCVINTRA01</t>
  </si>
  <si>
    <t>10.87.200.40</t>
  </si>
  <si>
    <t>DCVMBD01</t>
  </si>
  <si>
    <t>Out of Scope</t>
  </si>
  <si>
    <t>10.87.199.11</t>
  </si>
  <si>
    <t>DCVMT01</t>
  </si>
  <si>
    <t>Mitel HQ Phone system</t>
  </si>
  <si>
    <t>10.87.199.130</t>
  </si>
  <si>
    <t>DCVMT02</t>
  </si>
  <si>
    <t>10.87.200.26</t>
  </si>
  <si>
    <t>DCVMTBM01</t>
  </si>
  <si>
    <t>10.87.200.28</t>
  </si>
  <si>
    <t>DCVMTDVS01</t>
  </si>
  <si>
    <t>Win2019 10.0.17763.2061 (1809)</t>
  </si>
  <si>
    <t>10.87.200.29</t>
  </si>
  <si>
    <t>DCVNS01</t>
  </si>
  <si>
    <t>10.87.199.54</t>
  </si>
  <si>
    <t>DCVRPT01</t>
  </si>
  <si>
    <t>Win2019 10.0.17763.5579 (1809)</t>
  </si>
  <si>
    <t>10.87.199.172</t>
  </si>
  <si>
    <t>DCVRS01</t>
  </si>
  <si>
    <t>10.87.199.145</t>
  </si>
  <si>
    <t>DCVSQL01</t>
  </si>
  <si>
    <t>10.87.199.36</t>
  </si>
  <si>
    <t>DCVSQN01</t>
  </si>
  <si>
    <t>10.87.200.33</t>
  </si>
  <si>
    <t>DCVSTG01</t>
  </si>
  <si>
    <t>10.87.200.23</t>
  </si>
  <si>
    <t>DCVSYN01</t>
  </si>
  <si>
    <t>10.87.199.50</t>
  </si>
  <si>
    <t>DCVTRKIT01</t>
  </si>
  <si>
    <t>10.87.199.39</t>
  </si>
  <si>
    <t>DCVTRKIT02</t>
  </si>
  <si>
    <t>10.87.199.40</t>
  </si>
  <si>
    <t>DCVWEB01</t>
  </si>
  <si>
    <t>10.87.199.173</t>
  </si>
  <si>
    <t>DCVWGOLD01</t>
  </si>
  <si>
    <t>10.87.199.200</t>
  </si>
  <si>
    <t>DEHHPSVR01</t>
  </si>
  <si>
    <t>10.87.205.15</t>
  </si>
  <si>
    <t>DOHHPSVR01</t>
  </si>
  <si>
    <t>FL; Out of Scope</t>
  </si>
  <si>
    <t>10.83.164.15</t>
  </si>
  <si>
    <t>EZLENDER-IDM-VS</t>
  </si>
  <si>
    <t>Win2008R2 6.1.7601</t>
  </si>
  <si>
    <t>10.81.238.49</t>
  </si>
  <si>
    <t>FB072378</t>
  </si>
  <si>
    <t>VMware ESXi UIP</t>
  </si>
  <si>
    <t>10.30.142.172</t>
  </si>
  <si>
    <t>FB1000MGR</t>
  </si>
  <si>
    <t>FoundStone</t>
  </si>
  <si>
    <t>Available</t>
  </si>
  <si>
    <t>FB51058</t>
  </si>
  <si>
    <t>FBINFTECSANT</t>
  </si>
  <si>
    <t>FB52851</t>
  </si>
  <si>
    <t>Budget Planning Server COB (DR)</t>
  </si>
  <si>
    <t>Budget Planning COB (DR)</t>
  </si>
  <si>
    <t>FB52954</t>
  </si>
  <si>
    <t>Sungard Application SQL Server</t>
  </si>
  <si>
    <t xml:space="preserve">Sungard Application SQL </t>
  </si>
  <si>
    <t>FB53661</t>
  </si>
  <si>
    <t>File Server COB</t>
  </si>
  <si>
    <t>FileCOB</t>
  </si>
  <si>
    <t>FB53916</t>
  </si>
  <si>
    <t>No Concerns</t>
  </si>
  <si>
    <t>Domain Controller | SA1519</t>
  </si>
  <si>
    <t>Prod</t>
  </si>
  <si>
    <t>fb53916.firstbank.local</t>
  </si>
  <si>
    <t>Santurce 1519</t>
  </si>
  <si>
    <t>FIS</t>
  </si>
  <si>
    <t>Milestone 1</t>
  </si>
  <si>
    <t>New Build</t>
  </si>
  <si>
    <t>No Migration; New Build Replacement</t>
  </si>
  <si>
    <t>Virtual Server</t>
  </si>
  <si>
    <t>poweredOn</t>
  </si>
  <si>
    <t>10.19.137.4</t>
  </si>
  <si>
    <t>FB54508</t>
  </si>
  <si>
    <t>Included in JT's decommission list</t>
  </si>
  <si>
    <t>Domain Controller 4 | MR1130</t>
  </si>
  <si>
    <t>MR1130</t>
  </si>
  <si>
    <t>10.30.137.10</t>
  </si>
  <si>
    <t>255.255.255.0</t>
  </si>
  <si>
    <t>FB54509</t>
  </si>
  <si>
    <t>Decommissioned per Angel Lopez - jdeltoro 7/2</t>
  </si>
  <si>
    <t>Domain Controller 5 | MR1130</t>
  </si>
  <si>
    <t>10.30.137.11</t>
  </si>
  <si>
    <t>FB54510</t>
  </si>
  <si>
    <t>Included in JT's decommission list; updated CMDB status and environment per Angel - jdeltoro 11/10</t>
  </si>
  <si>
    <t>10.30.137.9</t>
  </si>
  <si>
    <t>10.101.4.4, 10.101.4.5</t>
  </si>
  <si>
    <t>Standard Dlsv6 Family vCPUs</t>
  </si>
  <si>
    <t>Standard D8ls_v6</t>
  </si>
  <si>
    <t>Commvault Cloud</t>
  </si>
  <si>
    <t>FB54511</t>
  </si>
  <si>
    <t>Domain Controller 1 | MR1130</t>
  </si>
  <si>
    <t>10.30.137.4</t>
  </si>
  <si>
    <t>FB54512</t>
  </si>
  <si>
    <t>Domain Controller 2 | MR1130</t>
  </si>
  <si>
    <t>10.30.137.5</t>
  </si>
  <si>
    <t>FB55130</t>
  </si>
  <si>
    <t>To Be Decommissioned; No Migrate per Omar - Backup Repository Only</t>
  </si>
  <si>
    <t>Guardium - Data Encryption</t>
  </si>
  <si>
    <t>UAT</t>
  </si>
  <si>
    <t>Pending</t>
  </si>
  <si>
    <t>Omar Ramos / Luis Charti</t>
  </si>
  <si>
    <t>10.30.130.54</t>
  </si>
  <si>
    <t>FB55388</t>
  </si>
  <si>
    <t>Requires follow up discussion during AMR on whether this will be need in Azure. Also what would be done for shares in FIS.; Follow up with Omar about MIRC and what that is? - jdeltoro 5/9; Per Omar MIRC instance has been decommissioned and this can be grouped with Varonis systems; needs follow up discussion with Doug - jdeltoro 5/13; updated CMDB status and environment per Angel - jdeltoro 11/10</t>
  </si>
  <si>
    <t>Varonis\MIRC SQL Server</t>
  </si>
  <si>
    <t>Varonis</t>
  </si>
  <si>
    <t>Luis Arvelo</t>
  </si>
  <si>
    <t>FB55388.firstbank.local</t>
  </si>
  <si>
    <t>Milestone 2</t>
  </si>
  <si>
    <t>Group 4</t>
  </si>
  <si>
    <t>Win2012 6.2.9200</t>
  </si>
  <si>
    <t>10.30.130.141</t>
  </si>
  <si>
    <t>FB55406</t>
  </si>
  <si>
    <t>Development - Sharepoint UAT</t>
  </si>
  <si>
    <t>Sharepoint</t>
  </si>
  <si>
    <t>Completed</t>
  </si>
  <si>
    <t>No Agent</t>
  </si>
  <si>
    <r>
      <rPr>
        <strike val="1"/>
        <sz val="11"/>
        <color indexed="8"/>
        <rFont val="Calibri"/>
      </rPr>
      <t xml:space="preserve">Win2012, </t>
    </r>
    <r>
      <rPr>
        <sz val="11"/>
        <color indexed="8"/>
        <rFont val="Calibri"/>
      </rPr>
      <t>Win2008</t>
    </r>
  </si>
  <si>
    <t>10.30.153.78</t>
  </si>
  <si>
    <t>FB55408</t>
  </si>
  <si>
    <t>SharePoint UIT\DEV</t>
  </si>
  <si>
    <t>SharePoint</t>
  </si>
  <si>
    <t>Dev</t>
  </si>
  <si>
    <t>10.30.140.6</t>
  </si>
  <si>
    <t>FB55409</t>
  </si>
  <si>
    <t>ProNet Scanning Server</t>
  </si>
  <si>
    <t xml:space="preserve">ProNet Scanning </t>
  </si>
  <si>
    <t>Monitoring</t>
  </si>
  <si>
    <t>FB55409.firstbank.local</t>
  </si>
  <si>
    <t>10.30.136.55</t>
  </si>
  <si>
    <t>FB55415</t>
  </si>
  <si>
    <t>IBM Encription Key Manager</t>
  </si>
  <si>
    <t>Standard D4ls_v6</t>
  </si>
  <si>
    <t>FB55416</t>
  </si>
  <si>
    <t>Changed CMDB values to OFF per Angel - jdeltoro 11/10</t>
  </si>
  <si>
    <t>IBM Security Guardium</t>
  </si>
  <si>
    <t>10.30.130.161</t>
  </si>
  <si>
    <t>FB55419</t>
  </si>
  <si>
    <t>SharePoint Web Server - Is a virtual server</t>
  </si>
  <si>
    <t xml:space="preserve">SharePoint Web- Is a virtual </t>
  </si>
  <si>
    <t>FB55419.firstbank.local</t>
  </si>
  <si>
    <t>10.30.137.230</t>
  </si>
  <si>
    <t>Standard Dsv6 Family vCPUs</t>
  </si>
  <si>
    <t>Standard D8s_v6</t>
  </si>
  <si>
    <t>fb55420</t>
  </si>
  <si>
    <t>Follow up with Omar identifying databases and target destination for database and application - jdeltoro 5/5</t>
  </si>
  <si>
    <t>SQL Server Cluster Node 2</t>
  </si>
  <si>
    <t>SQLCluster Node 2</t>
  </si>
  <si>
    <t>Win2003 5.2.3790</t>
  </si>
  <si>
    <t>10.30.141.32</t>
  </si>
  <si>
    <t>FB55421</t>
  </si>
  <si>
    <t>SharePoint SQL</t>
  </si>
  <si>
    <t>10.30.130.64</t>
  </si>
  <si>
    <t>FB55426</t>
  </si>
  <si>
    <t>Decommissioned; Modified CMDB status and environment to off per Angel - jdeltoro 11/10</t>
  </si>
  <si>
    <t>On-Base APPL</t>
  </si>
  <si>
    <t>FB55431</t>
  </si>
  <si>
    <t>SharePoint | INTRA-SPS-APP01</t>
  </si>
  <si>
    <t>FB55431.firstbank.local</t>
  </si>
  <si>
    <t>10.30.137.231</t>
  </si>
  <si>
    <t>FB55432</t>
  </si>
  <si>
    <t>Sharepoint SQL</t>
  </si>
  <si>
    <t>10.30.130.65</t>
  </si>
  <si>
    <t>FB55433</t>
  </si>
  <si>
    <t>SharePoint | INT-SPS-WFE02 | DMZ</t>
  </si>
  <si>
    <t>FB55434</t>
  </si>
  <si>
    <t>SharePoint | INT-SPS-WFE01 | DMZ</t>
  </si>
  <si>
    <t>FB55460</t>
  </si>
  <si>
    <t>To Be Decommissioned; No Migrate</t>
  </si>
  <si>
    <t>Cell Manager | PHILADELPHIA</t>
  </si>
  <si>
    <t>Standard D4s_v6</t>
  </si>
  <si>
    <t>FB55461</t>
  </si>
  <si>
    <t>VI Server Spare</t>
  </si>
  <si>
    <t>VISpare</t>
  </si>
  <si>
    <t>FB55470</t>
  </si>
  <si>
    <t>IBM Security Guardium Central Manager</t>
  </si>
  <si>
    <t>10.30.130.98</t>
  </si>
  <si>
    <t>FB55473</t>
  </si>
  <si>
    <t>Guardium Management</t>
  </si>
  <si>
    <t>IBM Security Guardium Data Encryption DSM Primary Collector</t>
  </si>
  <si>
    <t>Guardium</t>
  </si>
  <si>
    <t>Group 2</t>
  </si>
  <si>
    <t>10.30.130.97  </t>
  </si>
  <si>
    <t>FB55475</t>
  </si>
  <si>
    <t>SQL Server VAM &amp; PayPlus (COB)</t>
  </si>
  <si>
    <t>SQLVAM &amp; PayPlus (COB)</t>
  </si>
  <si>
    <t>FB55478</t>
  </si>
  <si>
    <t>IBM Security Guardium Colector</t>
  </si>
  <si>
    <t>10.30.130.100</t>
  </si>
  <si>
    <t>FB55480</t>
  </si>
  <si>
    <t>Guardium Management; updated CMDB status and environment per Angel - jdeltoro 11/10</t>
  </si>
  <si>
    <t>IBM Security Guardium Data Encryption DSM Secondary Collector</t>
  </si>
  <si>
    <t>10.30.130.99</t>
  </si>
  <si>
    <t>FB55632</t>
  </si>
  <si>
    <t>HP DATA PROTECTOR</t>
  </si>
  <si>
    <t>Standard D2ls_v6</t>
  </si>
  <si>
    <t>FB55801</t>
  </si>
  <si>
    <t>Follow up with Dean Hanna or Adam Lucero - jdeltoro 5/7</t>
  </si>
  <si>
    <t>IBM TEM Server - SQL/APP (BigFix)</t>
  </si>
  <si>
    <t>BigFix</t>
  </si>
  <si>
    <t>IBM TEM Server - SQL/APP</t>
  </si>
  <si>
    <t>Mayra Gascot</t>
  </si>
  <si>
    <t>FB55801.firstbank.local</t>
  </si>
  <si>
    <t>10.30.130.57</t>
  </si>
  <si>
    <t>Standard Esv6 Family vCPUs</t>
  </si>
  <si>
    <t>Standard E8s_v6</t>
  </si>
  <si>
    <t>FB55801-OLD</t>
  </si>
  <si>
    <t>IBM TEM- SQL/APP</t>
  </si>
  <si>
    <t>FB55977</t>
  </si>
  <si>
    <t>Xamine ETL COB</t>
  </si>
  <si>
    <t>Xamine</t>
  </si>
  <si>
    <t>TSA/CDO</t>
  </si>
  <si>
    <t>Julio Rivas</t>
  </si>
  <si>
    <t>Gustavo Rodriguez/Eric Lopez</t>
  </si>
  <si>
    <t>10.19.134.242</t>
  </si>
  <si>
    <t>FB55978</t>
  </si>
  <si>
    <t>Milestone 3</t>
  </si>
  <si>
    <t>Linux Red Hat Enterprise 8.9 (4.18.0-513.5.1.el8_9.x86_64)</t>
  </si>
  <si>
    <t>10.30.140.166</t>
  </si>
  <si>
    <t>10.100.140.166</t>
  </si>
  <si>
    <t>FB55979</t>
  </si>
  <si>
    <t>Xamine Oracle Server</t>
  </si>
  <si>
    <t>Linux Red Hat Enterprise 8.9 (4.18.0-477.21.1.el8_8.x86_64)</t>
  </si>
  <si>
    <t>10.30.140.162</t>
  </si>
  <si>
    <t>10.100.140.162</t>
  </si>
  <si>
    <t>FB55980</t>
  </si>
  <si>
    <t>Validate No Migrate</t>
  </si>
  <si>
    <t>XAMINE Oracle Server Contingency</t>
  </si>
  <si>
    <t>Contingency</t>
  </si>
  <si>
    <t>Arterial</t>
  </si>
  <si>
    <t>Linux Red Hat Enterprise 8.4 (4.18.0-305.el8.x86_64)</t>
  </si>
  <si>
    <t>10.20.102.12</t>
  </si>
  <si>
    <t>FB55981</t>
  </si>
  <si>
    <t>XAMINE Report Server Prod</t>
  </si>
  <si>
    <t>10.30.134.241  </t>
  </si>
  <si>
    <t>10.100.134.241</t>
  </si>
  <si>
    <t>FB55982</t>
  </si>
  <si>
    <t>FB55983</t>
  </si>
  <si>
    <t>VMware ESXi COB</t>
  </si>
  <si>
    <t>FB55984</t>
  </si>
  <si>
    <t>VMware ESXi Sungard</t>
  </si>
  <si>
    <t>fb55985</t>
  </si>
  <si>
    <t>FB55986</t>
  </si>
  <si>
    <t>Encompass Database - MSSQL</t>
  </si>
  <si>
    <t>Encompass</t>
  </si>
  <si>
    <t>STAGING</t>
  </si>
  <si>
    <t>Mortgage Sysytems</t>
  </si>
  <si>
    <t>Luzmarie Velez </t>
  </si>
  <si>
    <t>Waldemar Velez</t>
  </si>
  <si>
    <t>Group 3</t>
  </si>
  <si>
    <t>Win2019 10.0.17763.5329 (1809)</t>
  </si>
  <si>
    <t>10.30.130.177</t>
  </si>
  <si>
    <t>FB55987</t>
  </si>
  <si>
    <t>ESXI Host</t>
  </si>
  <si>
    <t>SIT</t>
  </si>
  <si>
    <t>POC - Unknown at this time</t>
  </si>
  <si>
    <t>10.30.130.15</t>
  </si>
  <si>
    <t>Standard E2s_v6</t>
  </si>
  <si>
    <t>FB55988</t>
  </si>
  <si>
    <t>VMware ESXi Linux</t>
  </si>
  <si>
    <t>VMware ESXi</t>
  </si>
  <si>
    <t>FB55989</t>
  </si>
  <si>
    <t>FB55990</t>
  </si>
  <si>
    <t>FB55991</t>
  </si>
  <si>
    <t>FB55992</t>
  </si>
  <si>
    <t>Standard D2s_v6</t>
  </si>
  <si>
    <t>fb56000</t>
  </si>
  <si>
    <t>Bancware LIBOR ALM Compute DR</t>
  </si>
  <si>
    <t>Bancware</t>
  </si>
  <si>
    <t>Financial Planning</t>
  </si>
  <si>
    <t>LIBOR ALM Compute DR</t>
  </si>
  <si>
    <t>Maria Medina</t>
  </si>
  <si>
    <t>10.19.137.32</t>
  </si>
  <si>
    <t>FB56002</t>
  </si>
  <si>
    <t>VMware ESXi UIP COB</t>
  </si>
  <si>
    <t>10.19.142.22</t>
  </si>
  <si>
    <t>FB56003</t>
  </si>
  <si>
    <t>10.20.114.36</t>
  </si>
  <si>
    <t>FB56004</t>
  </si>
  <si>
    <t>10.20.114.34</t>
  </si>
  <si>
    <t>FB56228</t>
  </si>
  <si>
    <t>VMware ESX 5.1.0 For E3</t>
  </si>
  <si>
    <t>10.30.142.67</t>
  </si>
  <si>
    <t>FB56229</t>
  </si>
  <si>
    <t>SharePoint SQL UAT</t>
  </si>
  <si>
    <t>10.30.140.194</t>
  </si>
  <si>
    <t>FB56230</t>
  </si>
  <si>
    <t>SQL UAT Proyecto SQL 2012 Migration Staging</t>
  </si>
  <si>
    <t>SQL Proyecto SQL 2012 Migration Staging</t>
  </si>
  <si>
    <t>fb56231</t>
  </si>
  <si>
    <t xml:space="preserve">Shared Oracle database with multiple applications.  Shares with D1 systems.  </t>
  </si>
  <si>
    <t>Digital One - Xpress Development Database Server, TPSS - Oracle Server</t>
  </si>
  <si>
    <t>Xpress</t>
  </si>
  <si>
    <t>UIT</t>
  </si>
  <si>
    <t>TSA</t>
  </si>
  <si>
    <t>Digital One - Xpress Development Database Server - Oracle</t>
  </si>
  <si>
    <t>Eric Lopez</t>
  </si>
  <si>
    <t>FB56231 - D1</t>
  </si>
  <si>
    <t>Xpress, TPSS</t>
  </si>
  <si>
    <t>Group 6</t>
  </si>
  <si>
    <t>D1</t>
  </si>
  <si>
    <t>Linux Oracle Enterprise Server 7.9 (4.1.12-124.68.3.el7uek.x86_64)</t>
  </si>
  <si>
    <t>10.30.140.160</t>
  </si>
  <si>
    <t>10.100.140.160</t>
  </si>
  <si>
    <t>FB56232</t>
  </si>
  <si>
    <t>FB57483</t>
  </si>
  <si>
    <t>Oracle Xamine Database</t>
  </si>
  <si>
    <t>FB57484</t>
  </si>
  <si>
    <t>Sharepoint | INT-SQL-SPS01  | DMZ</t>
  </si>
  <si>
    <t>FB57487</t>
  </si>
  <si>
    <t>SQL Cluster</t>
  </si>
  <si>
    <t>FB57490</t>
  </si>
  <si>
    <t>Server appears to be decommissioned;</t>
  </si>
  <si>
    <t>Xamine Business Object UAT</t>
  </si>
  <si>
    <t>fb57490.firstbank.local</t>
  </si>
  <si>
    <t>10.30.140.133</t>
  </si>
  <si>
    <t>FB57492</t>
  </si>
  <si>
    <t>10.30.147.11</t>
  </si>
  <si>
    <t>FB57493</t>
  </si>
  <si>
    <t>Decommissioned per Angel - jdeltoro 5/7</t>
  </si>
  <si>
    <t>FB57494</t>
  </si>
  <si>
    <t>VMware ESXi Dev</t>
  </si>
  <si>
    <t>FB57766</t>
  </si>
  <si>
    <t>FB57767</t>
  </si>
  <si>
    <t>FB57768</t>
  </si>
  <si>
    <t>On Base / Pay by Phone / IIS Consolidation / CD Rates</t>
  </si>
  <si>
    <t>Onbase</t>
  </si>
  <si>
    <t>On Base / Pay by Phone / IIS Consolidation</t>
  </si>
  <si>
    <t>Sharon Gutierrez</t>
  </si>
  <si>
    <t>Angel Ocasio / Kevin Cruz, TSA - Wilfredo Ruiz</t>
  </si>
  <si>
    <t>10.30.137.101</t>
  </si>
  <si>
    <t>FB57769</t>
  </si>
  <si>
    <t>10.30.137.102</t>
  </si>
  <si>
    <t>FB57773</t>
  </si>
  <si>
    <t>IP Security</t>
  </si>
  <si>
    <t>FB57881</t>
  </si>
  <si>
    <t>IP Security MR876</t>
  </si>
  <si>
    <t>FB58088</t>
  </si>
  <si>
    <t>FB58089</t>
  </si>
  <si>
    <t>Decommissioned per ticket CH25000182766 in CMC meeting - jdeltoro 9/18</t>
  </si>
  <si>
    <t>XPRESS Oracle Server COB</t>
  </si>
  <si>
    <t>XPRESS OracleCOB</t>
  </si>
  <si>
    <t>Linux Oracle Enterprise Server 7.9 (3.10.0-1160.92.1.0.1.el7.x86_64)</t>
  </si>
  <si>
    <t>10.19.130.74</t>
  </si>
  <si>
    <t>FB58260</t>
  </si>
  <si>
    <t>Bancware ALM Compute Server</t>
  </si>
  <si>
    <t xml:space="preserve">Bancware ALM  </t>
  </si>
  <si>
    <t>ALM Compute Server</t>
  </si>
  <si>
    <t>FB58261</t>
  </si>
  <si>
    <t>FB58262</t>
  </si>
  <si>
    <t>FB58263</t>
  </si>
  <si>
    <t>Analytical and Data Intergration Server</t>
  </si>
  <si>
    <t xml:space="preserve">Analytical and Data Intergration </t>
  </si>
  <si>
    <t>FB58267</t>
  </si>
  <si>
    <t>FB58268</t>
  </si>
  <si>
    <t>FB58269</t>
  </si>
  <si>
    <t>Varonis Database</t>
  </si>
  <si>
    <t>FB58270</t>
  </si>
  <si>
    <t>FB59110</t>
  </si>
  <si>
    <t>Xamine ETL Server Prod</t>
  </si>
  <si>
    <t>10.30.134.123</t>
  </si>
  <si>
    <t>10.100.134.123</t>
  </si>
  <si>
    <t>FB59111</t>
  </si>
  <si>
    <t>Xamine Oracle DB Server Prod</t>
  </si>
  <si>
    <t>Linux Red Hat Enterprise 8.9 (4.18.0-425.19.2.el8_7.x86_64)</t>
  </si>
  <si>
    <t>10.30.130.73</t>
  </si>
  <si>
    <t>10.100.130.73</t>
  </si>
  <si>
    <t>FB60572</t>
  </si>
  <si>
    <t>HP PROLIANT DL320E GEN8 HOT PLUG 4LFF CTO SERVER (Replacement MOEX Branches)</t>
  </si>
  <si>
    <t>HP PROLIANT DL320E GEN8 HOT PLUG 4LFF CTO(Replacement MOEX Branches)</t>
  </si>
  <si>
    <t>FB60581</t>
  </si>
  <si>
    <t>HP</t>
  </si>
  <si>
    <t>FB62511</t>
  </si>
  <si>
    <t>10.30.130.184</t>
  </si>
  <si>
    <t>FB62512</t>
  </si>
  <si>
    <t>SQL Cluster 2008 R2</t>
  </si>
  <si>
    <t>FB62519</t>
  </si>
  <si>
    <t>Follow up with Omar need to determine databases and related applications- jdeltoro 5/7</t>
  </si>
  <si>
    <t>SQL Cluster Server NODE1</t>
  </si>
  <si>
    <t>SQL ClusterNODE1</t>
  </si>
  <si>
    <t>Shared Infrastructure</t>
  </si>
  <si>
    <t>Win2016 10.0.14393.6614 (1607)</t>
  </si>
  <si>
    <t>10.30.130.235</t>
  </si>
  <si>
    <t>FB62618</t>
  </si>
  <si>
    <t>BARR - TEST / UAT / BARRNJE</t>
  </si>
  <si>
    <t>BARR</t>
  </si>
  <si>
    <t>10.30.133.59</t>
  </si>
  <si>
    <t>FB62640</t>
  </si>
  <si>
    <t>Follow up with Omar on masking question with Doug - jdeltoro 5/7</t>
  </si>
  <si>
    <t>IBM Optim Information Analyzer (DB Classification and Masking)</t>
  </si>
  <si>
    <t>IBM Optim</t>
  </si>
  <si>
    <t>10.30.130.150</t>
  </si>
  <si>
    <t>FB62641</t>
  </si>
  <si>
    <t>Currently version 11.5; Sends to Central Manager</t>
  </si>
  <si>
    <t>10.30.130.151</t>
  </si>
  <si>
    <t>FB63350</t>
  </si>
  <si>
    <t>Check back after ASP Migration</t>
  </si>
  <si>
    <t>SNA server</t>
  </si>
  <si>
    <t xml:space="preserve">SNA </t>
  </si>
  <si>
    <t>10.30.133.19</t>
  </si>
  <si>
    <t>FB63351</t>
  </si>
  <si>
    <t>10.30.133.14</t>
  </si>
  <si>
    <t>FB63352</t>
  </si>
  <si>
    <t>BARR SNA Philadelphia</t>
  </si>
  <si>
    <t>Philladelphia</t>
  </si>
  <si>
    <t>10.0.151.19</t>
  </si>
  <si>
    <t>FB63353</t>
  </si>
  <si>
    <t>BARR SNA COB</t>
  </si>
  <si>
    <t>10.20.105.14</t>
  </si>
  <si>
    <t>FB63367</t>
  </si>
  <si>
    <t>SQL - DR Contingency Site</t>
  </si>
  <si>
    <t>Win2016 10.0.14393.6897 (1607)</t>
  </si>
  <si>
    <t>10.0.151.114</t>
  </si>
  <si>
    <t>FB63368</t>
  </si>
  <si>
    <t>VMware ESXi (LAB)</t>
  </si>
  <si>
    <t>10.30.142.171</t>
  </si>
  <si>
    <t>FB63369</t>
  </si>
  <si>
    <t>VMware ESXi Prod</t>
  </si>
  <si>
    <t>10.30.142.137</t>
  </si>
  <si>
    <t>FB63370</t>
  </si>
  <si>
    <t>New File Server cluster Node 1 (FBA01016)</t>
  </si>
  <si>
    <t>10.30.137.193</t>
  </si>
  <si>
    <t>10.30.137.1</t>
  </si>
  <si>
    <t>FB63371</t>
  </si>
  <si>
    <t>SQL Cluster Server NODE2</t>
  </si>
  <si>
    <t>SQL ClusterNODE2</t>
  </si>
  <si>
    <t>Win2016 10.0.14393.6981 (1607)</t>
  </si>
  <si>
    <t>10.30.130.236</t>
  </si>
  <si>
    <t>FB63372</t>
  </si>
  <si>
    <t>10.30.142.101</t>
  </si>
  <si>
    <t>FB63373</t>
  </si>
  <si>
    <t>10.30.142.103</t>
  </si>
  <si>
    <t>FB63374</t>
  </si>
  <si>
    <t>Needs analysis post OneDrive project</t>
  </si>
  <si>
    <t>File Server cluster Node 2 (FBA01016 - Cluster Name) - Home Directories, Dept Shares, etc.</t>
  </si>
  <si>
    <t>File Server cluster Test Node 2 (FBA01016)</t>
  </si>
  <si>
    <t>10.30.137.194</t>
  </si>
  <si>
    <t>FB63375</t>
  </si>
  <si>
    <t>Cell Manager | COB</t>
  </si>
  <si>
    <t>FB63376</t>
  </si>
  <si>
    <t>DataProtector New 2</t>
  </si>
  <si>
    <t>FB63377</t>
  </si>
  <si>
    <t>10.30.142.119</t>
  </si>
  <si>
    <t>FB63434</t>
  </si>
  <si>
    <t>HP DL320e Gen8 Hot Plug 4LFF CTO Server</t>
  </si>
  <si>
    <t xml:space="preserve">HP DL320e Gen8 Hot Plug 4LFF CTO </t>
  </si>
  <si>
    <t>FB63435</t>
  </si>
  <si>
    <t>FB63911</t>
  </si>
  <si>
    <t>Repurposed to be new node in file server cluster per ticket CH25000182444 - jdeltoro 9/18; updated CMDB status and environment per Angel - jdeltoro 11/10</t>
  </si>
  <si>
    <t>File Server Cluster Node 3 - FBA01016</t>
  </si>
  <si>
    <t>Enterprise Vault -  (NEW)</t>
  </si>
  <si>
    <t>10.30.137.197</t>
  </si>
  <si>
    <t>FB63939</t>
  </si>
  <si>
    <t>VMware ESXi PCI COB</t>
  </si>
  <si>
    <t>10.19.149.4</t>
  </si>
  <si>
    <t>FB63940</t>
  </si>
  <si>
    <t>Follow up with Omar on databases and related applications - jdeltoro 5/8; appro, debt manager, d1, onesumx, etc.</t>
  </si>
  <si>
    <t>PCI SQL Cluster</t>
  </si>
  <si>
    <t>10.30.147.4</t>
  </si>
  <si>
    <t>FB63941</t>
  </si>
  <si>
    <t>VMware ESXi PCI</t>
  </si>
  <si>
    <t>10.19.142.40</t>
  </si>
  <si>
    <t>FB63942</t>
  </si>
  <si>
    <t>Follow up with Omar - jdeltoro 5/8</t>
  </si>
  <si>
    <t>COB PCI SQL Cluster</t>
  </si>
  <si>
    <t>COB SQL Cluster</t>
  </si>
  <si>
    <t>10.19.147.4</t>
  </si>
  <si>
    <t>FB63944</t>
  </si>
  <si>
    <t>PCI SQL Reporting Services</t>
  </si>
  <si>
    <t>SQL Reporting Services</t>
  </si>
  <si>
    <t>10.30.147.6</t>
  </si>
  <si>
    <t>FB63945</t>
  </si>
  <si>
    <t>10.30.149.6</t>
  </si>
  <si>
    <t>FB63946</t>
  </si>
  <si>
    <t>10.30.149.5</t>
  </si>
  <si>
    <t>FB63960</t>
  </si>
  <si>
    <t>10.30.147.5</t>
  </si>
  <si>
    <t>FB63961</t>
  </si>
  <si>
    <t>10.19.142.42</t>
  </si>
  <si>
    <t>FB63962</t>
  </si>
  <si>
    <t>10.19.147.5</t>
  </si>
  <si>
    <t>FB63963</t>
  </si>
  <si>
    <t>10.19.149.6</t>
  </si>
  <si>
    <t>FB63964</t>
  </si>
  <si>
    <t>COB PCI SQL Reporting Services</t>
  </si>
  <si>
    <t>COB SQL Reporting Services</t>
  </si>
  <si>
    <t>10.19.147.6</t>
  </si>
  <si>
    <t>FB64006</t>
  </si>
  <si>
    <t>Reviewed with Omar - no concerns;Digital Banking team didn't recognize this SQL Cluster; Edgardo verifyed that he is seeing SQL Instances related to Digital Banking</t>
  </si>
  <si>
    <t>Digital Banking - MSSQL Cluster Node 1</t>
  </si>
  <si>
    <t>Digital Banking</t>
  </si>
  <si>
    <t>Digital Banking - SQL Cluster Node 1</t>
  </si>
  <si>
    <t>In Progress</t>
  </si>
  <si>
    <t>Milestone 4</t>
  </si>
  <si>
    <t>10.30.130.103</t>
  </si>
  <si>
    <t>FB64007</t>
  </si>
  <si>
    <t>Reviewed with Omar - no concerns;Digital Banking team didn't recognize this SQL Cluster</t>
  </si>
  <si>
    <t>Digital Banking - MSSQL Cluster Node 2</t>
  </si>
  <si>
    <t>Digital Banking - SQL Cluster  Node 2</t>
  </si>
  <si>
    <t>10.30.130.104</t>
  </si>
  <si>
    <t>FB64018</t>
  </si>
  <si>
    <t>Per Omar and Edgardo no migrate - jdeltoro 5/13</t>
  </si>
  <si>
    <t>Encompass DB COB</t>
  </si>
  <si>
    <t>10.19.130.133</t>
  </si>
  <si>
    <t>FB64108</t>
  </si>
  <si>
    <t>VMware ESXi IC &amp; Intranet Prod</t>
  </si>
  <si>
    <t>VMware ESXi IC &amp; Intranet</t>
  </si>
  <si>
    <t>FB64109</t>
  </si>
  <si>
    <t>FB64110</t>
  </si>
  <si>
    <t>FB64111</t>
  </si>
  <si>
    <t>VMware ESXi IC &amp; Intranet UAT\UIT</t>
  </si>
  <si>
    <t>10.20.114.27</t>
  </si>
  <si>
    <t>FB64112</t>
  </si>
  <si>
    <t>10.20.114.29</t>
  </si>
  <si>
    <t>fb64136</t>
  </si>
  <si>
    <t>Requires 6 CPU cores for Oracle Licensing</t>
  </si>
  <si>
    <t>TPSS Database (LINUX) - Oracle Rack 12c</t>
  </si>
  <si>
    <t>TPSS</t>
  </si>
  <si>
    <t>TPSS Database (LINUX)</t>
  </si>
  <si>
    <t>Angel Nieves</t>
  </si>
  <si>
    <t>FB64136 - D1</t>
  </si>
  <si>
    <t>Linux Red Hat Enterpise 7</t>
  </si>
  <si>
    <t>10.30.130.190</t>
  </si>
  <si>
    <t>10.100.130.190</t>
  </si>
  <si>
    <t>fb64137</t>
  </si>
  <si>
    <t>FB64137 - D1</t>
  </si>
  <si>
    <t>10.30.130.191</t>
  </si>
  <si>
    <t>10.100.130.191</t>
  </si>
  <si>
    <t>FB64193</t>
  </si>
  <si>
    <t>10.30.130.211</t>
  </si>
  <si>
    <t>FB64274</t>
  </si>
  <si>
    <t>10.30.142.143</t>
  </si>
  <si>
    <t>FB64275</t>
  </si>
  <si>
    <t>10.30.142.145</t>
  </si>
  <si>
    <t>FB64276</t>
  </si>
  <si>
    <t>10.30.142.147</t>
  </si>
  <si>
    <t>FB64277</t>
  </si>
  <si>
    <t>10.30.149.13</t>
  </si>
  <si>
    <t>FB64632</t>
  </si>
  <si>
    <t>Decommissioned; follow up</t>
  </si>
  <si>
    <t>Cell Manager | MR1130</t>
  </si>
  <si>
    <t>FB64633</t>
  </si>
  <si>
    <t>Digital One SIT Branch Server</t>
  </si>
  <si>
    <t xml:space="preserve">Digital One SIT Branch </t>
  </si>
  <si>
    <t>FB64634</t>
  </si>
  <si>
    <t>Digital One UAT Branch Server</t>
  </si>
  <si>
    <t xml:space="preserve">Digital One Branch </t>
  </si>
  <si>
    <t>Not in Faddom</t>
  </si>
  <si>
    <t>FB64672</t>
  </si>
  <si>
    <t>Not in use</t>
  </si>
  <si>
    <t>VMware ESXi UAT\DEV</t>
  </si>
  <si>
    <t>10.30.142.184</t>
  </si>
  <si>
    <t>FB64673</t>
  </si>
  <si>
    <t>10.30.142.186</t>
  </si>
  <si>
    <t>FB64674</t>
  </si>
  <si>
    <t>10.30.142.188</t>
  </si>
  <si>
    <t>FB64725</t>
  </si>
  <si>
    <t>Marked as VMware ESXi - Needs confirmation; Probably no migrate</t>
  </si>
  <si>
    <t>VMware ESXi Digital One Production</t>
  </si>
  <si>
    <t xml:space="preserve">VMware ESXi </t>
  </si>
  <si>
    <t>Marked as ESXi</t>
  </si>
  <si>
    <t>VMware?</t>
  </si>
  <si>
    <t>10.30.149.15</t>
  </si>
  <si>
    <t>FB64726</t>
  </si>
  <si>
    <t>10.30.149.17</t>
  </si>
  <si>
    <t>FB64727</t>
  </si>
  <si>
    <t>10.30.149.19</t>
  </si>
  <si>
    <t>FB64787</t>
  </si>
  <si>
    <t>VMware ESXi D1</t>
  </si>
  <si>
    <t>10.20.114.10</t>
  </si>
  <si>
    <t>FB64788</t>
  </si>
  <si>
    <t>10.20.114.12</t>
  </si>
  <si>
    <t>FB64866</t>
  </si>
  <si>
    <t>Microsoft Deployment Toolkit 2013 (MDT)</t>
  </si>
  <si>
    <t>Group 1</t>
  </si>
  <si>
    <t>10.30.8.164</t>
  </si>
  <si>
    <t>FB65030</t>
  </si>
  <si>
    <t>SQL 2016 UAT (BDI) Bancware</t>
  </si>
  <si>
    <t>MSSQL, Bancware, ITDG</t>
  </si>
  <si>
    <t>SQL 2016 UAT (BDI)</t>
  </si>
  <si>
    <t>10.30.130.147</t>
  </si>
  <si>
    <t>FB65031</t>
  </si>
  <si>
    <t>Majority of UIT Databases are located on this server - check if on the obsolete system and if a new SQL server has already been built that needs to be migrated. Follow up with Omar - jdeltoro 5/7</t>
  </si>
  <si>
    <t>SQL UIT\Dev Environment (Proyecto SQL 2018)</t>
  </si>
  <si>
    <t>MSSQL Environment (Proyecto SQL 2018), ITDG</t>
  </si>
  <si>
    <t>10.30.140.251</t>
  </si>
  <si>
    <t>FB65052</t>
  </si>
  <si>
    <t>10.0.151.120</t>
  </si>
  <si>
    <t>FB65075</t>
  </si>
  <si>
    <t>VMware ESXi HPE Simplivity 380 G10 VDI</t>
  </si>
  <si>
    <t>10.30.180.220</t>
  </si>
  <si>
    <t>FB65076</t>
  </si>
  <si>
    <t>10.30.180.221</t>
  </si>
  <si>
    <t>FB65077</t>
  </si>
  <si>
    <t>10.30.180.222</t>
  </si>
  <si>
    <t>FB65078</t>
  </si>
  <si>
    <t>10.30.180.223</t>
  </si>
  <si>
    <t>FB65367</t>
  </si>
  <si>
    <t>Dependent on obsolete IIS server apps being moved to new IIS servers; good to keep in milestone 2; Mike M. to follow up with Derek - jdeltoro 5/13</t>
  </si>
  <si>
    <t>IIS Consolidated Prod (2016)</t>
  </si>
  <si>
    <t xml:space="preserve">IIS Consolidated </t>
  </si>
  <si>
    <t>Web</t>
  </si>
  <si>
    <t>TSA &amp; others (Definir cuales son los aplicativos)</t>
  </si>
  <si>
    <t>Group 5</t>
  </si>
  <si>
    <t>10.30.137.146</t>
  </si>
  <si>
    <t>FB65368</t>
  </si>
  <si>
    <t>IIS Consolidated (2016)</t>
  </si>
  <si>
    <t>10.30.137.147</t>
  </si>
  <si>
    <t>FB65381</t>
  </si>
  <si>
    <t>FB65383</t>
  </si>
  <si>
    <t>SQL 2016 Profitability &amp; BDI Node 1 - Bancware</t>
  </si>
  <si>
    <t>SQL 2016 Profitability &amp; BDI Node 1</t>
  </si>
  <si>
    <t>10.30.130.137</t>
  </si>
  <si>
    <t>FB65384</t>
  </si>
  <si>
    <t>SQL 2016 Profitability &amp; BDI Node 2 - Bancware</t>
  </si>
  <si>
    <t>SQL 2016 Profitability &amp; BDI Node 2</t>
  </si>
  <si>
    <t>10.30.130.138</t>
  </si>
  <si>
    <t>FB65979</t>
  </si>
  <si>
    <t>Not in scope; No Migrate</t>
  </si>
  <si>
    <t>Video Surveillance - Directory</t>
  </si>
  <si>
    <t>10.30.66.216</t>
  </si>
  <si>
    <t>FB65980</t>
  </si>
  <si>
    <t>Video Surveillance - Archiver</t>
  </si>
  <si>
    <t>10.30.66.235</t>
  </si>
  <si>
    <t>fb66339</t>
  </si>
  <si>
    <t>10.30.142.149</t>
  </si>
  <si>
    <t>fb66340</t>
  </si>
  <si>
    <t>10.30.142.151</t>
  </si>
  <si>
    <t>FB69753</t>
  </si>
  <si>
    <t>10.87.199.252</t>
  </si>
  <si>
    <t>FB69754</t>
  </si>
  <si>
    <t>10.81.238.53</t>
  </si>
  <si>
    <t>FB69756</t>
  </si>
  <si>
    <t>Existing DC's remain; Lab VM's were deleted per Angel on 3/28 - jdeltoro</t>
  </si>
  <si>
    <t>Domain Controller 1 - ECR Site</t>
  </si>
  <si>
    <t>Domain Controller 1 - ECR Site - Lab VM's - Likely not in scope of migration</t>
  </si>
  <si>
    <t>Waterfront</t>
  </si>
  <si>
    <t>10.15.1.219</t>
  </si>
  <si>
    <t>FB69757</t>
  </si>
  <si>
    <t>Domain Controller 2 - ECR Site</t>
  </si>
  <si>
    <t>Domain Controller 2 - ECR Site - Lab VM's - Likely not in scope of migration</t>
  </si>
  <si>
    <t>FB Plaza V.I.</t>
  </si>
  <si>
    <t>10.1.152.219</t>
  </si>
  <si>
    <t>FB69758</t>
  </si>
  <si>
    <t>DHCP Server - ECR</t>
  </si>
  <si>
    <t>DHCP- ECR</t>
  </si>
  <si>
    <t>10.15.1.221</t>
  </si>
  <si>
    <t>FB69759</t>
  </si>
  <si>
    <t>Domain Controller 1 - MR876 Site</t>
  </si>
  <si>
    <t>Domain Controller 1 - MR876 Site - Lab VM's - Likely not in scope of migration</t>
  </si>
  <si>
    <t>MR876</t>
  </si>
  <si>
    <t>10.18.137.4</t>
  </si>
  <si>
    <t>FB69760</t>
  </si>
  <si>
    <t>Domain Controller 2 - MR876 Site</t>
  </si>
  <si>
    <t>Domain Controller 2 - MR876 Site - Lab VM's - Likely not in scope of migration</t>
  </si>
  <si>
    <t>10.18.137.5</t>
  </si>
  <si>
    <t>FB69761</t>
  </si>
  <si>
    <t>DHCP Server - MR876</t>
  </si>
  <si>
    <t>DHCP- MR876</t>
  </si>
  <si>
    <t>10.18.137.7</t>
  </si>
  <si>
    <t>FB69761-New</t>
  </si>
  <si>
    <t>DHCP Server - MR876- temporaty server</t>
  </si>
  <si>
    <t xml:space="preserve">DHCP- MR876- temporaty </t>
  </si>
  <si>
    <t>FB72378</t>
  </si>
  <si>
    <t>HPE Solution Server Proliant DL360 G10</t>
  </si>
  <si>
    <t>HPE SolutionProliant DL360 G10</t>
  </si>
  <si>
    <t>FB72379</t>
  </si>
  <si>
    <t>10.30.142.174</t>
  </si>
  <si>
    <t>FB72380</t>
  </si>
  <si>
    <t>10.30.142.176</t>
  </si>
  <si>
    <t>FB72381</t>
  </si>
  <si>
    <t>10.30.142.178</t>
  </si>
  <si>
    <t>FB72388</t>
  </si>
  <si>
    <t>10.0.151.142</t>
  </si>
  <si>
    <t>FB72390</t>
  </si>
  <si>
    <t>Veeam Proxy #3</t>
  </si>
  <si>
    <t>10.30.129.233</t>
  </si>
  <si>
    <t>FB72391</t>
  </si>
  <si>
    <t>IBM Guardium Collector1 MC</t>
  </si>
  <si>
    <t>10.30.130.153</t>
  </si>
  <si>
    <t>FB72392</t>
  </si>
  <si>
    <t>Need to determine plan for physical to virtual migration or new build - jdeltoro 6/24</t>
  </si>
  <si>
    <t>Monarch Server</t>
  </si>
  <si>
    <t>Monarch</t>
  </si>
  <si>
    <t>10.30.137.25</t>
  </si>
  <si>
    <t>FB72393</t>
  </si>
  <si>
    <t>IBM Guardium Collector3 MC</t>
  </si>
  <si>
    <t>10.30.130.155</t>
  </si>
  <si>
    <t>FB72394</t>
  </si>
  <si>
    <t>Veeam Orchestrator (MR1130)</t>
  </si>
  <si>
    <t>10.30.129.232</t>
  </si>
  <si>
    <t>FB72397</t>
  </si>
  <si>
    <t>Internal Web Server OnBase</t>
  </si>
  <si>
    <t>MIT Zabbix Server</t>
  </si>
  <si>
    <t>FB72399</t>
  </si>
  <si>
    <t>Repurposed from Pay By Phone OnBase; Now is Apply Pay physical server - jdeltoro 10/15; updated CMDB status and environment per Angel - jdeltoro 11/10</t>
  </si>
  <si>
    <t>Apple Pay Prod</t>
  </si>
  <si>
    <t>Apple Pay</t>
  </si>
  <si>
    <t>N/A - Server Renamed</t>
  </si>
  <si>
    <t>10.30.150.140</t>
  </si>
  <si>
    <t>10.30.150.1</t>
  </si>
  <si>
    <t>FB72400</t>
  </si>
  <si>
    <t>IBM Guardium Collector2 MC</t>
  </si>
  <si>
    <t>10.30.130.154</t>
  </si>
  <si>
    <t>FB72401</t>
  </si>
  <si>
    <t>Veeam  Orchestrator (Arterial)</t>
  </si>
  <si>
    <t>10.20.101.33</t>
  </si>
  <si>
    <t>FB72407</t>
  </si>
  <si>
    <t>Needs to be upgraded version 12 from 11.5</t>
  </si>
  <si>
    <t>IBM Guardium Central Manager MC1</t>
  </si>
  <si>
    <t>10.30.130.152</t>
  </si>
  <si>
    <t>FB72409</t>
  </si>
  <si>
    <t>Repurposed from D1 Onbase App; Now is Apple Pay physical server - jdeltoro 10/17; updated CMDB status and environment per Angel - jdeltoro 11/10</t>
  </si>
  <si>
    <t>10.30.150.141</t>
  </si>
  <si>
    <t>FB72410</t>
  </si>
  <si>
    <t>ASP Test File Server</t>
  </si>
  <si>
    <t xml:space="preserve">ASP File </t>
  </si>
  <si>
    <t>10.30.140.219</t>
  </si>
  <si>
    <t>FB72412</t>
  </si>
  <si>
    <t>Cold Onbase APP</t>
  </si>
  <si>
    <t>fb72740</t>
  </si>
  <si>
    <t>VMware ESX</t>
  </si>
  <si>
    <t>10.30.142.6</t>
  </si>
  <si>
    <t>fb72776</t>
  </si>
  <si>
    <t>10.30.180.228</t>
  </si>
  <si>
    <t>fb72777</t>
  </si>
  <si>
    <t>10.30.180.229</t>
  </si>
  <si>
    <t>FB72778</t>
  </si>
  <si>
    <t>VDI ESXI Hosts</t>
  </si>
  <si>
    <t>10.19.180.220</t>
  </si>
  <si>
    <t>FB72779</t>
  </si>
  <si>
    <t>10.19.180.221</t>
  </si>
  <si>
    <t>FB72780</t>
  </si>
  <si>
    <t>Validate No Migrate - Arterial</t>
  </si>
  <si>
    <t>DR ESXi Host VDI</t>
  </si>
  <si>
    <t>10.20.180.222</t>
  </si>
  <si>
    <t>FB73553</t>
  </si>
  <si>
    <t>Edgardo Santiago to follow up on whether this can be included in milestone 2 - jdeltoro 5/13; also related to GFT/Swift</t>
  </si>
  <si>
    <t>Swift (Serv-U) SFTP/File Server - DEV</t>
  </si>
  <si>
    <t>Serv-U</t>
  </si>
  <si>
    <t>Swift (Serv-U) SFTP/File Server - PROD</t>
  </si>
  <si>
    <t xml:space="preserve">Juan Espinoza </t>
  </si>
  <si>
    <t>Serv-U, Swift</t>
  </si>
  <si>
    <t>10.30.140.66</t>
  </si>
  <si>
    <t>FB73554</t>
  </si>
  <si>
    <t>Swift (Serv-U) SFTP/File Server - COB</t>
  </si>
  <si>
    <t>10.30.137.220</t>
  </si>
  <si>
    <t>FB73810</t>
  </si>
  <si>
    <t>VMware ESX 7.0.3</t>
  </si>
  <si>
    <t>10.30.142.200</t>
  </si>
  <si>
    <t>FB73811</t>
  </si>
  <si>
    <t>10.30.142.202</t>
  </si>
  <si>
    <t>FB73812</t>
  </si>
  <si>
    <t>10.30.142.204</t>
  </si>
  <si>
    <t>FB73813</t>
  </si>
  <si>
    <t>10.30.142.205</t>
  </si>
  <si>
    <t>FB73814</t>
  </si>
  <si>
    <t>10.30.142.208</t>
  </si>
  <si>
    <t>FB73815</t>
  </si>
  <si>
    <t>10.30.142.210</t>
  </si>
  <si>
    <t>FB74855</t>
  </si>
  <si>
    <t xml:space="preserve"> Bancware ALM6  UAT Application Server</t>
  </si>
  <si>
    <t>Bancware ALM6  UAT Application Server</t>
  </si>
  <si>
    <t>10.30.140.127</t>
  </si>
  <si>
    <t>FB74856</t>
  </si>
  <si>
    <t xml:space="preserve"> Bancware ALM6 Application</t>
  </si>
  <si>
    <t>Bancware ALM6 Application</t>
  </si>
  <si>
    <t>10.30.137.251</t>
  </si>
  <si>
    <t>FB74857</t>
  </si>
  <si>
    <t>LIBOR DR SQL</t>
  </si>
  <si>
    <t>LIBOR</t>
  </si>
  <si>
    <t>10.19.130.17</t>
  </si>
  <si>
    <t>FB74858</t>
  </si>
  <si>
    <t>LIBOR SQL Prod Server Node 2</t>
  </si>
  <si>
    <t>10.30.130.158</t>
  </si>
  <si>
    <t>FB74859</t>
  </si>
  <si>
    <t>Needs discussion on AVD; Active/Passive Cluster; Would move with ALM app; NOT RESPONDING TO PING</t>
  </si>
  <si>
    <t>LIBOR SQL UAT Server - Bancware/BDI</t>
  </si>
  <si>
    <t>LIBOR SQL UAT Server</t>
  </si>
  <si>
    <t>10.30.130.156</t>
  </si>
  <si>
    <t>FB74860</t>
  </si>
  <si>
    <t>LIBOR SQL Prod Server Node 1</t>
  </si>
  <si>
    <t>10.30.130.157</t>
  </si>
  <si>
    <t>FB75076</t>
  </si>
  <si>
    <t>VEEAM Proxy 01</t>
  </si>
  <si>
    <t>10.30.129.230</t>
  </si>
  <si>
    <t>FB75077</t>
  </si>
  <si>
    <t>VEEAM Proxy 02</t>
  </si>
  <si>
    <t>10.30.129.231</t>
  </si>
  <si>
    <t>FB75078</t>
  </si>
  <si>
    <t>VEEAM Proxy COB</t>
  </si>
  <si>
    <t>10.20.101.229</t>
  </si>
  <si>
    <t>FB75079</t>
  </si>
  <si>
    <t>VEEAM Proxy Aretrial</t>
  </si>
  <si>
    <t>10.20.101.230</t>
  </si>
  <si>
    <t>FB75086</t>
  </si>
  <si>
    <t>SQL Server Nodo 1 - Arterial</t>
  </si>
  <si>
    <t>SQLNodo 1 - Arterial</t>
  </si>
  <si>
    <t>10.20.119.17</t>
  </si>
  <si>
    <t>FB75087</t>
  </si>
  <si>
    <t>SQL Server Nodo 2 - Arterial</t>
  </si>
  <si>
    <t>SQLNodo 2 - Arterial</t>
  </si>
  <si>
    <t>10.20.102.107</t>
  </si>
  <si>
    <t>FB75089</t>
  </si>
  <si>
    <t>Sharepoint SQL Node 1</t>
  </si>
  <si>
    <t>10.30.130.221</t>
  </si>
  <si>
    <t>FB75090</t>
  </si>
  <si>
    <t>Sharepoint SQL Node 2</t>
  </si>
  <si>
    <t>10.30.130.222</t>
  </si>
  <si>
    <t>FB75716</t>
  </si>
  <si>
    <t>DR ESXi Host</t>
  </si>
  <si>
    <t>Powered Off</t>
  </si>
  <si>
    <t>10.20.114.31</t>
  </si>
  <si>
    <t>fb75794</t>
  </si>
  <si>
    <t>VMware ESXi 7.0.3</t>
  </si>
  <si>
    <t>10.30.142.212</t>
  </si>
  <si>
    <t>fb75795</t>
  </si>
  <si>
    <t>10.30.142.214</t>
  </si>
  <si>
    <t>fb75796</t>
  </si>
  <si>
    <t>10.30.142.216</t>
  </si>
  <si>
    <t>fb75797</t>
  </si>
  <si>
    <t>10.30.142.218</t>
  </si>
  <si>
    <t>FB75998</t>
  </si>
  <si>
    <t>Part of Backup infrastructure System</t>
  </si>
  <si>
    <t>Apollo Storage System</t>
  </si>
  <si>
    <t>Linux Red Hat Enterprise 9.3 (5.14.0-362.8.1.el9_3.x86_64)</t>
  </si>
  <si>
    <t>10.30.129.64</t>
  </si>
  <si>
    <t>FB75999</t>
  </si>
  <si>
    <t>10.30.129.65</t>
  </si>
  <si>
    <t>FB76000</t>
  </si>
  <si>
    <t>10.30.129.66</t>
  </si>
  <si>
    <t>FB76001</t>
  </si>
  <si>
    <t>Linux Red Hat Enterprise 9.3 (5.14.0-362.18.1.el9_3.x86_64)</t>
  </si>
  <si>
    <t>10.30.129.67</t>
  </si>
  <si>
    <t>FB78080</t>
  </si>
  <si>
    <t>ESX 3 Arterial</t>
  </si>
  <si>
    <t>10.20.114.15</t>
  </si>
  <si>
    <t>FB78081</t>
  </si>
  <si>
    <t>10.20.114.16</t>
  </si>
  <si>
    <t>FB78082</t>
  </si>
  <si>
    <t>10.20.114.18</t>
  </si>
  <si>
    <t>FB78083</t>
  </si>
  <si>
    <t>10.20.114.20</t>
  </si>
  <si>
    <t>FB78084</t>
  </si>
  <si>
    <t>10.20.114.22</t>
  </si>
  <si>
    <t>FB78085</t>
  </si>
  <si>
    <t>10.20.114.24</t>
  </si>
  <si>
    <t>FBA00003</t>
  </si>
  <si>
    <t>AD Migration Tool</t>
  </si>
  <si>
    <t>FBA00003.firstbank.local</t>
  </si>
  <si>
    <t>10.30.137.47</t>
  </si>
  <si>
    <t>FBA00006</t>
  </si>
  <si>
    <t>Domain Controller 2 - SA1519 Site</t>
  </si>
  <si>
    <t>fba00006.firstbank.local</t>
  </si>
  <si>
    <t>10.19.137.5</t>
  </si>
  <si>
    <t>FBA00007</t>
  </si>
  <si>
    <t>DHCP Server - SA1519</t>
  </si>
  <si>
    <t>DHCP- SA1519</t>
  </si>
  <si>
    <t>FBA00007.firstbank.local</t>
  </si>
  <si>
    <t>10.19.137.7</t>
  </si>
  <si>
    <t>FBA00008</t>
  </si>
  <si>
    <t>DHCP Server - MR1130</t>
  </si>
  <si>
    <t>DHCP- MR1130</t>
  </si>
  <si>
    <t>FBA00008.firstbank.local</t>
  </si>
  <si>
    <t>10.30.137.23</t>
  </si>
  <si>
    <t>FBA00010</t>
  </si>
  <si>
    <t>Domain Controller MR1130</t>
  </si>
  <si>
    <t>FBA00011</t>
  </si>
  <si>
    <t>Domain Controller Alterial</t>
  </si>
  <si>
    <t>10.20.109.11</t>
  </si>
  <si>
    <t>fba01002</t>
  </si>
  <si>
    <t>Needs review of file shares due to dependency with TPSS; all stored in a single directory; file server targeted to go to azure and tpss is going to FIS; needs full review of all data shares; will likely be moved sepearately and original server decommissioned - jdeltoro 5/5</t>
  </si>
  <si>
    <t>File Server VM</t>
  </si>
  <si>
    <t>File Server Cluster</t>
  </si>
  <si>
    <t>fba01002.firstbank.local</t>
  </si>
  <si>
    <t>10.30.137.12</t>
  </si>
  <si>
    <t>Standard D32ls_v6</t>
  </si>
  <si>
    <t>FBA01004</t>
  </si>
  <si>
    <t>Print Server</t>
  </si>
  <si>
    <t>FBA01004.firstbank.local</t>
  </si>
  <si>
    <t>10.30.137.15</t>
  </si>
  <si>
    <t>FBA01008</t>
  </si>
  <si>
    <t>PCI File Server</t>
  </si>
  <si>
    <t xml:space="preserve">File </t>
  </si>
  <si>
    <t>10.30.148.4</t>
  </si>
  <si>
    <t>FBA01010</t>
  </si>
  <si>
    <t>APPRO File Server - PCI CDE</t>
  </si>
  <si>
    <t>APPRO</t>
  </si>
  <si>
    <t>Lucy Ann Vasquez</t>
  </si>
  <si>
    <t>10.30.148.234</t>
  </si>
  <si>
    <t>FBA01013</t>
  </si>
  <si>
    <t>PCI File Server - Non Structured Data</t>
  </si>
  <si>
    <t>10.30.148.8</t>
  </si>
  <si>
    <t>fba01014</t>
  </si>
  <si>
    <t>Sungard file server</t>
  </si>
  <si>
    <t xml:space="preserve">Sungard file </t>
  </si>
  <si>
    <t>fba01014.firstbank.local</t>
  </si>
  <si>
    <t>10.0.151.82</t>
  </si>
  <si>
    <t>FBA01015</t>
  </si>
  <si>
    <t>New File Server Cluster virtual ip</t>
  </si>
  <si>
    <t>New FileCluster virtual ip</t>
  </si>
  <si>
    <t>10.30.137.195</t>
  </si>
  <si>
    <t>FBA01017</t>
  </si>
  <si>
    <t>Potential Transformation to Azure File Shares - Needs review of OS to validate other apps, scripts, etc.</t>
  </si>
  <si>
    <t>APPRO File Server - UAT\TEST</t>
  </si>
  <si>
    <t>FBA01017.firstbank.local</t>
  </si>
  <si>
    <t>10.30.140.208</t>
  </si>
  <si>
    <t>FBA01019</t>
  </si>
  <si>
    <t>BUILDINGS PRINT SERVER</t>
  </si>
  <si>
    <t>BUILDINGS PRINT SERVER (New Ricoh)</t>
  </si>
  <si>
    <t>FBA01019.firstbank.local</t>
  </si>
  <si>
    <t>10.30.137.202</t>
  </si>
  <si>
    <t>FBA01020</t>
  </si>
  <si>
    <t>Onbase File Server 1</t>
  </si>
  <si>
    <t>Win2016 10.0.14393.6709 (1607)</t>
  </si>
  <si>
    <t>10.30.148.42</t>
  </si>
  <si>
    <t>FBA01021</t>
  </si>
  <si>
    <t>Onbase Fileserver 2</t>
  </si>
  <si>
    <t>FBA01021.firstbank.local</t>
  </si>
  <si>
    <t>Win2016 10.0.14393.6529 (1607)</t>
  </si>
  <si>
    <t>10.20.120.43</t>
  </si>
  <si>
    <t>FBA01022</t>
  </si>
  <si>
    <t>BRANCHES PRINT SERVER</t>
  </si>
  <si>
    <t>BRANCHES PRINT Server</t>
  </si>
  <si>
    <t>FBA01022.firstbank.local</t>
  </si>
  <si>
    <t>10.30.137.183</t>
  </si>
  <si>
    <t>FBA01023</t>
  </si>
  <si>
    <t>MONEY EXPRESS PRINT SERVER</t>
  </si>
  <si>
    <t xml:space="preserve">MONEY EXPRESS PRINT </t>
  </si>
  <si>
    <t>MOEX</t>
  </si>
  <si>
    <t>Edgardo Santiago (FIS)</t>
  </si>
  <si>
    <t>FBA01023.firstbank.local</t>
  </si>
  <si>
    <t>10.30.137.184</t>
  </si>
  <si>
    <t>FBA01024</t>
  </si>
  <si>
    <t>No Migrate per Juan Luis - jdeltoro 5/9</t>
  </si>
  <si>
    <t>File Server - Eureka</t>
  </si>
  <si>
    <t>File- Eureka</t>
  </si>
  <si>
    <t>EUREKA FILE SERVER</t>
  </si>
  <si>
    <t>Staging</t>
  </si>
  <si>
    <t>FBA01024.firstbank.local</t>
  </si>
  <si>
    <t>10.30.137.34</t>
  </si>
  <si>
    <t>FBA01025</t>
  </si>
  <si>
    <t>Added to Milestone 1; Group 1 per Angel on 4/14 - jdeltoro; no migrate per Lizzie and Juan Luis - jdeltoro 11/18</t>
  </si>
  <si>
    <t>Money Express PLIS</t>
  </si>
  <si>
    <t>Felipe Ramos/Alfredo Mercado</t>
  </si>
  <si>
    <t>PLIS MOEX File Server DEV</t>
  </si>
  <si>
    <t>Felipe Ramos</t>
  </si>
  <si>
    <t>Ysabel Asencio</t>
  </si>
  <si>
    <t>FBA01025.firstbank.local</t>
  </si>
  <si>
    <t>10.30.140.28</t>
  </si>
  <si>
    <t>10.30.140.1</t>
  </si>
  <si>
    <t>FBA01026</t>
  </si>
  <si>
    <t>ITOMO File Server</t>
  </si>
  <si>
    <t xml:space="preserve">ITOMO File </t>
  </si>
  <si>
    <t>FBA01026.firstbank.local</t>
  </si>
  <si>
    <t>10.30.137.222</t>
  </si>
  <si>
    <t>FBA01027</t>
  </si>
  <si>
    <t>ON</t>
  </si>
  <si>
    <t>B2B File Server Prod</t>
  </si>
  <si>
    <t>IBM B2Bi</t>
  </si>
  <si>
    <t>Luis Arvelo/Iran Rodriguez/ENIAC</t>
  </si>
  <si>
    <t>Linux Oracle Enterprise Server 8.9 (5.4.17-2136.329.3.1.el8uek.x86_64)</t>
  </si>
  <si>
    <t>10.30.134.81</t>
  </si>
  <si>
    <t>FBA01028</t>
  </si>
  <si>
    <t>10.20.120.48</t>
  </si>
  <si>
    <t>FBA02001</t>
  </si>
  <si>
    <t>Reviewed with Omar - no concerns; Reviewed and no further concerns - jdeltoro 5/16</t>
  </si>
  <si>
    <t>HP Service Manager - Prod</t>
  </si>
  <si>
    <t xml:space="preserve">HP Service Manager </t>
  </si>
  <si>
    <t>Alejandro Alvear</t>
  </si>
  <si>
    <t>FBA02001.firstbank.local</t>
  </si>
  <si>
    <t>Replicate and Re-IP</t>
  </si>
  <si>
    <t>10.30.137.41</t>
  </si>
  <si>
    <t>FBA02014</t>
  </si>
  <si>
    <t>Radius Server</t>
  </si>
  <si>
    <t>Win2008 6.0.6003</t>
  </si>
  <si>
    <t>10.30.137.32</t>
  </si>
  <si>
    <t>FBA02028</t>
  </si>
  <si>
    <t>ADManager</t>
  </si>
  <si>
    <t>ADManager 7.2</t>
  </si>
  <si>
    <t>FBA02028.firstbank.local</t>
  </si>
  <si>
    <t>10.30.137.110</t>
  </si>
  <si>
    <t>FBA02031</t>
  </si>
  <si>
    <t>OnBase File Transfer Report Appl Server</t>
  </si>
  <si>
    <t>10.30.148.200</t>
  </si>
  <si>
    <t>FBA02031-New</t>
  </si>
  <si>
    <t>OnBase File Transfer Report Appl Server - replacement for FBA02031</t>
  </si>
  <si>
    <t>FBA02037</t>
  </si>
  <si>
    <t>Credit Card Portfolio Acquisition Tsys APPRO Inter</t>
  </si>
  <si>
    <t>Credit Card Portfolio Acquisition Tsys APPRO Inter (Tsys Splitter and ADM service)</t>
  </si>
  <si>
    <t>Alejandro Baer</t>
  </si>
  <si>
    <t>Suzzane Seda/Eric Lopez</t>
  </si>
  <si>
    <t>FBA02037.firstbank.local</t>
  </si>
  <si>
    <t>10.30.137.85</t>
  </si>
  <si>
    <t>FBA02040</t>
  </si>
  <si>
    <t>New JIRA UAT</t>
  </si>
  <si>
    <t>New JIRA</t>
  </si>
  <si>
    <t>FBA02041</t>
  </si>
  <si>
    <t>FBA02045</t>
  </si>
  <si>
    <t>FBA02046</t>
  </si>
  <si>
    <t>Reviewed with Omar and Eric on 5/22 and no issues. Dependency with FEIS and would require WAN emulation testing to confirm. - jdeltoro 5/22</t>
  </si>
  <si>
    <t>Xpress server - UIT</t>
  </si>
  <si>
    <t>Linux</t>
  </si>
  <si>
    <t>10.30.140.136  </t>
  </si>
  <si>
    <t>10.100.140.136</t>
  </si>
  <si>
    <t>100.119.252.194, 100.119.252.195</t>
  </si>
  <si>
    <t>10.100.140.1</t>
  </si>
  <si>
    <t>JAX_PROD_Cloud</t>
  </si>
  <si>
    <t>JAX_FBPR_12121_CORE_001</t>
  </si>
  <si>
    <t>FBPR-12121|CORE_AP|NON-PROD-10.100.140.0_24_EPG</t>
  </si>
  <si>
    <t>VADP</t>
  </si>
  <si>
    <t>FBA02047</t>
  </si>
  <si>
    <t>Xpress 4.2 Server DEV - Used for TPSS Training</t>
  </si>
  <si>
    <t xml:space="preserve">Xpress </t>
  </si>
  <si>
    <t>Xpress 4.2 Server DEV</t>
  </si>
  <si>
    <t>Linux Oracle Enterprise Server 6.10 (2.6.32-754.35.1.0.2.el6.x86_64)</t>
  </si>
  <si>
    <t>10.30.140.137</t>
  </si>
  <si>
    <t>10.100.140.137</t>
  </si>
  <si>
    <t>JAX_FBPR_12121_CORE_002</t>
  </si>
  <si>
    <t>FBA02048</t>
  </si>
  <si>
    <t>Xpress 4.2 Server, TPSS DEV</t>
  </si>
  <si>
    <t>10.30.140.138  </t>
  </si>
  <si>
    <t>10.100.140.138</t>
  </si>
  <si>
    <t>FBA02049</t>
  </si>
  <si>
    <t>TPSS UAT</t>
  </si>
  <si>
    <t>Xpress 4.2 Server UAT</t>
  </si>
  <si>
    <t>10.30.140.139</t>
  </si>
  <si>
    <t>10.100.140.139</t>
  </si>
  <si>
    <t>FBA02050</t>
  </si>
  <si>
    <t>Linux Oracle Enterprise Server 8.10 (5.4.17-2136.315.5.el8uek.x86_64)</t>
  </si>
  <si>
    <t>10.30.140.132</t>
  </si>
  <si>
    <t>10.100.140.132</t>
  </si>
  <si>
    <t>FBA02051</t>
  </si>
  <si>
    <t>TIM Production Server</t>
  </si>
  <si>
    <t xml:space="preserve">TIMuction </t>
  </si>
  <si>
    <t>FBA02052</t>
  </si>
  <si>
    <t>Xpress 4.2 Server</t>
  </si>
  <si>
    <t>10.30.134.240</t>
  </si>
  <si>
    <t>10.100.134.240</t>
  </si>
  <si>
    <t>FBA02052temp</t>
  </si>
  <si>
    <t>Linux Oracle Enterprise Server 8.10 (5.4.17-2136.331.7.el8uek.x86_64)</t>
  </si>
  <si>
    <t>10.30.134.139</t>
  </si>
  <si>
    <t>FBA02053</t>
  </si>
  <si>
    <t>10.30.134.239</t>
  </si>
  <si>
    <t>10.100.134.239</t>
  </si>
  <si>
    <t>FBA02053temp</t>
  </si>
  <si>
    <t>10.30.134.140</t>
  </si>
  <si>
    <t>FBA02057</t>
  </si>
  <si>
    <t>Xena Server RedHat Enterprice 6.2</t>
  </si>
  <si>
    <t>XenaRedHat Enterprice 6.2</t>
  </si>
  <si>
    <t>FBA02058</t>
  </si>
  <si>
    <t>E3 Application</t>
  </si>
  <si>
    <t>E3 Application Server PROD</t>
  </si>
  <si>
    <t>10.30.137.135</t>
  </si>
  <si>
    <t>FBA02059</t>
  </si>
  <si>
    <t>E3 Doc Server Prod</t>
  </si>
  <si>
    <t>E3 Doc</t>
  </si>
  <si>
    <t>E3 Doc Server PROD (Win2008R2 6.1.7601)</t>
  </si>
  <si>
    <t>10.30.137.137</t>
  </si>
  <si>
    <t>FBA02061</t>
  </si>
  <si>
    <t>Data Center &amp; Inf Sec Sharepoint</t>
  </si>
  <si>
    <t>fba02061.firstbank.local</t>
  </si>
  <si>
    <t>10.30.137.94</t>
  </si>
  <si>
    <t>FBA02063</t>
  </si>
  <si>
    <t>TPSS Server</t>
  </si>
  <si>
    <t>10.30.134.151</t>
  </si>
  <si>
    <t>10.100.134.151</t>
  </si>
  <si>
    <t>FBA02064</t>
  </si>
  <si>
    <t>10.30.134.152</t>
  </si>
  <si>
    <t>10.100.134.152</t>
  </si>
  <si>
    <t>FBA02065</t>
  </si>
  <si>
    <t>Linux NTP Server</t>
  </si>
  <si>
    <t xml:space="preserve">Linux NTP </t>
  </si>
  <si>
    <t>FBA02068</t>
  </si>
  <si>
    <t>Confirmed with Rafi that this will be in Milestone 3? - jdeltoro 5/9</t>
  </si>
  <si>
    <t>Remote Desktop Licencing Server</t>
  </si>
  <si>
    <t xml:space="preserve">Remote Desktop Licencing </t>
  </si>
  <si>
    <t>FBA02068.firstbank.local</t>
  </si>
  <si>
    <t>10.30.137.98</t>
  </si>
  <si>
    <t>FBA02069</t>
  </si>
  <si>
    <t>To be decommissioned per Edgardo - jdeltoro 5/13</t>
  </si>
  <si>
    <t>CA Authority Server Lic. Server</t>
  </si>
  <si>
    <t xml:space="preserve">CA Authority Lic. </t>
  </si>
  <si>
    <t>10.30.137.99</t>
  </si>
  <si>
    <t>FBA02073-NEW</t>
  </si>
  <si>
    <t>TRANE Application - New Server</t>
  </si>
  <si>
    <t xml:space="preserve">TRANE Application - New </t>
  </si>
  <si>
    <t>FBA02073-NEW.firstbank.local</t>
  </si>
  <si>
    <t>10.30.137.185</t>
  </si>
  <si>
    <t>FBA02075</t>
  </si>
  <si>
    <t>Follow up</t>
  </si>
  <si>
    <t>E3 Application Server UAT</t>
  </si>
  <si>
    <t>FBA08119.firstbank.local</t>
  </si>
  <si>
    <t>10.30.140.152</t>
  </si>
  <si>
    <t>FBA02076</t>
  </si>
  <si>
    <t>E3 Doc Server UAT</t>
  </si>
  <si>
    <t>FBA02377.firstbank.local</t>
  </si>
  <si>
    <t>10.30.140.154</t>
  </si>
  <si>
    <t>FBA02080</t>
  </si>
  <si>
    <t>Follow up - Historical Data</t>
  </si>
  <si>
    <t>Mortgageware</t>
  </si>
  <si>
    <t>Mortgage Ware</t>
  </si>
  <si>
    <t>Mortageware</t>
  </si>
  <si>
    <t>Luzmarie Velez</t>
  </si>
  <si>
    <t>10.30.141.97</t>
  </si>
  <si>
    <t>FBA02091</t>
  </si>
  <si>
    <t>Follow up with Lucy, Shela and Vendor - C &amp; R Software (used to be FICO); no concerns - jdeltoro 5/16; updated CMDB status and environment per Angel - jdeltoro 11/10</t>
  </si>
  <si>
    <t>DebtManager Test</t>
  </si>
  <si>
    <t>DebtManager</t>
  </si>
  <si>
    <t>Sheila Ponte</t>
  </si>
  <si>
    <t>Santitos Rivas</t>
  </si>
  <si>
    <t>Geraldo Reyes</t>
  </si>
  <si>
    <t>FBA02091.firstbank.local</t>
  </si>
  <si>
    <t>10.30.140.75</t>
  </si>
  <si>
    <t>FBA02097</t>
  </si>
  <si>
    <t>ABIS Workstation - Human Resources - Win 7</t>
  </si>
  <si>
    <t>FBA02106</t>
  </si>
  <si>
    <t>Per Omar no migrate - jdeltoro 5/13</t>
  </si>
  <si>
    <t>Oracle OCI Agent 1</t>
  </si>
  <si>
    <t>Linux Oracle Enterprise Server 8.8 (5.4.17-2136.309.5.el8uek.x86_64)</t>
  </si>
  <si>
    <t>10.30.140.87</t>
  </si>
  <si>
    <t>FBA02107</t>
  </si>
  <si>
    <t>Oracle OCI Agent 2</t>
  </si>
  <si>
    <t>10.30.140.88</t>
  </si>
  <si>
    <t>FBA02111</t>
  </si>
  <si>
    <t>Reviewed with Omar and updated database information. No concerns - jdeltoro 5/22</t>
  </si>
  <si>
    <t>Service Manager UAT</t>
  </si>
  <si>
    <t>HP Service Manager</t>
  </si>
  <si>
    <t>HP Service Manager UAT</t>
  </si>
  <si>
    <t>FBA02111.firstbank.local</t>
  </si>
  <si>
    <t>10.30.140.35</t>
  </si>
  <si>
    <t>fba02113</t>
  </si>
  <si>
    <t>Will be decommissioned - replaced by FBA02408</t>
  </si>
  <si>
    <t>B2Bi Development Server</t>
  </si>
  <si>
    <t xml:space="preserve">B2Bielopment </t>
  </si>
  <si>
    <t>Miguel Mejias/Luis Arvelo</t>
  </si>
  <si>
    <t>FBA02113</t>
  </si>
  <si>
    <t>10.30.140.74</t>
  </si>
  <si>
    <t>fba02114</t>
  </si>
  <si>
    <t>Will be decommissioned - replaced by FBA02407</t>
  </si>
  <si>
    <t>B2Bi Sterling Control Center Development Server</t>
  </si>
  <si>
    <t xml:space="preserve">B2Bi Sterling Control Centerelopment </t>
  </si>
  <si>
    <t>FBA02114</t>
  </si>
  <si>
    <t>Linux Oracle Enterprise Server 7.9 (4.1.12-124.79.2.el7uek.x86_64)</t>
  </si>
  <si>
    <t>10.30.140.73</t>
  </si>
  <si>
    <t>fba02115</t>
  </si>
  <si>
    <t>Will be decommissioned - replaced by FBA02406</t>
  </si>
  <si>
    <t>Sterling Control Center Development Server (LINUX) PROD</t>
  </si>
  <si>
    <t>Sterling Control Center</t>
  </si>
  <si>
    <t>Linux Oracle Enterprise Server 7.9 (3.10.0-1160.105.1.0.1.el7.x86_64)</t>
  </si>
  <si>
    <t>10.30.134.15</t>
  </si>
  <si>
    <t>fba02116</t>
  </si>
  <si>
    <t>Decommissioned per Rafi - jdeltoro 5/9</t>
  </si>
  <si>
    <t>Sterling Control Center B2Bi  (PROD(LINUX) PROD</t>
  </si>
  <si>
    <t>Sterling Control Center B2Bi  ((LINUX)</t>
  </si>
  <si>
    <t>FBA02116</t>
  </si>
  <si>
    <t>Linux Oracle Enterprise Server 7.9 (3.10.0-1160.31.1.el7.x86_64)</t>
  </si>
  <si>
    <t>10.30.134.16</t>
  </si>
  <si>
    <t>FBA02117</t>
  </si>
  <si>
    <t>B2Bi Development Server (LINUX)COB</t>
  </si>
  <si>
    <t>B2Bielopment(LINUX)COB</t>
  </si>
  <si>
    <t>fba02118</t>
  </si>
  <si>
    <t>Sterling Control Center Development Server (LINUX) COB</t>
  </si>
  <si>
    <t>Sterling Control Centerelopment(LINUX) COB</t>
  </si>
  <si>
    <t>10.19.137.18</t>
  </si>
  <si>
    <t>FBA02120</t>
  </si>
  <si>
    <t>Intranet SharePoint - APPL</t>
  </si>
  <si>
    <t>FBA02120.firstbank.local</t>
  </si>
  <si>
    <t>10.30.137.75</t>
  </si>
  <si>
    <t>FBA02121</t>
  </si>
  <si>
    <t>APPRO - Doc Manager - PCI CDE</t>
  </si>
  <si>
    <t>10.30.148.82</t>
  </si>
  <si>
    <t>FBA02122</t>
  </si>
  <si>
    <t>APPRO - ALEX - PCI - PCI-CDE</t>
  </si>
  <si>
    <t>10.30.148.79</t>
  </si>
  <si>
    <t>FBA02123</t>
  </si>
  <si>
    <t>APPRO - RISK - PCI</t>
  </si>
  <si>
    <t>10.30.148.80</t>
  </si>
  <si>
    <t>FBA02124</t>
  </si>
  <si>
    <t>Encompass 360</t>
  </si>
  <si>
    <t>FBA02126</t>
  </si>
  <si>
    <t>Intranet SharePoint APPS UAT</t>
  </si>
  <si>
    <t>Intranet SharePoint APPS</t>
  </si>
  <si>
    <t>FBA02127</t>
  </si>
  <si>
    <t>Intranet SharePoint APPL UAT</t>
  </si>
  <si>
    <t>Intranet SharePoint APPL</t>
  </si>
  <si>
    <t>FBA02127.firstbank.local</t>
  </si>
  <si>
    <t>10.30.140.244</t>
  </si>
  <si>
    <t>FBA02128</t>
  </si>
  <si>
    <t>HPE Testing Management System</t>
  </si>
  <si>
    <t>HPEing Management System</t>
  </si>
  <si>
    <t>FBA02129</t>
  </si>
  <si>
    <t>Digital Banking - Application - UIT</t>
  </si>
  <si>
    <t>FBA02129.firstbank.local</t>
  </si>
  <si>
    <t>Win2019 10.0.17763.6054 (1809)</t>
  </si>
  <si>
    <t>10.30.140.53</t>
  </si>
  <si>
    <t>FBA02130</t>
  </si>
  <si>
    <t>Requires follow up discussion during AMR on whether this will be need in Azure. Also what would be done for shares in FIS.; jdeltoro 5/9</t>
  </si>
  <si>
    <t>VARONIS PROBE DP SERVER</t>
  </si>
  <si>
    <t>FBA02130.firstbank.local</t>
  </si>
  <si>
    <t>10.30.137.42</t>
  </si>
  <si>
    <t>FBA02131</t>
  </si>
  <si>
    <t>VARONIS COLLECTOR 01</t>
  </si>
  <si>
    <t>FBA02131.firstbank.local</t>
  </si>
  <si>
    <t>10.30.137.43</t>
  </si>
  <si>
    <t>FBA02132</t>
  </si>
  <si>
    <t>VARONIS COLLECTOR 02</t>
  </si>
  <si>
    <t>FBA02132.firstbank.local</t>
  </si>
  <si>
    <t>10.30.137.44</t>
  </si>
  <si>
    <t>FBA02133</t>
  </si>
  <si>
    <t>Digital Banking - Source Code Escrow</t>
  </si>
  <si>
    <t>Digital Banking Source Code Escrow</t>
  </si>
  <si>
    <t>10.30.140.78</t>
  </si>
  <si>
    <t>FBA02134</t>
  </si>
  <si>
    <t>Digital Banking - Application Server - UAT</t>
  </si>
  <si>
    <t>FBA02134.firstbank.local</t>
  </si>
  <si>
    <t>10.30.140.19</t>
  </si>
  <si>
    <t>FBA02135</t>
  </si>
  <si>
    <t>Follow up with Omar; UIT and UAT DB's are on Shared Physical SQL Server FB65030 and FB65031; Gustavo Rodriguez - jdeltoro 5/8</t>
  </si>
  <si>
    <t>Data Provisioning - Reporting Services</t>
  </si>
  <si>
    <t>Data Provisioning</t>
  </si>
  <si>
    <t>CDO</t>
  </si>
  <si>
    <t>Gustavo Rodriguez</t>
  </si>
  <si>
    <t>FBA02135.firstbank.local</t>
  </si>
  <si>
    <t>10.30.137.199</t>
  </si>
  <si>
    <t>FBA02136</t>
  </si>
  <si>
    <t>Data Provisioning - Analysis Services</t>
  </si>
  <si>
    <t>FBA02136.firstbank.local</t>
  </si>
  <si>
    <t>10.30.137.200</t>
  </si>
  <si>
    <t>FBA02137</t>
  </si>
  <si>
    <t>Data Provisioning - Integration Services</t>
  </si>
  <si>
    <t>FBA02137.firstbank.local</t>
  </si>
  <si>
    <t>10.30.137.201</t>
  </si>
  <si>
    <t>FBA02138</t>
  </si>
  <si>
    <t>Follow up with Rafi - jdeltoro 5/9</t>
  </si>
  <si>
    <t>Ricoh Hard Drive Encryption</t>
  </si>
  <si>
    <t>FBA02138.firstbank.local</t>
  </si>
  <si>
    <t>10.30.137.59</t>
  </si>
  <si>
    <t>FBA02139</t>
  </si>
  <si>
    <t>EUDA Lifetime Server Outsystem</t>
  </si>
  <si>
    <t>OutSystem</t>
  </si>
  <si>
    <t>Multiple EUDA Users</t>
  </si>
  <si>
    <t>EUDA Lifetime Server</t>
  </si>
  <si>
    <t>Alberto Jimenez</t>
  </si>
  <si>
    <t>Guillermo Hernandez</t>
  </si>
  <si>
    <t>FBA02139.firstbank.local</t>
  </si>
  <si>
    <t>10.30.137.19</t>
  </si>
  <si>
    <t>FBA02140</t>
  </si>
  <si>
    <t>FBA03085 is a database dependency</t>
  </si>
  <si>
    <t>Outsystem (EUDA) Test Server</t>
  </si>
  <si>
    <t>Outsystem</t>
  </si>
  <si>
    <t>FBA02140.firstbank.local</t>
  </si>
  <si>
    <t>Outsystem EUDA</t>
  </si>
  <si>
    <t>10.30.140.46</t>
  </si>
  <si>
    <t>FBA02141</t>
  </si>
  <si>
    <t>Outsystem (EUDA) DEV Server</t>
  </si>
  <si>
    <t>FBA02141.firstbank.local</t>
  </si>
  <si>
    <t>10.30.140.47</t>
  </si>
  <si>
    <t>Standard E4s_v6</t>
  </si>
  <si>
    <t>FBA02142</t>
  </si>
  <si>
    <t>OpenShift, SpringBoot, Kubernetes</t>
  </si>
  <si>
    <t>FEIS AQM Server UAT</t>
  </si>
  <si>
    <t>FEIS</t>
  </si>
  <si>
    <t>Linux Oracle Enterprise Server 7.9 (4.1.12-124.72.2.el7uek.x86_64)</t>
  </si>
  <si>
    <t>10.30.140.90</t>
  </si>
  <si>
    <t>FBA02143</t>
  </si>
  <si>
    <t>FEIS Application Server 1 UAT</t>
  </si>
  <si>
    <t>Linux Oracle Enterprise Server 7.9 (4.1.12-124.60.1.el7uek.x86_64)</t>
  </si>
  <si>
    <t>10.30.140.91</t>
  </si>
  <si>
    <t>FBA02144</t>
  </si>
  <si>
    <t>FEIS Application Server 2 UAT</t>
  </si>
  <si>
    <t>Linux Oracle Enterprise Server 7.9 (5.4.17-2136.314.6.2.el7uek.x86_64)</t>
  </si>
  <si>
    <t>10.30.140.92</t>
  </si>
  <si>
    <t>FBA02145</t>
  </si>
  <si>
    <t>FEIS Application Server 3 UAT</t>
  </si>
  <si>
    <t>10.30.140.93</t>
  </si>
  <si>
    <t>FBA02146</t>
  </si>
  <si>
    <t>FEIS Application Server 4 UAT</t>
  </si>
  <si>
    <t>Linux Oracle Enterprise Server 7.9 (3.10.0-1160.88.1.0.1.el7.x86_64)</t>
  </si>
  <si>
    <t>10.30.140.97</t>
  </si>
  <si>
    <t>FBA02147</t>
  </si>
  <si>
    <t>FEIS Log Server UAT</t>
  </si>
  <si>
    <t>Linux Oracle Enterprise Server 7.9 (5.4.17-2136.302.7.2.2.el7uek.x86_64)</t>
  </si>
  <si>
    <t>10.30.140.98</t>
  </si>
  <si>
    <t>FBA02148</t>
  </si>
  <si>
    <t>FEIS Management Server UAT</t>
  </si>
  <si>
    <t>Linux Oracle Enterprise Server 7.9 (4.1.12-124.54.6.el7uek.x86_64)</t>
  </si>
  <si>
    <t>10.30.140.99</t>
  </si>
  <si>
    <t>FBA02149</t>
  </si>
  <si>
    <t>FEIS AMQ Server PROD</t>
  </si>
  <si>
    <t>Linux Oracle Enterprise Server 7.9 (5.4.17-2136.330.7.1.el7uek.x86_64)</t>
  </si>
  <si>
    <t>10.30.134.181</t>
  </si>
  <si>
    <t>FBA02150</t>
  </si>
  <si>
    <t>FEIS Application Server 1 PROD</t>
  </si>
  <si>
    <t>10.30.134.113</t>
  </si>
  <si>
    <t>Standard E18-4s_v6</t>
  </si>
  <si>
    <t>FBA02151</t>
  </si>
  <si>
    <t>FEIS Application Server 2 PROD</t>
  </si>
  <si>
    <t>Linux Oracle Enterprise Server 7.9 (5.4.17-2136.324.5.3.el7uek.x86_64)</t>
  </si>
  <si>
    <t>10.30.134.164</t>
  </si>
  <si>
    <t>FBA02152</t>
  </si>
  <si>
    <t>FEIS Application Server 3 PROD</t>
  </si>
  <si>
    <t>Linux Oracle Enterprise Server 7.9 (4.1.12-124.84.2.el7uek.x86_64)</t>
  </si>
  <si>
    <t>10.30.134.165</t>
  </si>
  <si>
    <t>FBA02153</t>
  </si>
  <si>
    <t>FEIS Application Server 4 PROD</t>
  </si>
  <si>
    <t>10.30.134.166</t>
  </si>
  <si>
    <t>FBA02154</t>
  </si>
  <si>
    <t>FEIS Application Server 5 PROD</t>
  </si>
  <si>
    <t>10.30.134.167</t>
  </si>
  <si>
    <t>FBA02155</t>
  </si>
  <si>
    <t>FEIS Application Server 6 PROD</t>
  </si>
  <si>
    <t>Linux Oracle Enterprise Server 7.9 (4.1.12-124.53.5.2.el7uek.x86_64)</t>
  </si>
  <si>
    <t>10.30.134.168</t>
  </si>
  <si>
    <t>FBA02156</t>
  </si>
  <si>
    <t>FEIS Log server PROD</t>
  </si>
  <si>
    <t>10.30.134.169</t>
  </si>
  <si>
    <t>FBA02157</t>
  </si>
  <si>
    <t>FEIS Management Server PROD</t>
  </si>
  <si>
    <t>10.30.134.170</t>
  </si>
  <si>
    <t>FBA02159</t>
  </si>
  <si>
    <t>FBA03089 is a database dependency</t>
  </si>
  <si>
    <t>EUDA Production Server Outsystem</t>
  </si>
  <si>
    <t>EUDA Production Server</t>
  </si>
  <si>
    <t>FBA02160</t>
  </si>
  <si>
    <t>10.30.148.20</t>
  </si>
  <si>
    <t>CUC Application Server - UIT</t>
  </si>
  <si>
    <t>John Huertas</t>
  </si>
  <si>
    <t>10.30.140.124</t>
  </si>
  <si>
    <t>10.100.140.124</t>
  </si>
  <si>
    <t>FBA02161</t>
  </si>
  <si>
    <t>CUG Application Server - UIT</t>
  </si>
  <si>
    <t>Linux Oracle Enterprise Server 7.9 (5.4.17-2136.332.5.2.el7uek.x86_64)</t>
  </si>
  <si>
    <t>10.30.140.125</t>
  </si>
  <si>
    <t>10.100.140.125</t>
  </si>
  <si>
    <t>FBA02162</t>
  </si>
  <si>
    <t>Xpress Application Server - UIT</t>
  </si>
  <si>
    <t>Linux Oracle Enterprise Server 8.10 (5.4.17-2136.321.4.el8uek.x86_64)</t>
  </si>
  <si>
    <t>10.30.140.126</t>
  </si>
  <si>
    <t>10.100.140.126</t>
  </si>
  <si>
    <t>FBA02167</t>
  </si>
  <si>
    <t>Xpress Development Application Server - UIT</t>
  </si>
  <si>
    <t>10.30.140.147</t>
  </si>
  <si>
    <t>10.100.140.147</t>
  </si>
  <si>
    <t>FBA02168</t>
  </si>
  <si>
    <t>Xpress CUC development Application Server - UIT</t>
  </si>
  <si>
    <t>10.30.140.148</t>
  </si>
  <si>
    <t>10.100.140.148</t>
  </si>
  <si>
    <t>FBA02169</t>
  </si>
  <si>
    <t>FEIS Development Server (Digital ONE) - UIT</t>
  </si>
  <si>
    <t>10.30.140.229</t>
  </si>
  <si>
    <t>FBA02170</t>
  </si>
  <si>
    <t>FEIS Development Server (Digital ONE)</t>
  </si>
  <si>
    <t>Linux Oracle Enterprise Server 7.9 (5.4.17-2136.323.8.1.el7uek.x86_64)</t>
  </si>
  <si>
    <t>10.30.140.9</t>
  </si>
  <si>
    <t>FBA02171</t>
  </si>
  <si>
    <t>Linux Oracle Enterprise Server 7.9 (4.1.12-124.78.4.1.el7uek.x86_64)</t>
  </si>
  <si>
    <t>10.30.140.13</t>
  </si>
  <si>
    <t>FBA02172</t>
  </si>
  <si>
    <t>Linux Oracle Enterprise Server 7.9 (4.1.12-124.50.2.el7uek.x86_64)</t>
  </si>
  <si>
    <t>10.30.140.22</t>
  </si>
  <si>
    <t>FBA02173</t>
  </si>
  <si>
    <t>Digital One Branch Server (CUC,CUG,SQL)</t>
  </si>
  <si>
    <t>Digital One Branch(CUC,CUG,SQL)</t>
  </si>
  <si>
    <t>fba02173.firstbank.local</t>
  </si>
  <si>
    <t>10.30.140.180</t>
  </si>
  <si>
    <t>FBA02174</t>
  </si>
  <si>
    <t>SIT CUG Application Server - UIT</t>
  </si>
  <si>
    <t>10.30.140.163</t>
  </si>
  <si>
    <t>10.100.140.163</t>
  </si>
  <si>
    <t>FBA02175</t>
  </si>
  <si>
    <t>SIT CUC Application Server - UIT</t>
  </si>
  <si>
    <t>10.30.140.168</t>
  </si>
  <si>
    <t>10.100.140.168</t>
  </si>
  <si>
    <t>FBA02176</t>
  </si>
  <si>
    <t>Digital Banking - Application 1 - PROD</t>
  </si>
  <si>
    <t>Digital Banking - Application 1 - Pilot</t>
  </si>
  <si>
    <t>FBA02176.firstbank.local</t>
  </si>
  <si>
    <t>10.30.137.172</t>
  </si>
  <si>
    <t>FBA02177</t>
  </si>
  <si>
    <t>Digital Banking - Application 2 - PROD</t>
  </si>
  <si>
    <t>Digital Banking - Application 2 - Pilot</t>
  </si>
  <si>
    <t>FBA02177.firstbank.local</t>
  </si>
  <si>
    <t>10.30.137.173</t>
  </si>
  <si>
    <t>FBA02178</t>
  </si>
  <si>
    <t>Digital Banking - Application 3 - PROD</t>
  </si>
  <si>
    <t>Digital Banking - Application 3 - Pilot</t>
  </si>
  <si>
    <t>FBA02178.firstbank.local</t>
  </si>
  <si>
    <t>10.30.137.174</t>
  </si>
  <si>
    <t>FBA02180</t>
  </si>
  <si>
    <t>Xpress SIT Application Server (D1) - UIT</t>
  </si>
  <si>
    <t>Linux Oracle Enterprise Server 8.10 (5.4.17-2136.320.7.el8uek.x86_64)</t>
  </si>
  <si>
    <t>10.30.140.76</t>
  </si>
  <si>
    <t>10.100.140.76</t>
  </si>
  <si>
    <t>FBA02181</t>
  </si>
  <si>
    <t>FEIS Development Server</t>
  </si>
  <si>
    <t>Linux Oracle Enterprise Server 7.9 (5.4.17-2136.313.6.el7uek.x86_64)</t>
  </si>
  <si>
    <t>10.30.140.72</t>
  </si>
  <si>
    <t>FBA02183</t>
  </si>
  <si>
    <t>BSNEE - Branch Digital Screens Server</t>
  </si>
  <si>
    <t>BSNEE</t>
  </si>
  <si>
    <t>Marketing</t>
  </si>
  <si>
    <t>Cristina Rodriguez</t>
  </si>
  <si>
    <t>Cristina Rodriguez /Felix Otero (felix@sbtechpr.com) / Tais Laborde</t>
  </si>
  <si>
    <t>10.30.163.11</t>
  </si>
  <si>
    <t>FBA02194</t>
  </si>
  <si>
    <t>Eric reported back that FBA02194 was replaced by FBA02378</t>
  </si>
  <si>
    <t>Xamine Dev Server - Zena Scheduler</t>
  </si>
  <si>
    <t>Xamine Dev Server</t>
  </si>
  <si>
    <t>FBA02194.firstbank.local</t>
  </si>
  <si>
    <t>10.30.140.38</t>
  </si>
  <si>
    <t>fba02195</t>
  </si>
  <si>
    <t>Follow up with Milton/MSS</t>
  </si>
  <si>
    <t>Tenable Nessus Security Center</t>
  </si>
  <si>
    <t>CSO </t>
  </si>
  <si>
    <t>Maria Ripepi</t>
  </si>
  <si>
    <t>Linux Oracle Enterprise Server 7.9 (5.4.17-2136.331.7.el7uek.x86_64)</t>
  </si>
  <si>
    <t>10.30.136.252</t>
  </si>
  <si>
    <t>FBA02196</t>
  </si>
  <si>
    <t>Nexpose Scan Engine</t>
  </si>
  <si>
    <t>FBA02196.firstbank.local</t>
  </si>
  <si>
    <t>10.30.136.57</t>
  </si>
  <si>
    <t>FBA02197</t>
  </si>
  <si>
    <t>D1 SPE/PROD -  Application (Java Server #1)</t>
  </si>
  <si>
    <t>10.30.148.21</t>
  </si>
  <si>
    <t>10.100.148.21</t>
  </si>
  <si>
    <t>FBA02197temp</t>
  </si>
  <si>
    <t>Linux Oracle Enterprise Server 7.9 (5.4.17-2136.329.3.1.el7uek.x86_64)</t>
  </si>
  <si>
    <t>10.30.134.235</t>
  </si>
  <si>
    <t>FBA02198</t>
  </si>
  <si>
    <t>D1 SPE/PROD -  Application (Java Server #2)</t>
  </si>
  <si>
    <t>10.30.148.22</t>
  </si>
  <si>
    <t>10.100.148.22</t>
  </si>
  <si>
    <t>FBA02199</t>
  </si>
  <si>
    <t>D1 SPE/PROD -  Application (Java Server #3)</t>
  </si>
  <si>
    <t>10.30.148.23</t>
  </si>
  <si>
    <t>10.100.148.23</t>
  </si>
  <si>
    <t>FBA02200</t>
  </si>
  <si>
    <t>D1 SPE/PROD -  Application (Java Server #4)</t>
  </si>
  <si>
    <t>10.30.148.24</t>
  </si>
  <si>
    <t>10.100.148.24</t>
  </si>
  <si>
    <t>FBA02201</t>
  </si>
  <si>
    <t>D1 SPE/PROD -  Application (JBoss Server #1)</t>
  </si>
  <si>
    <t>10.30.148.25</t>
  </si>
  <si>
    <t>10.100.148.25</t>
  </si>
  <si>
    <t>FBA02202</t>
  </si>
  <si>
    <t>D1 SPE/PROD -  Application (JBoss Server #2)</t>
  </si>
  <si>
    <t>10.30.148.26</t>
  </si>
  <si>
    <t>10.100.148.26</t>
  </si>
  <si>
    <t>FBA02202temp</t>
  </si>
  <si>
    <t>10.30.134.236</t>
  </si>
  <si>
    <t>FBA02203</t>
  </si>
  <si>
    <t>D1 SPE/PROD -  Application (JBoss Server #3)</t>
  </si>
  <si>
    <t>10.30.148.27</t>
  </si>
  <si>
    <t>10.100.148.27</t>
  </si>
  <si>
    <t>FBA02204</t>
  </si>
  <si>
    <t>D1 SPE/PROD -  Application (JBoss Server #4)</t>
  </si>
  <si>
    <t>Linux Oracle Enterprise Server 7.9 (5.4.17-2136.325.5.el7uek.x86_64)</t>
  </si>
  <si>
    <t>10.30.148.28</t>
  </si>
  <si>
    <t>10.100.148.28</t>
  </si>
  <si>
    <t>fba02205</t>
  </si>
  <si>
    <t>D1 SPE/PROD -  Application (JBoss Server #5)</t>
  </si>
  <si>
    <t>10.30.148.29</t>
  </si>
  <si>
    <t>10.100.148.29</t>
  </si>
  <si>
    <t>FBA02206</t>
  </si>
  <si>
    <t>D1 SPE/PROD -  Application (Xpress Server #1)</t>
  </si>
  <si>
    <t>D1 SPE/ -  Application (Xpress#1)</t>
  </si>
  <si>
    <t>John Huertas/Eric Lopez</t>
  </si>
  <si>
    <t>Linux Oracle Enterprise Server 8.9 (5.4.17-2136.330.7.1.el8uek.x86_64)</t>
  </si>
  <si>
    <t>10.30.148.30</t>
  </si>
  <si>
    <t>10.100.148.30</t>
  </si>
  <si>
    <t>FBA02207</t>
  </si>
  <si>
    <t>Follow up on D1</t>
  </si>
  <si>
    <t>SAS</t>
  </si>
  <si>
    <t>FBA02207.firstbank.local</t>
  </si>
  <si>
    <t>10.30.137.161</t>
  </si>
  <si>
    <t>FBA02208</t>
  </si>
  <si>
    <t>Used by more than D1</t>
  </si>
  <si>
    <t>D1 SIT CheckPartner App Server</t>
  </si>
  <si>
    <t>FBA02208.firstbank.local</t>
  </si>
  <si>
    <t>10.30.140.116</t>
  </si>
  <si>
    <t>FBA02209</t>
  </si>
  <si>
    <t>updated CMDB status and environment per Angel - jdeltoro 11/10</t>
  </si>
  <si>
    <t>D1 SPE/PROD -  Application (Xpress Server #2)</t>
  </si>
  <si>
    <t>D1 SPE/ -  Application (Xpress#2)</t>
  </si>
  <si>
    <t>Disposed\Retired</t>
  </si>
  <si>
    <t>10.30.148.31</t>
  </si>
  <si>
    <t>10.100.148.31</t>
  </si>
  <si>
    <t>FBA02210</t>
  </si>
  <si>
    <t>D1 SPE/PROD -  Application (Xpress Server #3)</t>
  </si>
  <si>
    <t>D1 SPE/ -  Application (Xpress#3)</t>
  </si>
  <si>
    <t>10.30.148.32</t>
  </si>
  <si>
    <t>10.100.148.32</t>
  </si>
  <si>
    <t>FBA02212</t>
  </si>
  <si>
    <t>D1 SPE/PROD -  Application (Xpress Server #4)</t>
  </si>
  <si>
    <t>D1 SPE/ -  Application (Xpress#4)</t>
  </si>
  <si>
    <t>Linux Oracle Enterprise Server 8.9 (5.4.17-2136.331.7.el8uek.x86_64)</t>
  </si>
  <si>
    <t>10.30.148.33</t>
  </si>
  <si>
    <t>10.100.148.33</t>
  </si>
  <si>
    <t>fba02213</t>
  </si>
  <si>
    <t>REDIS PROD App Server 1 - Digital Banking</t>
  </si>
  <si>
    <t>REDIS PROD App Server 1</t>
  </si>
  <si>
    <t>10.30.134.94</t>
  </si>
  <si>
    <t>fba02214</t>
  </si>
  <si>
    <t>REDIS PROD App Server 2 - Digital Banking</t>
  </si>
  <si>
    <t>REDIS PROD App Server 2</t>
  </si>
  <si>
    <t>Linux Oracle Enterprise Server 8.9 (5.4.17-2136.309.5.el8uek.x86_64)</t>
  </si>
  <si>
    <t>10.30.134.95</t>
  </si>
  <si>
    <t>fba02215</t>
  </si>
  <si>
    <t>REDIS PROD App Server 3 - Digital Banking</t>
  </si>
  <si>
    <t>REDIS PROD App Server 3</t>
  </si>
  <si>
    <t>10.30.134.96</t>
  </si>
  <si>
    <t>FBA02216</t>
  </si>
  <si>
    <t>D1 SPE\PROD -  Application (Item analyze #1)</t>
  </si>
  <si>
    <t>10.30.148.34</t>
  </si>
  <si>
    <t>10.100.148.34</t>
  </si>
  <si>
    <t>FBA02217</t>
  </si>
  <si>
    <t>D1 SPE\PROD -  Application (Item analyze #2)</t>
  </si>
  <si>
    <t>10.30.148.35</t>
  </si>
  <si>
    <t>10.100.148.35</t>
  </si>
  <si>
    <t>FBA02218</t>
  </si>
  <si>
    <t>D1 SPE FEIS (DEV Server)</t>
  </si>
  <si>
    <t>10.30.134.100</t>
  </si>
  <si>
    <t>FBA02220</t>
  </si>
  <si>
    <t>Profitability &amp; BDI Production File Server - Bancware</t>
  </si>
  <si>
    <t>Profitability &amp; BDI Production Server</t>
  </si>
  <si>
    <t>10.30.137.82</t>
  </si>
  <si>
    <t>Standard D16s_v6</t>
  </si>
  <si>
    <t>FBA02221</t>
  </si>
  <si>
    <t>Per Edgardo this is decommissioned - jdeltoro 5/13</t>
  </si>
  <si>
    <t>MQ Java Application #1</t>
  </si>
  <si>
    <t>FBA02222</t>
  </si>
  <si>
    <t>Follow up with Eric per Edgardo - jdeltoro 5/13</t>
  </si>
  <si>
    <t>MQ Java Application #2</t>
  </si>
  <si>
    <t>MQ</t>
  </si>
  <si>
    <t>FIS / Open System</t>
  </si>
  <si>
    <t>Irma Ramos</t>
  </si>
  <si>
    <t>Ana Cruz</t>
  </si>
  <si>
    <t>10.30.140.23</t>
  </si>
  <si>
    <t>FBA02223</t>
  </si>
  <si>
    <t>MQ IBM Websphere</t>
  </si>
  <si>
    <t>10.30.140.49</t>
  </si>
  <si>
    <t>FBA02224</t>
  </si>
  <si>
    <t>Profitability &amp; BDI UAT Server - Bancware</t>
  </si>
  <si>
    <t>Profitability &amp; BDI UAT Server</t>
  </si>
  <si>
    <t>FBA02224.firstbank.local</t>
  </si>
  <si>
    <t>Win2016 10.0.14393.7159 (1607)</t>
  </si>
  <si>
    <t>10.30.140.56</t>
  </si>
  <si>
    <t>FBA02226</t>
  </si>
  <si>
    <t>D1 GTS Remote Desktop</t>
  </si>
  <si>
    <t>FBA02226.firstbank.local</t>
  </si>
  <si>
    <t>10.30.137.71</t>
  </si>
  <si>
    <t>10.100.137.71</t>
  </si>
  <si>
    <t>FBA02227</t>
  </si>
  <si>
    <t>CLCS APPL UAT Server</t>
  </si>
  <si>
    <t xml:space="preserve">CLCS APPL </t>
  </si>
  <si>
    <t>10.30.140.143</t>
  </si>
  <si>
    <t>FBA02228</t>
  </si>
  <si>
    <t>CLCS APPL ROD Server</t>
  </si>
  <si>
    <t xml:space="preserve">CLCS APPL ROD </t>
  </si>
  <si>
    <t>Win2016 10.0.14393.5717 (1607)</t>
  </si>
  <si>
    <t>10.30.137.93</t>
  </si>
  <si>
    <t>FBA02229</t>
  </si>
  <si>
    <t>Tenable Virtual Appliance 4.8.0 (Nesus) MR1130</t>
  </si>
  <si>
    <t xml:space="preserve">Tenable Virtual Appliance 4.8.0 (Nesus) </t>
  </si>
  <si>
    <t>10.30.136.6</t>
  </si>
  <si>
    <t>FBA02230</t>
  </si>
  <si>
    <t>EUDA Lifetime Outsystems Temp and no longer used</t>
  </si>
  <si>
    <t>EUDA</t>
  </si>
  <si>
    <t>EUDA Lifetime</t>
  </si>
  <si>
    <t>FBA02231</t>
  </si>
  <si>
    <t>EUDA - Outsystems UAT Temp and no longer used</t>
  </si>
  <si>
    <t>EUDA - Outsystems UAT</t>
  </si>
  <si>
    <t>FBA02232</t>
  </si>
  <si>
    <t>EUDA - Outsystems Development Temp and no longer used</t>
  </si>
  <si>
    <t>EUDA - Outsystems Development</t>
  </si>
  <si>
    <t>FBA02233</t>
  </si>
  <si>
    <t>EUDA - Outsystems Production Temp and no longer used</t>
  </si>
  <si>
    <t>EUDA - Outsystems Production</t>
  </si>
  <si>
    <t>FBA02235</t>
  </si>
  <si>
    <t>D1 Onbase WKSOBDocComp 1</t>
  </si>
  <si>
    <t>FBA02235.firstbank.local</t>
  </si>
  <si>
    <t>10.30.137.22</t>
  </si>
  <si>
    <t>FBA02236</t>
  </si>
  <si>
    <t>D1 Onbase WKSOBDocComp 2</t>
  </si>
  <si>
    <t>D1 Onbase Appserver 2</t>
  </si>
  <si>
    <t>FBA02236.firstbank.local</t>
  </si>
  <si>
    <t>10.30.137.73</t>
  </si>
  <si>
    <t>FBA02237</t>
  </si>
  <si>
    <t xml:space="preserve"> D1 Onbase WKSOBDocComp 1</t>
  </si>
  <si>
    <t>FBA02237.firstbank.local</t>
  </si>
  <si>
    <t>10.30.137.86</t>
  </si>
  <si>
    <t>FBA02238</t>
  </si>
  <si>
    <t>D1 Onbase AppServer 2</t>
  </si>
  <si>
    <t>FBA02238.firstbank.local</t>
  </si>
  <si>
    <t>10.30.137.95</t>
  </si>
  <si>
    <t>FBA02239</t>
  </si>
  <si>
    <t>Onbase Report Web PCI</t>
  </si>
  <si>
    <t>Onbase Report Web Server Prod 1</t>
  </si>
  <si>
    <t>10.30.148.50</t>
  </si>
  <si>
    <t>FBA02240</t>
  </si>
  <si>
    <t>Onbase Report Web Server Prod 2</t>
  </si>
  <si>
    <t>10.30.148.51</t>
  </si>
  <si>
    <t>FBA02241</t>
  </si>
  <si>
    <t>Moved to Vendor Cloud</t>
  </si>
  <si>
    <t>Fimo Jira UAT</t>
  </si>
  <si>
    <t>Fimo Jira</t>
  </si>
  <si>
    <t>Linux Oracle Enterprise Server 7.9 (4.1.12-124.85.1.el7uek.x86_64)</t>
  </si>
  <si>
    <t>10.30.140.106</t>
  </si>
  <si>
    <t>FBA02242</t>
  </si>
  <si>
    <t>FIMO Jira Prod</t>
  </si>
  <si>
    <t>FIMO Jira</t>
  </si>
  <si>
    <t>Linux Oracle Enterprise Server 7.9 (4.1.12-124.71.3.el7uek.x86_64)</t>
  </si>
  <si>
    <t>10.30.134.44</t>
  </si>
  <si>
    <t>FBA02245</t>
  </si>
  <si>
    <t>Tenable Virtual Appliance 4.8.0 (Nexus) PCI</t>
  </si>
  <si>
    <t>Tenable Virtual Appliance 4.8.0 (Nexus)</t>
  </si>
  <si>
    <t>10.30.151.6</t>
  </si>
  <si>
    <t>FBA02247</t>
  </si>
  <si>
    <t>Tenable Virtual Appliance 4.8.0 (Nexus) COB</t>
  </si>
  <si>
    <t xml:space="preserve">Tenable Virtual Appliance 4.8.0 (Nexus) </t>
  </si>
  <si>
    <t>D1 Performance monitoring 1</t>
  </si>
  <si>
    <t>10.19.137.6</t>
  </si>
  <si>
    <t>FBA02248</t>
  </si>
  <si>
    <t>Tenable Virtual Appliance 4.8.0 (Nexus) MR1130</t>
  </si>
  <si>
    <t>10.30.136.7</t>
  </si>
  <si>
    <t>FBA02249</t>
  </si>
  <si>
    <t>10.19.151.6</t>
  </si>
  <si>
    <t>FBA02250</t>
  </si>
  <si>
    <t>Tenable Windows 2016 Image</t>
  </si>
  <si>
    <t>FBA02250.firstbank.local</t>
  </si>
  <si>
    <t>10.30.140.250</t>
  </si>
  <si>
    <t>FBA02252</t>
  </si>
  <si>
    <t>Decommissioned per ticket CH25000179097 in CMC meeting - jdeltoro 7/30</t>
  </si>
  <si>
    <t>Tenable Windows 2012 Image (Tenable Template Hardening Testing Server)</t>
  </si>
  <si>
    <t>Tenable Windows 2012 Image (Tenable Template Hardeninging )</t>
  </si>
  <si>
    <t>FBA02252.firstbank.local</t>
  </si>
  <si>
    <t>10.30.140.25</t>
  </si>
  <si>
    <t>FBA02253</t>
  </si>
  <si>
    <t>D1 Checkpartner Enterprise Prod (CPE)</t>
  </si>
  <si>
    <t>FBA02253.firstbank.local</t>
  </si>
  <si>
    <t>10.30.137.48</t>
  </si>
  <si>
    <t>10.100.137.48</t>
  </si>
  <si>
    <t>FBA02256</t>
  </si>
  <si>
    <t>Xamine Operator Machine (FB56220 Clone)</t>
  </si>
  <si>
    <t>10.30.137.115</t>
  </si>
  <si>
    <t>10.100.137.115</t>
  </si>
  <si>
    <t>FBA02257</t>
  </si>
  <si>
    <t>Databases do require encryption; no concerns for moving in group 4 currently; need to review with vendor</t>
  </si>
  <si>
    <t>APPRO - Doc Manager - UAT\TEST</t>
  </si>
  <si>
    <t>fba02257.firstbank.local</t>
  </si>
  <si>
    <t>10.30.140.155</t>
  </si>
  <si>
    <t>FBA02258</t>
  </si>
  <si>
    <t>APPRO - RISK - UAT\TEST</t>
  </si>
  <si>
    <t>FBA02258.firstbank.local</t>
  </si>
  <si>
    <t>10.30.140.156</t>
  </si>
  <si>
    <t>FBA02259</t>
  </si>
  <si>
    <t>APPRO - ALEX - UAT\TEST</t>
  </si>
  <si>
    <t>FBA02259.firstbank.local</t>
  </si>
  <si>
    <t>10.30.140.157</t>
  </si>
  <si>
    <t>FBA02263</t>
  </si>
  <si>
    <t>UAT Xpress Server 1 - Websphere</t>
  </si>
  <si>
    <t>Eloan UAT Xpress Server 1</t>
  </si>
  <si>
    <t>Linux Oracle Enterprise Server 8.10 (5.4.17-2136.327.2.el8uek.x86_64)</t>
  </si>
  <si>
    <t>10.30.140.131</t>
  </si>
  <si>
    <t>10.100.140.131</t>
  </si>
  <si>
    <t>FBA02264</t>
  </si>
  <si>
    <t>UAT Xpress Server 2 - Websphere</t>
  </si>
  <si>
    <t>Eloan UAT Xpress Server 2</t>
  </si>
  <si>
    <t>Linux Oracle Enterprise Server 8.9 (5.4.17-2136.328.3.el8uek.x86_64)</t>
  </si>
  <si>
    <t>10.30.140.142</t>
  </si>
  <si>
    <t>10.100.140.142</t>
  </si>
  <si>
    <t>FBA02265</t>
  </si>
  <si>
    <t>Xamine Operator Machine (FB56218 Clone)</t>
  </si>
  <si>
    <t>FBA02265.firstbank.local</t>
  </si>
  <si>
    <t>10.30.137.29</t>
  </si>
  <si>
    <t>10.100.137.29</t>
  </si>
  <si>
    <t>FBA02266</t>
  </si>
  <si>
    <t>Xamine Operator Machine (fb56219 Clone)</t>
  </si>
  <si>
    <t>FBA02266.firstbank.local</t>
  </si>
  <si>
    <t>10.30.137.33</t>
  </si>
  <si>
    <t>10.100.137.33</t>
  </si>
  <si>
    <t>FBA02267</t>
  </si>
  <si>
    <t>SIT Item Analysis Server ( IAS )</t>
  </si>
  <si>
    <t>FBA02267.firstbank.local</t>
  </si>
  <si>
    <t>10.30.140.42</t>
  </si>
  <si>
    <t>FBA02269</t>
  </si>
  <si>
    <t>D1 Checkpartner Enterprise Server (CPE) 2</t>
  </si>
  <si>
    <t>FBA02269.firstbank.local</t>
  </si>
  <si>
    <t>10.30.137.78</t>
  </si>
  <si>
    <t>10.100.137.78</t>
  </si>
  <si>
    <t>FBA02270</t>
  </si>
  <si>
    <t>D1 Training Xpress</t>
  </si>
  <si>
    <t>10.30.140.16</t>
  </si>
  <si>
    <t>10.100.140.16</t>
  </si>
  <si>
    <t>FBA02272</t>
  </si>
  <si>
    <t>D1 Training Glass</t>
  </si>
  <si>
    <t>10.30.140.242</t>
  </si>
  <si>
    <t>10.100.140.242</t>
  </si>
  <si>
    <t>FBA02273</t>
  </si>
  <si>
    <t>D1 Traning Connect</t>
  </si>
  <si>
    <t>10.30.140.243</t>
  </si>
  <si>
    <t>10.100.140.243</t>
  </si>
  <si>
    <t>FBA02274</t>
  </si>
  <si>
    <t>Server is obsolete and decommissioned per Gilberto - jdeltoro 11/13</t>
  </si>
  <si>
    <t>PCI CDO SANDBOX - SSIS ETL Framework</t>
  </si>
  <si>
    <t>CDO SANDBOX - SSIS ETL Framework</t>
  </si>
  <si>
    <t>PCI CDO SANBOX - SSIS ETL Framework</t>
  </si>
  <si>
    <t>10.30.148.10</t>
  </si>
  <si>
    <t>fba02275</t>
  </si>
  <si>
    <t>D1 Orbograph License Server SIT</t>
  </si>
  <si>
    <t>FBA02275.firstbank.local</t>
  </si>
  <si>
    <t>10.30.140.29</t>
  </si>
  <si>
    <t>10.100.140.29</t>
  </si>
  <si>
    <t>fba02276</t>
  </si>
  <si>
    <t>Follow up on working session Tuesday 5/13 with Omar and Eric to log into this server and review applications - jdeltoro 5/9; Eric to follow up on this with his team to do deep dive of applications jdeltoro 5/13</t>
  </si>
  <si>
    <t>Eric</t>
  </si>
  <si>
    <t>IIS Consolidated UIT/DEV - (FB57768 - FB57769 - FBA06006 upgrade)</t>
  </si>
  <si>
    <t>IIS Consolidated</t>
  </si>
  <si>
    <t>FBA02276.firstbank.local</t>
  </si>
  <si>
    <t>10.30.140.30</t>
  </si>
  <si>
    <t>fba02277</t>
  </si>
  <si>
    <t>D1 Orbograph License Server 1 PROD</t>
  </si>
  <si>
    <t>10.30.148.44</t>
  </si>
  <si>
    <t>10.100.148.44</t>
  </si>
  <si>
    <t>fba02278</t>
  </si>
  <si>
    <t>Related to D1 - No Migrate (Development team jumpbox)</t>
  </si>
  <si>
    <t>Windows 2016 Development Server</t>
  </si>
  <si>
    <t>Windows 2016</t>
  </si>
  <si>
    <t>FBA02278.firstbank.local</t>
  </si>
  <si>
    <t>10.30.140.62</t>
  </si>
  <si>
    <t>FBA02279</t>
  </si>
  <si>
    <t>No Migrate - Part of D1 Migration</t>
  </si>
  <si>
    <t>Linux 7 Development Server</t>
  </si>
  <si>
    <t>Linux 7</t>
  </si>
  <si>
    <t>10.30.140.63</t>
  </si>
  <si>
    <t>FBA02281</t>
  </si>
  <si>
    <t>No migration per Coralia - jdeltoro 10/17</t>
  </si>
  <si>
    <t>MortgageWare</t>
  </si>
  <si>
    <t>FBA02281.firstbank.local</t>
  </si>
  <si>
    <t>10.30.137.165</t>
  </si>
  <si>
    <t>FBA02282</t>
  </si>
  <si>
    <t>Varonis Server SOLR - APP</t>
  </si>
  <si>
    <t>FBA02282.firstbank.local</t>
  </si>
  <si>
    <t>10.30.137.221</t>
  </si>
  <si>
    <t>FBA02283</t>
  </si>
  <si>
    <t>VARONIS COLLECTOR 04</t>
  </si>
  <si>
    <t>FBA02283.firstbank.local</t>
  </si>
  <si>
    <t>10.30.137.132</t>
  </si>
  <si>
    <t>FBA02284</t>
  </si>
  <si>
    <t>Reviewed databases with Omar and no concerns. Reviewed dependency with APPRO and determined that this needs to move in Milestone 3; also has a dependency on Load Balancer for FEIS - jdeltoro 5/22</t>
  </si>
  <si>
    <t>ITDG APPL UIT</t>
  </si>
  <si>
    <t>Alfredo Mercado</t>
  </si>
  <si>
    <t>ITDG/Felix Lafountaine</t>
  </si>
  <si>
    <t>FBA02284.firstbank.local</t>
  </si>
  <si>
    <t>10.30.140.32</t>
  </si>
  <si>
    <t>FBA02289</t>
  </si>
  <si>
    <t>ITDG APPL UAT (E-firstclass/Eloan/OSS/NMS/Imaps</t>
  </si>
  <si>
    <t>ITDG APPL UAT (Efirstclass/Eloan/OSS/NMS/Imaps</t>
  </si>
  <si>
    <t>FBA02289.firstbank.local</t>
  </si>
  <si>
    <t>10.30.140.33</t>
  </si>
  <si>
    <t>FBA02290</t>
  </si>
  <si>
    <t>Moved to Milestone 2 - jdeltoro 5/9</t>
  </si>
  <si>
    <t>ITDG APPL PROD #1 (Eloan/OSS/NMS/Imaps</t>
  </si>
  <si>
    <t>FBA02290.firstbank.local</t>
  </si>
  <si>
    <t>ITDG Apps</t>
  </si>
  <si>
    <t>10.30.137.207</t>
  </si>
  <si>
    <t>FBA02291</t>
  </si>
  <si>
    <t>ITDG APPL PROD #2 (e-firstclass windows service)</t>
  </si>
  <si>
    <t>ITDG APPL PROD #2 (efirstclass windows service)</t>
  </si>
  <si>
    <t>FBA02291.firstbank.local</t>
  </si>
  <si>
    <t>10.30.137.214</t>
  </si>
  <si>
    <t>FBA02292</t>
  </si>
  <si>
    <t>Decommissioned per Angel - 3/7/2025 jdeltoro</t>
  </si>
  <si>
    <t>ISIM Adapter Agent 1</t>
  </si>
  <si>
    <t>ISIM</t>
  </si>
  <si>
    <t>fba02292</t>
  </si>
  <si>
    <t>FBA02292.firstbank.local</t>
  </si>
  <si>
    <t>10.30.137.191</t>
  </si>
  <si>
    <t>FBA02293</t>
  </si>
  <si>
    <t>ISIM Adapter Agent 2</t>
  </si>
  <si>
    <t>FBA02293.firstbank.local</t>
  </si>
  <si>
    <t>FBA02294</t>
  </si>
  <si>
    <t>D1 Glass UAT Server</t>
  </si>
  <si>
    <t>10.30.140.26</t>
  </si>
  <si>
    <t>10.100.140.26</t>
  </si>
  <si>
    <t>FBA02295</t>
  </si>
  <si>
    <t>D1 Connect UAT Server</t>
  </si>
  <si>
    <t>10.30.140.37</t>
  </si>
  <si>
    <t>10.100.140.37</t>
  </si>
  <si>
    <t>FBA02298</t>
  </si>
  <si>
    <t>No Migrate - Powered off</t>
  </si>
  <si>
    <t>On Base E-Contracting Auto / E-Firstclass</t>
  </si>
  <si>
    <t>FBA02299</t>
  </si>
  <si>
    <t>On Base E-Contracting Auto  / E-Firstclass</t>
  </si>
  <si>
    <t>FBA02300</t>
  </si>
  <si>
    <t>Profitability &amp; BDI Contingency Server - Bancware</t>
  </si>
  <si>
    <t>Profitability &amp; BDI Contingency Server</t>
  </si>
  <si>
    <t>FBA02300.firstbank.local</t>
  </si>
  <si>
    <t>10.0.151.110</t>
  </si>
  <si>
    <t>FBA02303</t>
  </si>
  <si>
    <t>Ricoh Papercut PCC Server</t>
  </si>
  <si>
    <t xml:space="preserve">Ricoh Papercut PCC </t>
  </si>
  <si>
    <t>FBA02303.firstbank.local</t>
  </si>
  <si>
    <t>10.30.137.129</t>
  </si>
  <si>
    <t>FBA02304</t>
  </si>
  <si>
    <t>Ricoh OCR Scanning Server</t>
  </si>
  <si>
    <t xml:space="preserve">Ricoh OCR Scanning </t>
  </si>
  <si>
    <t>FBA02304.firstbank.local</t>
  </si>
  <si>
    <t>10.30.137.130</t>
  </si>
  <si>
    <t>FBA02307</t>
  </si>
  <si>
    <t>Confirmed with JT no migration - jdeltoro 5/9</t>
  </si>
  <si>
    <t>GFT MQ New</t>
  </si>
  <si>
    <t>GFT</t>
  </si>
  <si>
    <t>10.30.156.111</t>
  </si>
  <si>
    <t>FBA02307-2022</t>
  </si>
  <si>
    <t>GFT MQ Win2022 MQ 9.4</t>
  </si>
  <si>
    <t>10.30.137.244</t>
  </si>
  <si>
    <t>FBA02308</t>
  </si>
  <si>
    <t>GFT MQ New - COB</t>
  </si>
  <si>
    <t>10.19.156.111</t>
  </si>
  <si>
    <t>FBA02308-2022</t>
  </si>
  <si>
    <t>GFT MQ Win2022 MQ 9.4 COB</t>
  </si>
  <si>
    <t>10.19.137.160</t>
  </si>
  <si>
    <t>FBA02309</t>
  </si>
  <si>
    <t>GFT Crystal Reports New</t>
  </si>
  <si>
    <t>10.30.157.207</t>
  </si>
  <si>
    <t>FBA02310</t>
  </si>
  <si>
    <t>GFT Crystal Reports New - COB</t>
  </si>
  <si>
    <t>10.19.157.206</t>
  </si>
  <si>
    <t>FBA02311</t>
  </si>
  <si>
    <t>D1 Glory HA Device Controller  server 1 DEV</t>
  </si>
  <si>
    <t>10.30.140.158</t>
  </si>
  <si>
    <t>10.100.140.158</t>
  </si>
  <si>
    <t>FBA02312</t>
  </si>
  <si>
    <t>D1 Glory HA Device Controller  server 2  Dev</t>
  </si>
  <si>
    <t>10.30.140.159</t>
  </si>
  <si>
    <t>10.100.140.159</t>
  </si>
  <si>
    <t>FBA02313</t>
  </si>
  <si>
    <t>CA Server 01</t>
  </si>
  <si>
    <t>CA</t>
  </si>
  <si>
    <t xml:space="preserve"> Certificate Authority (CA) Server 01</t>
  </si>
  <si>
    <t>Milton Rojas (CSO)</t>
  </si>
  <si>
    <t>German Ferrer</t>
  </si>
  <si>
    <t>FBA02313.firstbank.local</t>
  </si>
  <si>
    <t>10.30.137.236</t>
  </si>
  <si>
    <t>FBA02314</t>
  </si>
  <si>
    <t>CA Server 02</t>
  </si>
  <si>
    <t>Certificate Authority (CA) Server 02</t>
  </si>
  <si>
    <t>FBA02314.firstbank.local</t>
  </si>
  <si>
    <t>10.30.137.237</t>
  </si>
  <si>
    <t>FBA02315</t>
  </si>
  <si>
    <t>CA Server 03</t>
  </si>
  <si>
    <t>Certificate Authority (CA) Server 03</t>
  </si>
  <si>
    <t>FBA02315.firstbank.local</t>
  </si>
  <si>
    <t>10.30.137.238</t>
  </si>
  <si>
    <t>FBA02316</t>
  </si>
  <si>
    <t>IBM SKLM 01</t>
  </si>
  <si>
    <t>Linux Red Hat Enterprise 8.5 (4.18.0-305.12.1.el8_4.x86_64)</t>
  </si>
  <si>
    <t>10.30.129.34</t>
  </si>
  <si>
    <t>FBA02317</t>
  </si>
  <si>
    <t>IBM SKLM 02</t>
  </si>
  <si>
    <t>10.30.129.35</t>
  </si>
  <si>
    <t>fba02318</t>
  </si>
  <si>
    <t>IBM SKLM 03</t>
  </si>
  <si>
    <t>Linux Red Hat Enterprise 8.5 (4.18.0-348.12.2.el8_5.x86_64)</t>
  </si>
  <si>
    <t>10.20.101.34</t>
  </si>
  <si>
    <t>fba02319</t>
  </si>
  <si>
    <t>IBM SKLM 04</t>
  </si>
  <si>
    <t>10.20.101.35</t>
  </si>
  <si>
    <t>FBA02320</t>
  </si>
  <si>
    <t>VDI RDS License Server</t>
  </si>
  <si>
    <t xml:space="preserve">VDI RDS License </t>
  </si>
  <si>
    <t>Multiple VDI Users</t>
  </si>
  <si>
    <t>Rafael Perez/Carlos Castillo</t>
  </si>
  <si>
    <t>FBA02320.firstbank.local</t>
  </si>
  <si>
    <t>10.30.137.119</t>
  </si>
  <si>
    <t>FBA02321</t>
  </si>
  <si>
    <t>Radius Server 01 (MFA)</t>
  </si>
  <si>
    <t>Radius01 (MFA)</t>
  </si>
  <si>
    <t>FBA02321.firstbank.local</t>
  </si>
  <si>
    <t>10.30.137.177</t>
  </si>
  <si>
    <t>FBA02322</t>
  </si>
  <si>
    <t>Radius Server 02 (MFA)</t>
  </si>
  <si>
    <t>Radius02 (MFA)</t>
  </si>
  <si>
    <t>FBA02322.firstbank.local</t>
  </si>
  <si>
    <t>10.30.137.178</t>
  </si>
  <si>
    <t>FBA02323</t>
  </si>
  <si>
    <t>DRA Global Master (MFA)</t>
  </si>
  <si>
    <t>NetIQ</t>
  </si>
  <si>
    <t>CSO</t>
  </si>
  <si>
    <t>Omar Cuadrado</t>
  </si>
  <si>
    <t>DRA</t>
  </si>
  <si>
    <t>10.30.192.104</t>
  </si>
  <si>
    <t>FBA02324</t>
  </si>
  <si>
    <t>DRA Slave Server (MFA)</t>
  </si>
  <si>
    <t>10.30.192.105</t>
  </si>
  <si>
    <t>FBA02325</t>
  </si>
  <si>
    <t>Econtracting Onbase App Server 1</t>
  </si>
  <si>
    <t xml:space="preserve"> OnBase(Moex) App Server 1</t>
  </si>
  <si>
    <t>FBA02325.firstbank.local</t>
  </si>
  <si>
    <t>10.30.137.243</t>
  </si>
  <si>
    <t>FBA02326</t>
  </si>
  <si>
    <t>Econtracting Onbase App Server 2</t>
  </si>
  <si>
    <t xml:space="preserve"> OnBase(Moex) App Server 2</t>
  </si>
  <si>
    <t>FBA02326.firstbank.local</t>
  </si>
  <si>
    <t>10.30.137.250</t>
  </si>
  <si>
    <t>FBA02327</t>
  </si>
  <si>
    <t>D1 Glory HA Device Controller Prod Server 1</t>
  </si>
  <si>
    <t>10.30.134.115</t>
  </si>
  <si>
    <t>10.100.134.115</t>
  </si>
  <si>
    <t>FBA02328</t>
  </si>
  <si>
    <t>D1 Glory HA Device Controller Prod Server 2</t>
  </si>
  <si>
    <t>10.30.134.116</t>
  </si>
  <si>
    <t>10.100.134.116</t>
  </si>
  <si>
    <t>FBA02329</t>
  </si>
  <si>
    <t>Onbase temp Document Conversion Server</t>
  </si>
  <si>
    <t>FBA02329.firstbank.local</t>
  </si>
  <si>
    <t>10.30.137.232</t>
  </si>
  <si>
    <t>FBA02331</t>
  </si>
  <si>
    <t>Datacard CardWizard Issuance Software</t>
  </si>
  <si>
    <t xml:space="preserve">Datacard CardWizard </t>
  </si>
  <si>
    <t>FBA02331.firstbank.local</t>
  </si>
  <si>
    <t>10.30.137.109</t>
  </si>
  <si>
    <t>FBA02333</t>
  </si>
  <si>
    <t>Feis Application Server 7 Prod</t>
  </si>
  <si>
    <t>10.30.134.117</t>
  </si>
  <si>
    <t>fba02334</t>
  </si>
  <si>
    <t>B2B Perimeter Server – UAT.</t>
  </si>
  <si>
    <t>B2B Perimeterâ€“.</t>
  </si>
  <si>
    <t>FBA02334</t>
  </si>
  <si>
    <t>10.30.140.7</t>
  </si>
  <si>
    <t>FBA02335</t>
  </si>
  <si>
    <t>Opmanager Central Server</t>
  </si>
  <si>
    <t xml:space="preserve">Opmanager Central </t>
  </si>
  <si>
    <t>FBA02335.firstbank.local</t>
  </si>
  <si>
    <t>10.30.75.43</t>
  </si>
  <si>
    <t>FBA02336</t>
  </si>
  <si>
    <t>Opmanager Probe 1 Server</t>
  </si>
  <si>
    <t>FBA02336.firstbank.local</t>
  </si>
  <si>
    <t>10.30.75.44</t>
  </si>
  <si>
    <t>FBA02337</t>
  </si>
  <si>
    <t>Opmanager Probe 2 Server</t>
  </si>
  <si>
    <t xml:space="preserve">Opmanager Probe 2 </t>
  </si>
  <si>
    <t>FBA02337.firstbank.local</t>
  </si>
  <si>
    <t>10.30.75.42</t>
  </si>
  <si>
    <t>FBA02338</t>
  </si>
  <si>
    <t>Opmanager Probe 3 Server</t>
  </si>
  <si>
    <t xml:space="preserve">Opmanager Probe 3 </t>
  </si>
  <si>
    <t>FBA02338.firstbank.local</t>
  </si>
  <si>
    <t>10.30.75.46</t>
  </si>
  <si>
    <t>fba02339</t>
  </si>
  <si>
    <t>B2Bi Perimeter Server (PROD-DMX)</t>
  </si>
  <si>
    <t>B2Bi Perimeter(-DMX)</t>
  </si>
  <si>
    <t>FBA02339</t>
  </si>
  <si>
    <t>10.30.192.183</t>
  </si>
  <si>
    <t>FBA02340</t>
  </si>
  <si>
    <t>Review with Omar - DB should be no concern; Dependency on FBA65031 - MSSQL Server; Does interface with FEIS; also has a connection from FBA02239 on port 1688 for ASG Mobius 8; Angel reviewed and no concern;  Ana Cruz to follow up with InfoCorp - jdeltoro 5/15; per Ana no connection requirements to FBA02239. Does access a load balancer 10.30.140.215, connects to 140.91, 92,93, and 97 - jdeltoro 5/29</t>
  </si>
  <si>
    <t>Business eStatement Viewer APP - UIT</t>
  </si>
  <si>
    <t>Business eStatement</t>
  </si>
  <si>
    <t>Arnold Rivera</t>
  </si>
  <si>
    <t>FBA02340.firstbank.local</t>
  </si>
  <si>
    <t>10.30.140.112</t>
  </si>
  <si>
    <t>FBA02341</t>
  </si>
  <si>
    <t>Business eStatement Viewer APP 1 - PROD</t>
  </si>
  <si>
    <t>FBA02341.firstbank.local</t>
  </si>
  <si>
    <t>10.30.137.57</t>
  </si>
  <si>
    <t>FBA02342</t>
  </si>
  <si>
    <t>Business eStatement Viewer APP 2 - PROD</t>
  </si>
  <si>
    <t>FBA02342.firstbank.local</t>
  </si>
  <si>
    <t>10.30.137.58</t>
  </si>
  <si>
    <t>FBA02343</t>
  </si>
  <si>
    <t>IBM ISIM Appliance</t>
  </si>
  <si>
    <t>FBA02344</t>
  </si>
  <si>
    <t>10.30.192.6</t>
  </si>
  <si>
    <t>FBA02345</t>
  </si>
  <si>
    <t>Decommission</t>
  </si>
  <si>
    <t>10.30.129.29</t>
  </si>
  <si>
    <t>FBA02346</t>
  </si>
  <si>
    <t>FortyAthenPOC Test Host</t>
  </si>
  <si>
    <t>FortyAthen Host</t>
  </si>
  <si>
    <t>Linux Oracle Enterprise Server 7.9 (4.1.12-124.68.3.1.el7uek.x86_64)</t>
  </si>
  <si>
    <t>10.30.140.89</t>
  </si>
  <si>
    <t>FBA02347</t>
  </si>
  <si>
    <t>Follow up with Omar - Dependency on FBA65030 - MSSQL Server; Does interface with FEIS;  Ana Cruz to follow up with InfoCorp - jdeltoro 5/15; per Ana no connection requirements to FBA02239. needs review of firewall rules for TSYS FXD - jdeltoro 5/29</t>
  </si>
  <si>
    <t>Business eStatement APP UAT</t>
  </si>
  <si>
    <t>FBA02347.firstbank.local</t>
  </si>
  <si>
    <t>10.30.140.120</t>
  </si>
  <si>
    <t>FBA02348</t>
  </si>
  <si>
    <t>Decommissioned per Angel Lopez - jdeltoro 7/22</t>
  </si>
  <si>
    <t>Logs Repositories</t>
  </si>
  <si>
    <t>Linux Oracle Enterprise Server 7.9 (5.4.17-2136.307.3.1.el7uek.x86_64)</t>
  </si>
  <si>
    <t>10.30.134.132</t>
  </si>
  <si>
    <t>fba02349</t>
  </si>
  <si>
    <t>D1 Orbograph License Server 2 Prod</t>
  </si>
  <si>
    <t>10.30.148.45</t>
  </si>
  <si>
    <t>FBA02350</t>
  </si>
  <si>
    <t>Datacard CardWizard (DEV)</t>
  </si>
  <si>
    <t>FBA02350.firstbank.local</t>
  </si>
  <si>
    <t>10.30.140.104</t>
  </si>
  <si>
    <t>FBA02351</t>
  </si>
  <si>
    <t>Updated to "No Migration" per Angel Lopez - jdeltoro 10/6; updated Application name per Angel - jdeltoro 10/21</t>
  </si>
  <si>
    <t>PR Computer Insurance app for Santander</t>
  </si>
  <si>
    <t>Pricing</t>
  </si>
  <si>
    <t>FBA02351.firstbank.local</t>
  </si>
  <si>
    <t>10.30.137.198</t>
  </si>
  <si>
    <t>FBA02352</t>
  </si>
  <si>
    <t>Onbase v20 appServer 1</t>
  </si>
  <si>
    <t>FBA02352.firstbank.local</t>
  </si>
  <si>
    <t>10.30.140.230</t>
  </si>
  <si>
    <t>FBA02353</t>
  </si>
  <si>
    <t>Onbase v20 appserver 2</t>
  </si>
  <si>
    <t>FBA02353.firstbank.local</t>
  </si>
  <si>
    <t>10.30.140.231</t>
  </si>
  <si>
    <t>FBA02354</t>
  </si>
  <si>
    <t>Onbase v20 appserver 3</t>
  </si>
  <si>
    <t>FBA02354.firstbank.local</t>
  </si>
  <si>
    <t>10.30.140.232</t>
  </si>
  <si>
    <t>FBA02355</t>
  </si>
  <si>
    <t>ReconFrontier Application Server</t>
  </si>
  <si>
    <t>ReconFrontier</t>
  </si>
  <si>
    <t>Karina Valentin</t>
  </si>
  <si>
    <t>Norberto Gonzalez</t>
  </si>
  <si>
    <t>FBA02355.firstbank.local</t>
  </si>
  <si>
    <t>10.30.137.20</t>
  </si>
  <si>
    <t>FBA02356</t>
  </si>
  <si>
    <t>Follow up with Norberto Gonzalez, Karina Valentin and Vendor; Follow up with Omar on database on FB65031 - jdeltoro 5/16; Reviewed databases and no concerns; follow up on app info in AMR - jdeltoro 5/29</t>
  </si>
  <si>
    <t>Fiserv ReconFrontier Application Server UAT</t>
  </si>
  <si>
    <t>Fiserv ReconFrontier</t>
  </si>
  <si>
    <t>ReconFrontier Application Server UAT</t>
  </si>
  <si>
    <t>Myriam Cintron</t>
  </si>
  <si>
    <t>FBA02356.firstbank.local</t>
  </si>
  <si>
    <t>10.30.140.151</t>
  </si>
  <si>
    <t>FBA02357</t>
  </si>
  <si>
    <t>New server commission per Angel - jdeltoro 10/21</t>
  </si>
  <si>
    <t>Xapiens - Provisioning Server</t>
  </si>
  <si>
    <t>Xapiens</t>
  </si>
  <si>
    <t>Ubuntu 20.04</t>
  </si>
  <si>
    <t>10.30.165.12</t>
  </si>
  <si>
    <t>FBA02358</t>
  </si>
  <si>
    <t>VeeamOne</t>
  </si>
  <si>
    <t>FBA02358.firstbank.local</t>
  </si>
  <si>
    <t>10.30.129.50</t>
  </si>
  <si>
    <t>FBA02360</t>
  </si>
  <si>
    <t>Network Review for DMZ; Needs follow up as it it talking to FBA08141 and this appears to be a new server; also FBA02458; has dependency on FB65030; it was also noted that these servers will be re-IP'ed and a clone created to replace these server on June 6th, will follow up over the next week to finalize details  - jdeltoro 5/15; moved to Milestone 3 per Angel - jdeltoro 10/21</t>
  </si>
  <si>
    <t>AUTO UAT Onbase WKSOBDocComp - New Onbase systems</t>
  </si>
  <si>
    <t>Gissy Lou</t>
  </si>
  <si>
    <t>AUTO UAT Onbase WKSOBDocComp</t>
  </si>
  <si>
    <t>fba02360.firstbank.local</t>
  </si>
  <si>
    <t>10.30.140.203</t>
  </si>
  <si>
    <t>FBA02361</t>
  </si>
  <si>
    <t>Network Review for DMZ; No issues found in Faddom; it was also noted that these servers will be re-IP'ed and a clone created to replace these server on June 6th, will follow up over the next week to finalize details  - jdeltoro 5/15</t>
  </si>
  <si>
    <t>Auto UAT OnBase E-contracting AppServer</t>
  </si>
  <si>
    <t>FBA02361.firstbank.local</t>
  </si>
  <si>
    <t>10.30.140.204</t>
  </si>
  <si>
    <t>FBA02362</t>
  </si>
  <si>
    <t>Onbase Econtracting DMZ1 - E-Firstclass</t>
  </si>
  <si>
    <t>Onbase Econtracting DMZ 1</t>
  </si>
  <si>
    <t>Onbase Econtracting DMZ1</t>
  </si>
  <si>
    <t>10.30.192.177</t>
  </si>
  <si>
    <t>FBA02363</t>
  </si>
  <si>
    <t>VEEAM Backup</t>
  </si>
  <si>
    <t>FBA02363.firstbank.local</t>
  </si>
  <si>
    <t>10.30.129.51</t>
  </si>
  <si>
    <t>FBA02364</t>
  </si>
  <si>
    <t>VEEAM Ent Server</t>
  </si>
  <si>
    <t xml:space="preserve">VEEAM Ent </t>
  </si>
  <si>
    <t>FBA02364.firstbank.local</t>
  </si>
  <si>
    <t>10.30.129.52</t>
  </si>
  <si>
    <t>FBA02366</t>
  </si>
  <si>
    <t>DebtManager APP/Web PROD</t>
  </si>
  <si>
    <t>10.30.148.90</t>
  </si>
  <si>
    <t>Standard D16ls_v6</t>
  </si>
  <si>
    <t>FBA02367</t>
  </si>
  <si>
    <t>HPE 3PAR Service Control</t>
  </si>
  <si>
    <t>10.20.101.30</t>
  </si>
  <si>
    <t>FBA02368</t>
  </si>
  <si>
    <t>Will be decommissioned per Juan Luis - jdeltoro 5/9</t>
  </si>
  <si>
    <t>Dynatrace ActiveGate UAT (POC)</t>
  </si>
  <si>
    <t xml:space="preserve">Dynatrace ActiveGate </t>
  </si>
  <si>
    <t>Linux Oracle Enterprise Server 8.8 (5.4.17-2136.324.5.3.el8uek.x86_64)</t>
  </si>
  <si>
    <t>10.30.140.210</t>
  </si>
  <si>
    <t>FBA02369</t>
  </si>
  <si>
    <t>New TPSS Oracle 8 Server</t>
  </si>
  <si>
    <t>Linux Oracle Enterprise Server 8.10 (5.4.17-2136.324.5.3.el8uek.x86_64)</t>
  </si>
  <si>
    <t>10.30.140.209</t>
  </si>
  <si>
    <t>10.100.140.209</t>
  </si>
  <si>
    <t>FBA02370</t>
  </si>
  <si>
    <t>NEW Xpress oracle 8 server</t>
  </si>
  <si>
    <t>10.30.140.217</t>
  </si>
  <si>
    <t>10.100.140.217</t>
  </si>
  <si>
    <t>FBA02371</t>
  </si>
  <si>
    <t>Marked as Milestone 2, but non-prod servers are marked as Group Obsolete - needs follow up with Eric - jdeltoro 5/13</t>
  </si>
  <si>
    <t xml:space="preserve">OLS  </t>
  </si>
  <si>
    <t>OLS</t>
  </si>
  <si>
    <t>NEW OLS oracle 8 server</t>
  </si>
  <si>
    <t>10.30.140.225</t>
  </si>
  <si>
    <t>FBA02372</t>
  </si>
  <si>
    <t>Per Eric this is a temporary server and will be decommissioned at a later point in the future - jdeltoro 5/13</t>
  </si>
  <si>
    <t>NEW Account Resolution oracle 8 server (Account Resolution Portal)</t>
  </si>
  <si>
    <t>NEW Account Resolution oracle 8(Account Resolution Portal)</t>
  </si>
  <si>
    <t>NEW Account Resolution oracle 8 server</t>
  </si>
  <si>
    <t>10.30.140.226</t>
  </si>
  <si>
    <t>FBA02375</t>
  </si>
  <si>
    <t>Decommission per ticket CH25000178847 in CMC - jdeltoro 7/30</t>
  </si>
  <si>
    <t>Onbase Econtracting app server 1 new</t>
  </si>
  <si>
    <t>Onbase Econtracting app new</t>
  </si>
  <si>
    <t>10.30.140.222</t>
  </si>
  <si>
    <t>FBA02376</t>
  </si>
  <si>
    <t>Onbase Econtracting app server 2 new</t>
  </si>
  <si>
    <t>FBA02377</t>
  </si>
  <si>
    <t>Updated to "No Migration" per Angel Lopez - jdeltoro 10/6</t>
  </si>
  <si>
    <r>
      <rPr>
        <sz val="11"/>
        <color indexed="8"/>
        <rFont val="Calibri"/>
      </rPr>
      <t xml:space="preserve">Logicity </t>
    </r>
    <r>
      <rPr>
        <strike val="1"/>
        <sz val="11"/>
        <color indexed="8"/>
        <rFont val="Calibri"/>
      </rPr>
      <t>DEV</t>
    </r>
    <r>
      <rPr>
        <sz val="11"/>
        <color indexed="8"/>
        <rFont val="Calibri"/>
      </rPr>
      <t xml:space="preserve"> Server PROD</t>
    </r>
  </si>
  <si>
    <t>Logicity</t>
  </si>
  <si>
    <t>Logicity DEV Server</t>
  </si>
  <si>
    <t>FBA02378</t>
  </si>
  <si>
    <t>Follow up with JT; Eric reported that this server replaced FBA02194; Follow up on Zena Server location, currently targetted for Cloud and may need to go to FIS; This is a scheduler for ETLs and data warehouse - jdeltoro 1/13/25; This could be expanded to be a scheduler for more than Xamine; This would be something possibly in the future, but moving to FIS should be good. - jdeltoro 5/13</t>
  </si>
  <si>
    <t>Zena Server Linux *</t>
  </si>
  <si>
    <t>Zena (Xamine)</t>
  </si>
  <si>
    <t>10.30.134.124</t>
  </si>
  <si>
    <t>10.100.134.124</t>
  </si>
  <si>
    <t>FBA02379</t>
  </si>
  <si>
    <t>Onbase Econtracting app server</t>
  </si>
  <si>
    <t>FBA02379.firstbank.local</t>
  </si>
  <si>
    <t>10.30.137.67</t>
  </si>
  <si>
    <t>FBA02380</t>
  </si>
  <si>
    <t>VEEAM Backup Arterial</t>
  </si>
  <si>
    <t>FBA02380.firstbank.local</t>
  </si>
  <si>
    <t>10.20.101.51</t>
  </si>
  <si>
    <t>FBA02381</t>
  </si>
  <si>
    <t>VEEAM Backup Santurce</t>
  </si>
  <si>
    <t>FBA02382</t>
  </si>
  <si>
    <t>Digital Banking - Application 1 - PROD Upgrade</t>
  </si>
  <si>
    <t>FBA02382.firstbank.local</t>
  </si>
  <si>
    <t>10.30.137.179</t>
  </si>
  <si>
    <t>FBA02383</t>
  </si>
  <si>
    <t>Digital Banking - Application 2 - PROD Upgrade</t>
  </si>
  <si>
    <t>FBA02383.firstbank.local</t>
  </si>
  <si>
    <t>10.30.137.190</t>
  </si>
  <si>
    <t>FBA02384</t>
  </si>
  <si>
    <t>Digital Banking - Application 3 - PROD Upgrade</t>
  </si>
  <si>
    <t>FBA02384.firstbank.local</t>
  </si>
  <si>
    <t>10.30.137.192</t>
  </si>
  <si>
    <t>fba02385</t>
  </si>
  <si>
    <t>SCG VMware Data Domain</t>
  </si>
  <si>
    <t>FBA02385</t>
  </si>
  <si>
    <t>10.30.129.40</t>
  </si>
  <si>
    <t>fba02387</t>
  </si>
  <si>
    <t>Redis UAT Server - Digital Banking</t>
  </si>
  <si>
    <t>Redis UAT Server</t>
  </si>
  <si>
    <t>10.30.140.228</t>
  </si>
  <si>
    <t>fba02388</t>
  </si>
  <si>
    <t>REDIS UIT Server - Digital Banking</t>
  </si>
  <si>
    <t>REDIS UIT Server</t>
  </si>
  <si>
    <t>Linux Oracle Enterprise Server 8.6 (5.4.17-2136.309.5.el8uek.x86_64)</t>
  </si>
  <si>
    <t>10.30.140.239</t>
  </si>
  <si>
    <t>FBA02389</t>
  </si>
  <si>
    <t>FEIS Application server Alterial</t>
  </si>
  <si>
    <t>10.20.106.181</t>
  </si>
  <si>
    <t>FBA02390</t>
  </si>
  <si>
    <t>FEIS Application Server</t>
  </si>
  <si>
    <t>10.20.106.170</t>
  </si>
  <si>
    <t>FBA02391</t>
  </si>
  <si>
    <t>FEIS Application Server Alterial</t>
  </si>
  <si>
    <t>10.20.106.113</t>
  </si>
  <si>
    <t>FBA02392</t>
  </si>
  <si>
    <t>FASTTRACK_Azure Migration Server_</t>
  </si>
  <si>
    <t>FASTTRACK_Azure Migration _</t>
  </si>
  <si>
    <t>FBA02392.firstbank.local</t>
  </si>
  <si>
    <t>10.30.137.38</t>
  </si>
  <si>
    <t>FBA02393</t>
  </si>
  <si>
    <t>Xapiens - Provisioning server prod</t>
  </si>
  <si>
    <t>10.30.167.4</t>
  </si>
  <si>
    <t>FBA02394</t>
  </si>
  <si>
    <t>New VM reported by Angel Lopez - jdeltoro 7/24</t>
  </si>
  <si>
    <t>DebtManager 11 UAT - App-Web-ETL</t>
  </si>
  <si>
    <t>Microsoft Windows Server 2016</t>
  </si>
  <si>
    <t>10.30.140.70</t>
  </si>
  <si>
    <t>FBA02395</t>
  </si>
  <si>
    <t>VEEAM Backup Sungard</t>
  </si>
  <si>
    <t>FBA02395.firstbank.local</t>
  </si>
  <si>
    <t>10.0.151.140</t>
  </si>
  <si>
    <t>FBA02396</t>
  </si>
  <si>
    <t>Onbase Econtracting app server new 2</t>
  </si>
  <si>
    <t>FBA02396.firstbank.local</t>
  </si>
  <si>
    <t>10.30.137.142</t>
  </si>
  <si>
    <t>FBA02397</t>
  </si>
  <si>
    <t>Onbase Econtracting DMZ2</t>
  </si>
  <si>
    <t>10.30.192.178</t>
  </si>
  <si>
    <t>FBA02398</t>
  </si>
  <si>
    <t>Auto UAT onbase WKSOBDocCOMP 2</t>
  </si>
  <si>
    <t>fba02398</t>
  </si>
  <si>
    <t>fba02398.firstbank.local</t>
  </si>
  <si>
    <t>10.30.140.10</t>
  </si>
  <si>
    <t>FBA02398-old</t>
  </si>
  <si>
    <t>Follow up with Lucy, Shela and Vendor - C &amp; R Software (used to be FICO); duplicate server name, follow up - jdeltoro 5/16; Decommissioned per Angel, follow up on .70 server and validate the name of that server - jdeltoro 11/18</t>
  </si>
  <si>
    <t>FBA02394.firstbank.local</t>
  </si>
  <si>
    <t>FBA02399</t>
  </si>
  <si>
    <t>Auto Econtracting Onbase Econtracting DMZ1</t>
  </si>
  <si>
    <t>Auto UAT Onbase Econtracting DMZ 1</t>
  </si>
  <si>
    <t>10.30.192.40</t>
  </si>
  <si>
    <t>FBA02400</t>
  </si>
  <si>
    <t>Auto Econtracting Onbase Econtracting DMZ2</t>
  </si>
  <si>
    <t>Auto UAT Onbase Econtracting DMZ 2</t>
  </si>
  <si>
    <t>10.30.192.41</t>
  </si>
  <si>
    <t>FBA02401</t>
  </si>
  <si>
    <t>Network Review for DMZ; has dependency on FB65030; it was also noted that these servers will be re-IP'ed and a clone created to replace these server on June 6th, will follow up over the next week to finalize details  - jdeltoro 5/15; Moved to milestone 3 per Angel - jdeltoro 10/21</t>
  </si>
  <si>
    <t>Auto UAT Onbase Econtracting app server 1 - New Onbase systems</t>
  </si>
  <si>
    <t>Auto UAT Onbase Econtracting app server 1</t>
  </si>
  <si>
    <t>FBA02401.firstbank.local</t>
  </si>
  <si>
    <t>10.30.140.11</t>
  </si>
  <si>
    <t>FBA02402</t>
  </si>
  <si>
    <t>Auto UAT Onbase Econtracting app server 2</t>
  </si>
  <si>
    <t>FBA02402.firstbank.local</t>
  </si>
  <si>
    <t>10.30.140.12</t>
  </si>
  <si>
    <t>FBA02403</t>
  </si>
  <si>
    <t xml:space="preserve">After ASP migration, the BARR will take reports and pass to OnBase </t>
  </si>
  <si>
    <t>MR1130 BARR NJE (ASP)</t>
  </si>
  <si>
    <t>FBA02403.firstbank.local</t>
  </si>
  <si>
    <t>10.30.133.17</t>
  </si>
  <si>
    <t>FBA02404</t>
  </si>
  <si>
    <t>DR copy of BARR needs to move to Hub 787</t>
  </si>
  <si>
    <t>ARTERIAL BARR NJE (ASP)</t>
  </si>
  <si>
    <t>Win2019 10.0.17763.5820 (1809)</t>
  </si>
  <si>
    <t>10.20.105.17</t>
  </si>
  <si>
    <t>FBA02405</t>
  </si>
  <si>
    <t>Replacement for FBA02334; Dependency currently showing for OCI; no concerns -jdeltoro 5/16</t>
  </si>
  <si>
    <t>B2B Perimeter Server DEV</t>
  </si>
  <si>
    <t>10.30.140.15</t>
  </si>
  <si>
    <t>FBA02406</t>
  </si>
  <si>
    <t>New DB2 Server for B2B Application - Replaced FBA03058; no concerns - jdeltoro 5/16</t>
  </si>
  <si>
    <t>B2B DB2 DEV</t>
  </si>
  <si>
    <t>10.30.140.102</t>
  </si>
  <si>
    <t>FBA02407</t>
  </si>
  <si>
    <t>Replacement of FBA02114; dependency on FBA03159 - Added FBA03159 to group 5, no other concerns - jdeltoro 5/16; Reviewed databased with Omar and no further concerns - jdeltoro 5/29</t>
  </si>
  <si>
    <t>B2B Control Center DEV</t>
  </si>
  <si>
    <t>10.30.140.101</t>
  </si>
  <si>
    <t>FBA02408</t>
  </si>
  <si>
    <t>Replacement of FBA02113; dependency on Oracle systems port 22 possible file transfers, port 10022 from FB65031 and VDI system - jdeltoro 5/16; follow up with Iran Rodriguez</t>
  </si>
  <si>
    <t>Iran Rodriguez</t>
  </si>
  <si>
    <t>B2B Integrator DEV</t>
  </si>
  <si>
    <t>10.30.140.100</t>
  </si>
  <si>
    <t>FBA02409</t>
  </si>
  <si>
    <t>Decommissioned per Angel - 3/25/2025 jdeltoro</t>
  </si>
  <si>
    <t>MOVERE APPL PROD</t>
  </si>
  <si>
    <t>MOVERE APPL</t>
  </si>
  <si>
    <t>FBA02409.firstbank.local</t>
  </si>
  <si>
    <t>10.30.137.31</t>
  </si>
  <si>
    <t>FBA02410</t>
  </si>
  <si>
    <t>TPSS oracle 8 DB ALTERIAL</t>
  </si>
  <si>
    <t>10.20.102.26</t>
  </si>
  <si>
    <t>10.100.102.26</t>
  </si>
  <si>
    <t>FBA02412</t>
  </si>
  <si>
    <t>FBA02412.firstbank.local</t>
  </si>
  <si>
    <t>10.30.137.148</t>
  </si>
  <si>
    <t>FBA02413</t>
  </si>
  <si>
    <t>D1 SPE/PROD -  Application (Xpress Server #1) Aretial</t>
  </si>
  <si>
    <t>D1 SPE/ -  Application (Xpress#1) Aretial</t>
  </si>
  <si>
    <t>10.20.120.30</t>
  </si>
  <si>
    <t>10.100.120.30</t>
  </si>
  <si>
    <t>FBA02414</t>
  </si>
  <si>
    <t>D1 SPE/PROD -  Application (Xpress Server #2) Aretial</t>
  </si>
  <si>
    <t>D1 SPE/ -  Application (Xpress#2) Aretial</t>
  </si>
  <si>
    <t>10.20.120.31</t>
  </si>
  <si>
    <t>10.100.120.31</t>
  </si>
  <si>
    <t>FBA02416</t>
  </si>
  <si>
    <t>BSNEE (Branch Digital Screens) Application Server 2019</t>
  </si>
  <si>
    <t>10.30.163.12</t>
  </si>
  <si>
    <t>FBA02418</t>
  </si>
  <si>
    <t>Dependency on OCI, FB65030 - 3GB DB; Follow up on NetIQ DRA, this talks to this server on 445 - jdeltoro 5/15; Dependency also on FBA03109 DB server and FBA01016 file server. Follow up on performance of file transfers. - jdeltoro 5/29</t>
  </si>
  <si>
    <t>MOEX eLoan Appl UAT</t>
  </si>
  <si>
    <t>MOEX eLoan</t>
  </si>
  <si>
    <t>MOEX eLoan Appl UIT</t>
  </si>
  <si>
    <t>FBA02418.firstbank.local</t>
  </si>
  <si>
    <t>10.30.140.247</t>
  </si>
  <si>
    <t>FBA02419</t>
  </si>
  <si>
    <t>Teneable POC - Directory Listeners</t>
  </si>
  <si>
    <t>Teneable - Directory Listeners</t>
  </si>
  <si>
    <t>FBA02420</t>
  </si>
  <si>
    <t>Teneable POC - Security Engine Nodes</t>
  </si>
  <si>
    <t>Teneable - Security Engine Nodes</t>
  </si>
  <si>
    <t>FBA02421</t>
  </si>
  <si>
    <t>Teneable POC - Storage Manager</t>
  </si>
  <si>
    <t>Teneable - Storage Manager</t>
  </si>
  <si>
    <t>FBA02422</t>
  </si>
  <si>
    <t>Follow up with Rafi - Licensing Requirements - On-Prem vs Cloud Bots; Decommissioned per Angel - jdeltoro 10/21</t>
  </si>
  <si>
    <t>Rafi</t>
  </si>
  <si>
    <t>RPA TEST AUTOMATIONS</t>
  </si>
  <si>
    <t>RPA</t>
  </si>
  <si>
    <t>Jesus Sanchez</t>
  </si>
  <si>
    <t>FBA02422.firstbank.local</t>
  </si>
  <si>
    <t>10.30.140.181</t>
  </si>
  <si>
    <t>FBA02423</t>
  </si>
  <si>
    <t>Follow up with Wilson on destination of server and application to stay on-site - jdeltoro 5/8</t>
  </si>
  <si>
    <t>CyberArk</t>
  </si>
  <si>
    <t xml:space="preserve"> CyberArk</t>
  </si>
  <si>
    <t>Wilson Figueroa/German Ferrar</t>
  </si>
  <si>
    <t>10.30.162.11</t>
  </si>
  <si>
    <t>FBA02424</t>
  </si>
  <si>
    <t>CyberArk 2</t>
  </si>
  <si>
    <t>Cyber Ark 2</t>
  </si>
  <si>
    <t>10.30.162.12</t>
  </si>
  <si>
    <t>FBA02425</t>
  </si>
  <si>
    <t>CyberArk 3</t>
  </si>
  <si>
    <t>CyberArk.firstbank.local</t>
  </si>
  <si>
    <t>10.20.117.11</t>
  </si>
  <si>
    <t>FBA02426</t>
  </si>
  <si>
    <t>B2B Integrator Oracle 8 Prod</t>
  </si>
  <si>
    <t>B2B Integrator oracle 8 prod new</t>
  </si>
  <si>
    <t>10.30.134.212</t>
  </si>
  <si>
    <t>FBA02427</t>
  </si>
  <si>
    <t>B2B Perimeter Server Prod</t>
  </si>
  <si>
    <t>B2B Perimeter Server oracle 8 Prod New</t>
  </si>
  <si>
    <t>10.30.192.184</t>
  </si>
  <si>
    <t>FBA02428</t>
  </si>
  <si>
    <t>B2B Control Center Oracle 8</t>
  </si>
  <si>
    <t>B2B Control Center oracle 8</t>
  </si>
  <si>
    <t>10.30.134.214</t>
  </si>
  <si>
    <t>fba02429</t>
  </si>
  <si>
    <t>Dynatrace ActiveGate PRod</t>
  </si>
  <si>
    <t>Dynatrace</t>
  </si>
  <si>
    <t>ITOMO</t>
  </si>
  <si>
    <t>Jeanson Portalatin/Harry Gonzalez</t>
  </si>
  <si>
    <t>Linux Oracle Enterprise Server 8.9 (5.4.17-2136.325.5.1.el8uek.x86_64)</t>
  </si>
  <si>
    <t>10.30.134.125</t>
  </si>
  <si>
    <t>FBA02432</t>
  </si>
  <si>
    <t>Follow up with Omar on Database jobs</t>
  </si>
  <si>
    <t>CLCS Server UAT - Commercial Loans</t>
  </si>
  <si>
    <t>CLCS</t>
  </si>
  <si>
    <t>CLCS Server UAT</t>
  </si>
  <si>
    <t>FBA02432.firstbank.local</t>
  </si>
  <si>
    <t>10.30.140.224</t>
  </si>
  <si>
    <t>FBA02433</t>
  </si>
  <si>
    <t>CLCS Server PROD</t>
  </si>
  <si>
    <t>FBA02433.firstbank.local</t>
  </si>
  <si>
    <t>10.30.137.144</t>
  </si>
  <si>
    <t>FBA02435</t>
  </si>
  <si>
    <t>RDS License Server 2022</t>
  </si>
  <si>
    <t>RDS License Server</t>
  </si>
  <si>
    <t>FBA02435.firstbank.local</t>
  </si>
  <si>
    <t>10.30.137.14</t>
  </si>
  <si>
    <t>FBA02436</t>
  </si>
  <si>
    <t>No concerns; Decommissioned per Angel - jdeltoro 10/21</t>
  </si>
  <si>
    <t>RPA DEV</t>
  </si>
  <si>
    <t>RPADEV</t>
  </si>
  <si>
    <t>10.30.140.223</t>
  </si>
  <si>
    <t>FBA02437</t>
  </si>
  <si>
    <t>Flexera</t>
  </si>
  <si>
    <t>10.30.140.196</t>
  </si>
  <si>
    <t>FBA02438</t>
  </si>
  <si>
    <t>Onbase23_1</t>
  </si>
  <si>
    <t>FBA02440</t>
  </si>
  <si>
    <t>Added to Milestone 1; Group 1 per Angel on 4/14 - jdeltoro</t>
  </si>
  <si>
    <t>Informatica Cloud Secure Agent-1</t>
  </si>
  <si>
    <t>Informatica</t>
  </si>
  <si>
    <t>TSA/Vallellanes</t>
  </si>
  <si>
    <t>José Vallellanes </t>
  </si>
  <si>
    <t>FBA02440.firstbank.local</t>
  </si>
  <si>
    <t>10.30.140.220</t>
  </si>
  <si>
    <t>FBA02441</t>
  </si>
  <si>
    <t xml:space="preserve">IBM MQ; Will be needed after ASP; Bank needs to check on IBM MQ licensing and if changes are needed; See traffic from FEIS server to this MQ. It will be needed longterm. This also talks with ASP. Per Eric, 6127 and 2441 will both be needed as one is UIT and the other is UAT. Requires ASP connectivity; No concerns no follow needed - jdeltoro 5/9; </t>
  </si>
  <si>
    <t>MQ UIT</t>
  </si>
  <si>
    <t>MQ - Obsolesence UIT</t>
  </si>
  <si>
    <t>MQ UAT</t>
  </si>
  <si>
    <t>10.30.140.123</t>
  </si>
  <si>
    <t>FBA02442</t>
  </si>
  <si>
    <t>MQ Production</t>
  </si>
  <si>
    <t>MQ - Obsolesence PROD</t>
  </si>
  <si>
    <t>Oracle Linux 8.10</t>
  </si>
  <si>
    <t>10.30.140.221</t>
  </si>
  <si>
    <t>FBA02443</t>
  </si>
  <si>
    <t>German and MSS confirmed that these will not migrate - jdeltoro 5/12</t>
  </si>
  <si>
    <t>Cribl Edge for Sentinel Node 1</t>
  </si>
  <si>
    <t xml:space="preserve">Cribl Edge for Sentinel </t>
  </si>
  <si>
    <t>Cribi Edge for Sentinel Node 1</t>
  </si>
  <si>
    <t>FBA02443.firstbank.local</t>
  </si>
  <si>
    <t>10.30.136.40</t>
  </si>
  <si>
    <t>FBA02444</t>
  </si>
  <si>
    <t>Cribl Edge for Sentinel Node 2</t>
  </si>
  <si>
    <t>Cribi Edge for Sentinel Node 2</t>
  </si>
  <si>
    <t>FBA02444.firstbank.local</t>
  </si>
  <si>
    <t>10.30.136.41</t>
  </si>
  <si>
    <t>FBA02446</t>
  </si>
  <si>
    <t>10.30.137.225</t>
  </si>
  <si>
    <t>FBA02447</t>
  </si>
  <si>
    <t>FBA02447.firstbank.local</t>
  </si>
  <si>
    <t>Win2022 10.0.20348.2582 (21H2)</t>
  </si>
  <si>
    <t>10.30.136.85</t>
  </si>
  <si>
    <t>FBA02448</t>
  </si>
  <si>
    <t>D1 Performance monitoring 2</t>
  </si>
  <si>
    <t>FBA02448.firstbank.local</t>
  </si>
  <si>
    <t>10.30.136.86</t>
  </si>
  <si>
    <t>FBA02449</t>
  </si>
  <si>
    <t>D1 Performance monitoring 3</t>
  </si>
  <si>
    <t>FBA02449.firstbank.local</t>
  </si>
  <si>
    <t>10.30.136.87</t>
  </si>
  <si>
    <t>FBA02450</t>
  </si>
  <si>
    <t>MOEX eLoan Appl PROD 1</t>
  </si>
  <si>
    <t xml:space="preserve">MOEX eLoan </t>
  </si>
  <si>
    <t>FBA02450.firstbank.local</t>
  </si>
  <si>
    <t>Money Express Eloan</t>
  </si>
  <si>
    <t>10.30.137.88</t>
  </si>
  <si>
    <t>FBA02452</t>
  </si>
  <si>
    <t>MOEX eLoan Appl PROD 2</t>
  </si>
  <si>
    <t>10.30.137.89</t>
  </si>
  <si>
    <t>FBA02453</t>
  </si>
  <si>
    <t>Decommissioned per Angel - 4/2/2025 jdeltoro</t>
  </si>
  <si>
    <t>Microsoft Purview Information Protection</t>
  </si>
  <si>
    <t>FBBRUATFS.firstbank.local</t>
  </si>
  <si>
    <t>10.30.140.233</t>
  </si>
  <si>
    <t>FBA02454</t>
  </si>
  <si>
    <t>Network Review for DMZ; Needs Storage Capacity Review; talks to FBA03116, FB65030 for DB; it was also noted that these servers will be re-IP'ed and a clone created to replace these server on June 6th, will follow up over the next week to finalize details  - jdeltoro 5/15; Connection from Load Balancer to this server. Need to follow up with Hiram.; Server appears to be talking to a production database server (FBA03116) and shouldn't be according to Omar - follow up with Angel Ocasio; need to follow up at a later point due to change this coming weekend - jdeltoro 6/4; Has file server dependencies with FBA02352, FBA01021; has been moved to milestone 3 - jdeltoro 6/12</t>
  </si>
  <si>
    <t>Omar, Hiram, Angel Ocasio</t>
  </si>
  <si>
    <t>Onbase24 UAT 1 - New Onbase systems</t>
  </si>
  <si>
    <t>FBA02454.firstbank.local</t>
  </si>
  <si>
    <t>&lt;not reported&gt;</t>
  </si>
  <si>
    <t>10.30.140.52</t>
  </si>
  <si>
    <t>FBA02455</t>
  </si>
  <si>
    <t>Network Review for DMZ; Needs Storage Capacity Review;  it was also noted that these servers will be re-IP'ed and a clone created to replace these server on June 6th, will follow up over the next week to finalize details  - jdeltoro 5/15; Moved to milestone 3 per Angel - jdeltoro 10/21</t>
  </si>
  <si>
    <t>Onbase24 UAT 2 - New Onbase systems</t>
  </si>
  <si>
    <t>FBA02455.firstbank.local</t>
  </si>
  <si>
    <t>10.30.140.64</t>
  </si>
  <si>
    <t>FBA02456</t>
  </si>
  <si>
    <t>Network Review for DMZ; Needs Storage Capacity Review; it was also noted that these servers will be re-IP'ed and a clone created to replace these server on June 6th, will follow up over the next week to finalize details  - jdeltoro 5/15; Moved to milestone 3 per Angel - jdeltoro 10/21</t>
  </si>
  <si>
    <t>Onbase24 UAT 3 - New Onbase systems</t>
  </si>
  <si>
    <t>FBA02456.firstbank.local</t>
  </si>
  <si>
    <t>10.30.140.197</t>
  </si>
  <si>
    <t>FBA02457</t>
  </si>
  <si>
    <t>OnBase Test</t>
  </si>
  <si>
    <t>OnBase</t>
  </si>
  <si>
    <t>FBA02457.firstbank.local</t>
  </si>
  <si>
    <t>10.30.140.182</t>
  </si>
  <si>
    <t>FBA02458</t>
  </si>
  <si>
    <t>Onbase Application new version</t>
  </si>
  <si>
    <t>FBA02458.firstbank.local</t>
  </si>
  <si>
    <t>10.30.140.109</t>
  </si>
  <si>
    <t>FBA02459</t>
  </si>
  <si>
    <t>FIS Snow Mid Server</t>
  </si>
  <si>
    <t xml:space="preserve">FIS Snow Mid </t>
  </si>
  <si>
    <t>FBA02459.firstbank.local</t>
  </si>
  <si>
    <t>10.30.136.77</t>
  </si>
  <si>
    <t>FBA02460</t>
  </si>
  <si>
    <t>Zabbix Servers</t>
  </si>
  <si>
    <t>Zabbix</t>
  </si>
  <si>
    <t>Zabbix Server</t>
  </si>
  <si>
    <t>10.30.136.64</t>
  </si>
  <si>
    <t>FBA02461</t>
  </si>
  <si>
    <t>B2B Integrator 2</t>
  </si>
  <si>
    <t>10.30.134.128</t>
  </si>
  <si>
    <t>FBA02462</t>
  </si>
  <si>
    <t>B2B Perimeter Server 2</t>
  </si>
  <si>
    <t>B2B Perimeter 2</t>
  </si>
  <si>
    <t>10.30.192.185</t>
  </si>
  <si>
    <t>FBA02464</t>
  </si>
  <si>
    <t>Informatica Cloud Secure Agent Prod</t>
  </si>
  <si>
    <t>FBA02464.firstbank.local</t>
  </si>
  <si>
    <t>10.30.137.181</t>
  </si>
  <si>
    <t>FBA02465</t>
  </si>
  <si>
    <t>CyberArk DBA Idera JS</t>
  </si>
  <si>
    <t>FBA02465.firstbank.local</t>
  </si>
  <si>
    <t>10.30.137.17</t>
  </si>
  <si>
    <t>FBA02466</t>
  </si>
  <si>
    <t>CyberArk PSMP Server</t>
  </si>
  <si>
    <t>CyberArk PSMP</t>
  </si>
  <si>
    <t>10.30.162.14</t>
  </si>
  <si>
    <t>FBA02468</t>
  </si>
  <si>
    <t>New VM found in Faddom - jdeltoro 7/22</t>
  </si>
  <si>
    <t>Onbase DocComposition 2</t>
  </si>
  <si>
    <t>10.30.140.176</t>
  </si>
  <si>
    <t>FBA02472</t>
  </si>
  <si>
    <t>New VM found in Faddom - jdeltoro 7/22; potential migration to D1</t>
  </si>
  <si>
    <t>D1 App Server 2</t>
  </si>
  <si>
    <t>10.30.140.170</t>
  </si>
  <si>
    <t>FBA02473</t>
  </si>
  <si>
    <t>DynaTrace Active Gate (Synthetic Monitors)</t>
  </si>
  <si>
    <t xml:space="preserve">DynaTrace </t>
  </si>
  <si>
    <t>Linux Oracle Enterprise Server 8.10</t>
  </si>
  <si>
    <t>10.30.134.126</t>
  </si>
  <si>
    <t>FBA02474</t>
  </si>
  <si>
    <t>E-contracting\OnBase Web Server 2(DMZ)</t>
  </si>
  <si>
    <t>Microsoft Windows Server 2022</t>
  </si>
  <si>
    <t>FBA02475</t>
  </si>
  <si>
    <t>Win NDM UAT</t>
  </si>
  <si>
    <t>IBM NDM</t>
  </si>
  <si>
    <t>10.30.140.200</t>
  </si>
  <si>
    <t>FBA02476</t>
  </si>
  <si>
    <t>TPSS Training Server new</t>
  </si>
  <si>
    <t>FBA02477</t>
  </si>
  <si>
    <t>Xpress Dev Server</t>
  </si>
  <si>
    <t>10.30.140.39</t>
  </si>
  <si>
    <t>FBA02478</t>
  </si>
  <si>
    <t>Xpress UAT Server</t>
  </si>
  <si>
    <t>10.30.140.207</t>
  </si>
  <si>
    <t>FBA02479</t>
  </si>
  <si>
    <t>Unknown - OLS Dev Server?</t>
  </si>
  <si>
    <t xml:space="preserve">OLS </t>
  </si>
  <si>
    <t>Oracle Linux 8</t>
  </si>
  <si>
    <t>10.30.140.227</t>
  </si>
  <si>
    <t>FBA02480</t>
  </si>
  <si>
    <t>LINUX NDM UAT</t>
  </si>
  <si>
    <t>10.30.140.61</t>
  </si>
  <si>
    <t>FBA02481</t>
  </si>
  <si>
    <t>Added per email from Angel - jdeltoro 10/1; updated CMDB status and environment per Angel - jdeltoro 11/10</t>
  </si>
  <si>
    <t>eFirstClass, Online Sales</t>
  </si>
  <si>
    <t>FBA02482</t>
  </si>
  <si>
    <t>FBA02483</t>
  </si>
  <si>
    <t>Onbase App Server 1</t>
  </si>
  <si>
    <t>10.30.140.17</t>
  </si>
  <si>
    <t>fba02484</t>
  </si>
  <si>
    <t>OnBase DocComposition 2</t>
  </si>
  <si>
    <t>FBA02485</t>
  </si>
  <si>
    <t>OnBase Webclient 2</t>
  </si>
  <si>
    <t>10.30.140.177</t>
  </si>
  <si>
    <t>FBA02486</t>
  </si>
  <si>
    <t>AUTO App Server 1</t>
  </si>
  <si>
    <t>AUTO App</t>
  </si>
  <si>
    <t>FBA02487</t>
  </si>
  <si>
    <t>MOEX App Server 1</t>
  </si>
  <si>
    <t>FBA02488</t>
  </si>
  <si>
    <t>New VM reported by Angel Lopez; potential migraiton to D1 - jdeltoro 7/24</t>
  </si>
  <si>
    <t>FBA02489</t>
  </si>
  <si>
    <t>OnBase Import Processor Server</t>
  </si>
  <si>
    <t>FBA02490</t>
  </si>
  <si>
    <t>New VM per ticket CH25000178889 in CMC - jdeltoro 7/30</t>
  </si>
  <si>
    <t>Varonis Hub 1</t>
  </si>
  <si>
    <t>FBA02491</t>
  </si>
  <si>
    <t>Varonis Hub 2</t>
  </si>
  <si>
    <t>FBA02492</t>
  </si>
  <si>
    <t>Cribl Edge for Sentinel Node 3</t>
  </si>
  <si>
    <t>Cribl Edge</t>
  </si>
  <si>
    <t>10.30.136.46</t>
  </si>
  <si>
    <t>FBA02493</t>
  </si>
  <si>
    <t>Cribl Edge for Sentinel Node 4</t>
  </si>
  <si>
    <t>10.30.136.47</t>
  </si>
  <si>
    <t>FBA02494</t>
  </si>
  <si>
    <t>Apple Pay UIT</t>
  </si>
  <si>
    <t>10.30.140.178</t>
  </si>
  <si>
    <t>FBA02495</t>
  </si>
  <si>
    <t>Apple Pay UAT</t>
  </si>
  <si>
    <t>10.30.140.179</t>
  </si>
  <si>
    <t>FBA02496</t>
  </si>
  <si>
    <t>FIS Snow Mid Server 2</t>
  </si>
  <si>
    <t>FIS Snow Mid</t>
  </si>
  <si>
    <t>10.30.136.78</t>
  </si>
  <si>
    <t>FBA02498</t>
  </si>
  <si>
    <t>Part of Apple Pay project - jdeltoro 9/18</t>
  </si>
  <si>
    <t>FBA02499</t>
  </si>
  <si>
    <t>FBA03018</t>
  </si>
  <si>
    <t>SQL 2008 Reporting Services</t>
  </si>
  <si>
    <t>FBA03018.firstbank.local</t>
  </si>
  <si>
    <t>10.30.137.50</t>
  </si>
  <si>
    <t>FBA03022</t>
  </si>
  <si>
    <t>SQL 2012 INTRA-SQL-SPCLUSTER</t>
  </si>
  <si>
    <t>10.30.130.66</t>
  </si>
  <si>
    <t>FBA03025</t>
  </si>
  <si>
    <t>E3 SQL Production Server (Win2008R2 6.1.7601)</t>
  </si>
  <si>
    <t>E3 SQLuction(Win2008R2 6.1.7601)</t>
  </si>
  <si>
    <t>Win2016 10.0.14393.5850 (1607)</t>
  </si>
  <si>
    <t>10.30.130.134</t>
  </si>
  <si>
    <t>FBA03027</t>
  </si>
  <si>
    <t>Xamine &amp; Express Upgrade DB Monitor</t>
  </si>
  <si>
    <t>FBA03027.firstbank.local</t>
  </si>
  <si>
    <t>10.30.130.49</t>
  </si>
  <si>
    <t>10.100.130.49</t>
  </si>
  <si>
    <t>FBA03031</t>
  </si>
  <si>
    <t>Pervasive DB - SQN</t>
  </si>
  <si>
    <t>SQN</t>
  </si>
  <si>
    <t>Karla de Jesus</t>
  </si>
  <si>
    <t>Nayda Reyes</t>
  </si>
  <si>
    <t>FBA03031.firstbank.local</t>
  </si>
  <si>
    <t>10.30.130.230</t>
  </si>
  <si>
    <t>FBA03031old</t>
  </si>
  <si>
    <t>FBA03054</t>
  </si>
  <si>
    <t>Moving to Sharepoint Online - No Migration</t>
  </si>
  <si>
    <t>Sharepoint UAT Reporting Services</t>
  </si>
  <si>
    <t>Sharepoint Reporting Services</t>
  </si>
  <si>
    <t>FBA03054.firstbank.local</t>
  </si>
  <si>
    <t>10.30.140.164</t>
  </si>
  <si>
    <t>FBA03056</t>
  </si>
  <si>
    <t>Moving to Sharepoint Online - No Migration; updated CMDB status and environment per Angel - jdeltoro 11/10</t>
  </si>
  <si>
    <t>FBA03056.firstbank.local</t>
  </si>
  <si>
    <t>10.30.140.165</t>
  </si>
  <si>
    <t>FBA03057</t>
  </si>
  <si>
    <t>Sharepoint Prod Internal Reporting Services</t>
  </si>
  <si>
    <t>Sharepoint Internal Reporting Services</t>
  </si>
  <si>
    <t>10.30.130.102</t>
  </si>
  <si>
    <t>fba03058</t>
  </si>
  <si>
    <t>B2Bi DB2 Development Server</t>
  </si>
  <si>
    <t xml:space="preserve">B2Bi DB2elopment </t>
  </si>
  <si>
    <t>10.30.140.8</t>
  </si>
  <si>
    <t>fba03059</t>
  </si>
  <si>
    <t>SQL PCI SQL Cluster Name</t>
  </si>
  <si>
    <t>SQL SQL Cluster Name</t>
  </si>
  <si>
    <t>10.30.147.7</t>
  </si>
  <si>
    <t>FBA03061</t>
  </si>
  <si>
    <t>PCI SQL DTC</t>
  </si>
  <si>
    <t>SQL DTC</t>
  </si>
  <si>
    <t>10.30.147.9</t>
  </si>
  <si>
    <t>fba03062</t>
  </si>
  <si>
    <t>Follow up with Iran Rodrigez to discuss B2Bi and Sterling - jdeltoro 5/7</t>
  </si>
  <si>
    <t>B2Bi DB2 Development Server (LINUX)PROD</t>
  </si>
  <si>
    <t>Linux Oracle Enterprise Server 7.9 (3.10.0-1160.102.1.0.1.el7.x86_64)</t>
  </si>
  <si>
    <t>10.30.134.17</t>
  </si>
  <si>
    <t>fba03063</t>
  </si>
  <si>
    <t>B2Bi DB2 Development Server (LINUX)COB</t>
  </si>
  <si>
    <t>B2Bi DB2elopment(LINUX)COB</t>
  </si>
  <si>
    <t>Linux Oracle Enterprise Server 7.9 (3.10.0-1160.105.1.0.2.el7.x86_64)</t>
  </si>
  <si>
    <t>10.19.137.63</t>
  </si>
  <si>
    <t>FBA03065</t>
  </si>
  <si>
    <t>SQL 2008 PCI SQL Cluster  COB</t>
  </si>
  <si>
    <t>SQL 2008 SQL Cluster  COB</t>
  </si>
  <si>
    <t>10.19.147.7</t>
  </si>
  <si>
    <t>FBA03069</t>
  </si>
  <si>
    <t>SQL 2012  Cluster Name</t>
  </si>
  <si>
    <t>10.30.130.105</t>
  </si>
  <si>
    <t>FBA03072</t>
  </si>
  <si>
    <t>Reviewed with Omar - no concerns;</t>
  </si>
  <si>
    <t>SQL Server for APPRO - PCI - Instance Name - Cluster Node with FBA03059</t>
  </si>
  <si>
    <t>SQLfor APPRO  - Instance Name - Cluster Node with FBA03059</t>
  </si>
  <si>
    <t>TSA/Auto</t>
  </si>
  <si>
    <t>Lucy Ann Vasquez/Omar Ramos</t>
  </si>
  <si>
    <t>10.30.147.12</t>
  </si>
  <si>
    <t>FBA03073</t>
  </si>
  <si>
    <t>DR - APPRO MSSQL 2016</t>
  </si>
  <si>
    <t>10.19.147.11</t>
  </si>
  <si>
    <t>FBA03074</t>
  </si>
  <si>
    <t>Digital Banking - SQL Data Analyzer - UIT</t>
  </si>
  <si>
    <t>FBA03074.firstbank.local</t>
  </si>
  <si>
    <t>10.30.140.51</t>
  </si>
  <si>
    <t>FBA03075</t>
  </si>
  <si>
    <t>Digital Banking - SQL Database Server - UIT</t>
  </si>
  <si>
    <t>FBA03079</t>
  </si>
  <si>
    <t>Digital Banking - SQL Database Analyzer - UAT</t>
  </si>
  <si>
    <t>10.30.140.27</t>
  </si>
  <si>
    <t>FBA03084</t>
  </si>
  <si>
    <t>Discovered that this server was missing from workbook by ASP team. Appears to be another physical Oracle server. - jdeltoro 9/18</t>
  </si>
  <si>
    <t>10.30.130.192</t>
  </si>
  <si>
    <t>FBA03085</t>
  </si>
  <si>
    <t>OneSumX DataBase (SIT) Outsystem</t>
  </si>
  <si>
    <t>OneSumX</t>
  </si>
  <si>
    <t>Compliance</t>
  </si>
  <si>
    <t>OneSumX DataBase (SIT)</t>
  </si>
  <si>
    <t>Luana Santos</t>
  </si>
  <si>
    <t>Dennis Hernandez</t>
  </si>
  <si>
    <t>FBA03085.firstbank.local</t>
  </si>
  <si>
    <t>10.30.140.118</t>
  </si>
  <si>
    <t>FBA03087</t>
  </si>
  <si>
    <t>SQL Data Provisioning</t>
  </si>
  <si>
    <t>Win2019 10.0.17763.4499 (1809)</t>
  </si>
  <si>
    <t>10.30.130.115</t>
  </si>
  <si>
    <t>FBA03089</t>
  </si>
  <si>
    <t>Large Cash Instance - SQL Server Outsystem</t>
  </si>
  <si>
    <t>Large Cash Instance - SQLOutsystem</t>
  </si>
  <si>
    <t>10.30.147.14</t>
  </si>
  <si>
    <t>FBA03090</t>
  </si>
  <si>
    <t>DR - OneSumX</t>
  </si>
  <si>
    <t>10.19.147.12</t>
  </si>
  <si>
    <t>FBA03092</t>
  </si>
  <si>
    <t>CUC DB Server</t>
  </si>
  <si>
    <t>FBA03092.firstbank.local</t>
  </si>
  <si>
    <t>10.30.140.71</t>
  </si>
  <si>
    <t>10.100.140.71</t>
  </si>
  <si>
    <t>FBA03095</t>
  </si>
  <si>
    <t>Digital Banking - SQL Analyzer - PROD</t>
  </si>
  <si>
    <t>10.30.130.119</t>
  </si>
  <si>
    <t>FBA03096</t>
  </si>
  <si>
    <t>Needs discussion on AVD; Interfaces with D1 and OnBase; DB is Pervasive version 14; Needs follow up with D1 SME - port 80 connectivity from D1 related systems - jdeltoro 5/15</t>
  </si>
  <si>
    <t>SQN Sentry Test</t>
  </si>
  <si>
    <t>Fernando Rodriguez, Nayda Reyes</t>
  </si>
  <si>
    <t>FBA03096.firstbank.local</t>
  </si>
  <si>
    <t>10.30.140.122</t>
  </si>
  <si>
    <t>FBA03099</t>
  </si>
  <si>
    <t>Follow up with Ana Cruz; FIS Core</t>
  </si>
  <si>
    <t>GFT Database Test - Upgrade</t>
  </si>
  <si>
    <t>GFT Database Test - Legacy</t>
  </si>
  <si>
    <t>10.30.158.186</t>
  </si>
  <si>
    <t>FBA03099-2016</t>
  </si>
  <si>
    <t>GFT DB Test Legacy</t>
  </si>
  <si>
    <t>FBA03099-2022</t>
  </si>
  <si>
    <t>GFT Database Test - ISO2022</t>
  </si>
  <si>
    <t>10.30.140.4</t>
  </si>
  <si>
    <t>FBA03100</t>
  </si>
  <si>
    <t>GFT Database Server PROD - Upgrade</t>
  </si>
  <si>
    <t>10.30.157.202</t>
  </si>
  <si>
    <t>FBA03101</t>
  </si>
  <si>
    <t>GFT DB Server COB - Upgrade</t>
  </si>
  <si>
    <t>10.19.157.202</t>
  </si>
  <si>
    <t>FBA03101Clone</t>
  </si>
  <si>
    <t>Temporary Server for GFT DR Validation</t>
  </si>
  <si>
    <t>FBA03102</t>
  </si>
  <si>
    <t>D1 SPE\PROD -  SQL 2016 Server Node 1</t>
  </si>
  <si>
    <t>10.30.147.17</t>
  </si>
  <si>
    <t>FBA03103</t>
  </si>
  <si>
    <t>Paragon 6 New</t>
  </si>
  <si>
    <t>Paragon</t>
  </si>
  <si>
    <t>Treasury Accounting</t>
  </si>
  <si>
    <t>Javier Cabrera</t>
  </si>
  <si>
    <t>Neidy Kinney</t>
  </si>
  <si>
    <t>FBA03103.firstbank.local</t>
  </si>
  <si>
    <t>10.30.130.70</t>
  </si>
  <si>
    <t>FBA03104</t>
  </si>
  <si>
    <t>Paragon COB New</t>
  </si>
  <si>
    <t>Paragon DR</t>
  </si>
  <si>
    <t>10.20.102.70</t>
  </si>
  <si>
    <t>FBA03105</t>
  </si>
  <si>
    <t>FBA03105.firstbank.local</t>
  </si>
  <si>
    <t>10.30.130.48</t>
  </si>
  <si>
    <t>FBA03106</t>
  </si>
  <si>
    <t>D1 SPE\PROD -  SQL 2016 Server Node 2</t>
  </si>
  <si>
    <t>10.0.23.1, 10.30.147.18, 169.254.2.247</t>
  </si>
  <si>
    <t>10.10.23.1, 10.30.147.18, 169.254.2.247</t>
  </si>
  <si>
    <t>FBA03107</t>
  </si>
  <si>
    <t>SQL 2016 Windows Cluster Name</t>
  </si>
  <si>
    <t>10.30.147.19</t>
  </si>
  <si>
    <t>FBA03109</t>
  </si>
  <si>
    <t>APPRO 3.5 SQL UAT</t>
  </si>
  <si>
    <t>FBA03109.firstbank.local</t>
  </si>
  <si>
    <t>10.30.140.41</t>
  </si>
  <si>
    <t>FBA03110</t>
  </si>
  <si>
    <t>D1 Prod Database Instance</t>
  </si>
  <si>
    <t>10.30.147.20</t>
  </si>
  <si>
    <t>FBA03111</t>
  </si>
  <si>
    <t>For SQL 2012; To be decommissioned; No Migrate per Omar</t>
  </si>
  <si>
    <t>IBM Security Guardium V10 Colector</t>
  </si>
  <si>
    <t>10.30.130.199</t>
  </si>
  <si>
    <t>FBA03112</t>
  </si>
  <si>
    <t>For SQL 2005; To be decommissioned; No Migrate per Omar</t>
  </si>
  <si>
    <t>IBM InfoSphere Guardium V9.5 Colector</t>
  </si>
  <si>
    <t>10.30.130.101</t>
  </si>
  <si>
    <t>FBA03113</t>
  </si>
  <si>
    <t>10.30.130.237</t>
  </si>
  <si>
    <t>FBA03114</t>
  </si>
  <si>
    <t>10.30.130.139</t>
  </si>
  <si>
    <t>FBA03115</t>
  </si>
  <si>
    <t>SQL 2016 - BDI Bancware - PROD</t>
  </si>
  <si>
    <t>10.30.130.37</t>
  </si>
  <si>
    <t>FBA03116</t>
  </si>
  <si>
    <t>SQL 2016 - CPE_PROD; Onbase; AssistCk DB's</t>
  </si>
  <si>
    <t>SQL 2016 - CPE_; Onbase; AssistCk DB's</t>
  </si>
  <si>
    <t>Omar Ramos</t>
  </si>
  <si>
    <t>10.30.130.142</t>
  </si>
  <si>
    <t>FBA03117</t>
  </si>
  <si>
    <t>SQL 2016 - BDI Bancware - UAT</t>
  </si>
  <si>
    <t>10.30.130.143</t>
  </si>
  <si>
    <t>FBA03119</t>
  </si>
  <si>
    <t>No Concerns from Omar - Dependendency for FBA02001 - MSSQL Server</t>
  </si>
  <si>
    <t>SQL 2017 Instance - Prod; contains CardWizard DB, ReconFrontier Plus</t>
  </si>
  <si>
    <t>SQL 2017 Instance ; contains CardWizard DB, ReconFrontier Plus</t>
  </si>
  <si>
    <t>10.30.130.145</t>
  </si>
  <si>
    <t>FBA03125</t>
  </si>
  <si>
    <t>No Migrate</t>
  </si>
  <si>
    <t>New BigFix Server</t>
  </si>
  <si>
    <t xml:space="preserve">New BigFix </t>
  </si>
  <si>
    <t>10.30.130.131</t>
  </si>
  <si>
    <t>FBA03126</t>
  </si>
  <si>
    <t>ISIM Database</t>
  </si>
  <si>
    <t>FBA03126.firstbank.local</t>
  </si>
  <si>
    <t>10.30.130.60</t>
  </si>
  <si>
    <t>FBA03129</t>
  </si>
  <si>
    <t>Alvaria Call Center - UIP 7.4</t>
  </si>
  <si>
    <t xml:space="preserve"> UIP</t>
  </si>
  <si>
    <t>FBA03129.firstbank.local</t>
  </si>
  <si>
    <t>10.30.71.45</t>
  </si>
  <si>
    <t>FBA03130</t>
  </si>
  <si>
    <t>Validate No Migrate - Arterial - Follow up with Omar per Edgardo - jdeltoro 5/13</t>
  </si>
  <si>
    <t>DR (Used for SQL database restores)</t>
  </si>
  <si>
    <t>FBA03130.firstbank.local</t>
  </si>
  <si>
    <t>10.20.16.45</t>
  </si>
  <si>
    <t>FBA03131</t>
  </si>
  <si>
    <t>10.30.71.47</t>
  </si>
  <si>
    <t>FBA03132</t>
  </si>
  <si>
    <t>10.30.71.48</t>
  </si>
  <si>
    <t>FBA03133</t>
  </si>
  <si>
    <t>10.30.71.49</t>
  </si>
  <si>
    <t>FBA03134</t>
  </si>
  <si>
    <t>10.30.71.50</t>
  </si>
  <si>
    <t>FBA03136</t>
  </si>
  <si>
    <t>Roll de DTC para el cluster FBA03113</t>
  </si>
  <si>
    <t>10.30.130.238</t>
  </si>
  <si>
    <t>fba03140</t>
  </si>
  <si>
    <t>Digital Banking - SQL Server 2017 Production</t>
  </si>
  <si>
    <t>DigitalBanking - SQL Server 2017 Production</t>
  </si>
  <si>
    <t>fba03140.firstbank.local</t>
  </si>
  <si>
    <t>10.30.130.31</t>
  </si>
  <si>
    <t>Standard E32-16s_v6</t>
  </si>
  <si>
    <t>FBA03141</t>
  </si>
  <si>
    <t>Historical Commerical Statements - Tutela; SQL Server; Runs APPROCRA on MSSQL SSI Project</t>
  </si>
  <si>
    <t>10.30.130.175</t>
  </si>
  <si>
    <t>FBA03142</t>
  </si>
  <si>
    <t>SQL Windows Server 2019 Cluster</t>
  </si>
  <si>
    <t>SQL Windows019 Cluster</t>
  </si>
  <si>
    <t>10.30.130.159</t>
  </si>
  <si>
    <t>FBA03145</t>
  </si>
  <si>
    <t>Xapiens Identity and Access Management (XIAM) - DB Server</t>
  </si>
  <si>
    <t>10.30.165.11</t>
  </si>
  <si>
    <t>FBA03147</t>
  </si>
  <si>
    <t>DebtManager SQL Integration Services Prod</t>
  </si>
  <si>
    <t>10.30.148.92</t>
  </si>
  <si>
    <t>FBA03148</t>
  </si>
  <si>
    <t>Digital Banking - SQL Server Prod - Upgrade</t>
  </si>
  <si>
    <t>DigitalBanking - SQL Server - Pilot</t>
  </si>
  <si>
    <t>DigitalBanking - SQL Server Prod - Upgrade</t>
  </si>
  <si>
    <t>FBA03148.firstbank.local</t>
  </si>
  <si>
    <t>10.30.130.140</t>
  </si>
  <si>
    <t>FBA03149</t>
  </si>
  <si>
    <t>10.30.130.223</t>
  </si>
  <si>
    <t>FBA03150</t>
  </si>
  <si>
    <t>Sharepoint SQL Server 2016 - Cluster Node</t>
  </si>
  <si>
    <t>Sharepoint SQL016 - Cluster Node</t>
  </si>
  <si>
    <t>10.30.130.224</t>
  </si>
  <si>
    <t>FBA03151</t>
  </si>
  <si>
    <t>Follow up on Guardium discussions; Fernando confirmed the FirstBank team is following up on Monday 5/12 - jdeltoro 5/9</t>
  </si>
  <si>
    <t>IBM GDE CipherTrust Manager 1 - Appliance - Guardium</t>
  </si>
  <si>
    <t>IBM GDE CipherTrust Manager 1 - Appliance</t>
  </si>
  <si>
    <t>10.30.130.213</t>
  </si>
  <si>
    <t>FBA03152</t>
  </si>
  <si>
    <t>IBM GDE CipherTrust Manager 2 - Appliance - Guardium</t>
  </si>
  <si>
    <t>IBM GDE CipherTrust Manager 2 - Appliance</t>
  </si>
  <si>
    <t>10.30.130.214</t>
  </si>
  <si>
    <t>FBA03153</t>
  </si>
  <si>
    <t>Xapiens Identity and Access Management (XIAM) - DB Server Prod</t>
  </si>
  <si>
    <t>10.30.167.5</t>
  </si>
  <si>
    <t>FBA03154</t>
  </si>
  <si>
    <t>Part of digital banking; this will go away</t>
  </si>
  <si>
    <t>Elastic UAT - Digital Banking</t>
  </si>
  <si>
    <t>Elastic - Digital Banking</t>
  </si>
  <si>
    <t>Elastic UAT</t>
  </si>
  <si>
    <t>FBA03154.firstbank.local</t>
  </si>
  <si>
    <t>10.30.140.236</t>
  </si>
  <si>
    <t>FBA03155</t>
  </si>
  <si>
    <t>Elastic PROD - Digital Banking</t>
  </si>
  <si>
    <t>Elastic PROD</t>
  </si>
  <si>
    <t>FBA03155.firstbank.local</t>
  </si>
  <si>
    <t>10.30.137.35</t>
  </si>
  <si>
    <t>FBA03156</t>
  </si>
  <si>
    <t>Elastic UIT - Digital Banking</t>
  </si>
  <si>
    <t>Elastic UIT</t>
  </si>
  <si>
    <t>FBA03156.firstbank.local</t>
  </si>
  <si>
    <t>10.30.140.237</t>
  </si>
  <si>
    <t>fba03157</t>
  </si>
  <si>
    <t>ERP Integration Server Oracle Cloud OCI PROD</t>
  </si>
  <si>
    <t>ERP IntegrationOracle Cloud OCI</t>
  </si>
  <si>
    <t>Linux Oracle Enterprise Server 7.9 (4.14.35-2047.530.5.1.el7uek.x86_64)</t>
  </si>
  <si>
    <t>10.179.4.105, 192.168.16.18</t>
  </si>
  <si>
    <t>fba03158</t>
  </si>
  <si>
    <t>ERP Integration Server Oracle Cloud OCI TEST</t>
  </si>
  <si>
    <t>10.179.4.178, 192.168.16.18</t>
  </si>
  <si>
    <t>FBA03159</t>
  </si>
  <si>
    <t>New DB2 Server for Control Center Application; Was marked as onsite but doesn't make sense as other B2B are moving to Azure mjm 5/16/25</t>
  </si>
  <si>
    <t>New B2B DB2 Dev Server</t>
  </si>
  <si>
    <t>Linux Oracle Enterprise Server 8.9 (5.4.17-2136.320.7.1.el8uek.x86_64)</t>
  </si>
  <si>
    <t>10.30.140.81</t>
  </si>
  <si>
    <t>fba03160</t>
  </si>
  <si>
    <t>B2B Oracle 8 PROD 1</t>
  </si>
  <si>
    <t>B2B DB2 oracle 8 prod 1</t>
  </si>
  <si>
    <t>10.30.130.188</t>
  </si>
  <si>
    <t>FBA03161</t>
  </si>
  <si>
    <t>B2B DB2 oracle 8 prod 2</t>
  </si>
  <si>
    <t>Linux Oracle Enterprise Server 8.10 (5.4.17-2136.333.5.el8uek.x86_64)</t>
  </si>
  <si>
    <t>10.30.130.189</t>
  </si>
  <si>
    <t>FBA03163</t>
  </si>
  <si>
    <t>New VM reported by Angel Lopez; potential migration to D1 - jdeltoro 7/24</t>
  </si>
  <si>
    <t>D1 Encryption Test Server</t>
  </si>
  <si>
    <t>10.30.140.134</t>
  </si>
  <si>
    <t>FBA04006</t>
  </si>
  <si>
    <t>DIR-SYNC | Azure AD Microsoft O365</t>
  </si>
  <si>
    <t>FBA04006.firstbank.local</t>
  </si>
  <si>
    <t>10.30.137.37</t>
  </si>
  <si>
    <t>FBA04007</t>
  </si>
  <si>
    <t>Exchange Test 2019</t>
  </si>
  <si>
    <t>Exchange 2019</t>
  </si>
  <si>
    <t>Exchange</t>
  </si>
  <si>
    <t>FBA04007.firstbank.local</t>
  </si>
  <si>
    <t>10.30.137.26</t>
  </si>
  <si>
    <t>FBA04009</t>
  </si>
  <si>
    <t>Edgardo to follow up on other applications installed on this server; possibly Azure AD sync - jdeltoro 5/13</t>
  </si>
  <si>
    <t>eDiscovery (Azure AD/Entra Sync)</t>
  </si>
  <si>
    <t>eDiscovery</t>
  </si>
  <si>
    <t>FBA04009.firstbank.local</t>
  </si>
  <si>
    <t>10.30.137.113</t>
  </si>
  <si>
    <t>FBA04014</t>
  </si>
  <si>
    <t>New RightFax Server</t>
  </si>
  <si>
    <t xml:space="preserve">New RightFax </t>
  </si>
  <si>
    <t>FBA04014.firstbank.local</t>
  </si>
  <si>
    <t>10.30.137.212</t>
  </si>
  <si>
    <t>FBA04015</t>
  </si>
  <si>
    <t>New RightFax</t>
  </si>
  <si>
    <t>FBA04015.firstbank.local</t>
  </si>
  <si>
    <t>10.30.137.213</t>
  </si>
  <si>
    <t>FBA05046</t>
  </si>
  <si>
    <t>VDI Horizon CS</t>
  </si>
  <si>
    <t>10.30.180.20</t>
  </si>
  <si>
    <t>FBA05047</t>
  </si>
  <si>
    <t>VDI Horizon Composer</t>
  </si>
  <si>
    <t>10.30.180.21</t>
  </si>
  <si>
    <t>FBA05048</t>
  </si>
  <si>
    <t>VDI Horizon APPVOLUMES-01</t>
  </si>
  <si>
    <t>10.30.180.22</t>
  </si>
  <si>
    <t>FBA05049</t>
  </si>
  <si>
    <t>VDI Horizon-RDS-01 - Possisble mistake in role</t>
  </si>
  <si>
    <t>VDI Horizon-RDS-01</t>
  </si>
  <si>
    <t>10.30.82.12</t>
  </si>
  <si>
    <t>FBA05056</t>
  </si>
  <si>
    <t>VDI- Horizon-RDS-APPRO</t>
  </si>
  <si>
    <t>VDI Horizon</t>
  </si>
  <si>
    <t>10.30.82.14</t>
  </si>
  <si>
    <t>FBA05057</t>
  </si>
  <si>
    <t>VDI- Horizon-RDS-APPRO-02</t>
  </si>
  <si>
    <t>10.30.82.75</t>
  </si>
  <si>
    <t>FBA05058</t>
  </si>
  <si>
    <t>Part of VMware Horizon VDI infrastructure and no migration - jdeltoro 7/24</t>
  </si>
  <si>
    <t>VDI Horizon EDGE</t>
  </si>
  <si>
    <t>Red Hat Enterprise Linux 6</t>
  </si>
  <si>
    <t>10.30.180.24</t>
  </si>
  <si>
    <t>FBA06006</t>
  </si>
  <si>
    <t>Check if on obsolete list</t>
  </si>
  <si>
    <t>VM Server 2008 R2 para Develop - replaced by fba02276</t>
  </si>
  <si>
    <t>VM008 R2 para develop - replaced by fba02276</t>
  </si>
  <si>
    <t>VM Server 2008 R2 para Develop</t>
  </si>
  <si>
    <t>FBA06006.firstbank.local</t>
  </si>
  <si>
    <t>10.30.140.34</t>
  </si>
  <si>
    <t>FBA06007</t>
  </si>
  <si>
    <t>VM Server 2003 para Develop</t>
  </si>
  <si>
    <t>VM003 para develop</t>
  </si>
  <si>
    <t>FBA06009</t>
  </si>
  <si>
    <t>VM Suse 11.4 para Develop</t>
  </si>
  <si>
    <t>VM Suse 11.4 para develop</t>
  </si>
  <si>
    <t>FBA06011</t>
  </si>
  <si>
    <t>VM Suse 11.4 para Develop - UIT</t>
  </si>
  <si>
    <t>FBA06025</t>
  </si>
  <si>
    <t>Proxy Mbanking</t>
  </si>
  <si>
    <t>FBA06029</t>
  </si>
  <si>
    <t>Recon Batch Server</t>
  </si>
  <si>
    <t xml:space="preserve">Recon Batch </t>
  </si>
  <si>
    <t>FBA06040</t>
  </si>
  <si>
    <t>Recon Batch Server (UAT)</t>
  </si>
  <si>
    <t>Recon Batch</t>
  </si>
  <si>
    <t>10.30.140.169</t>
  </si>
  <si>
    <t>FBA06048</t>
  </si>
  <si>
    <t>SharePoint | Active Directory | DMZ</t>
  </si>
  <si>
    <t>FBA06093</t>
  </si>
  <si>
    <t>Per Edgardo - This needs follow up with Eric; this is Xpress and should be going to FIS - jdeltoro 5/13</t>
  </si>
  <si>
    <t>XESP1 zLinux Migration (Xpress)</t>
  </si>
  <si>
    <t>XESP1 zLinux Migration</t>
  </si>
  <si>
    <t>10.30.134.171</t>
  </si>
  <si>
    <t>10.100.134.171</t>
  </si>
  <si>
    <t>FBA06093temp</t>
  </si>
  <si>
    <t>Linux Oracle Enterprise Server 8.9 (5.4.17-2136.329.3.2.el8uek.x86_64)</t>
  </si>
  <si>
    <t>10.30.134.135</t>
  </si>
  <si>
    <t>FBA06094</t>
  </si>
  <si>
    <t>XESP2 zLinux Migration (Xpress)</t>
  </si>
  <si>
    <t>XESP2 zLinux Migration</t>
  </si>
  <si>
    <t>10.30.134.172</t>
  </si>
  <si>
    <t>10.100.134.172</t>
  </si>
  <si>
    <t>FBA06094temp</t>
  </si>
  <si>
    <t>10.30.134.136</t>
  </si>
  <si>
    <t>FBA06095</t>
  </si>
  <si>
    <t>Shannon to follow up with Mike on Group Obsolete; Marked as Milestone 2, but non-prod servers are marked as Group Obsolete - needs follow up with Omar - jdeltoro 5/7; also follow up on D1 question</t>
  </si>
  <si>
    <t>OLSPRD1 zLinux Migration</t>
  </si>
  <si>
    <t>10.30.134.173  </t>
  </si>
  <si>
    <t>FBA06096</t>
  </si>
  <si>
    <t>OLSPRD2 zLinux Migration</t>
  </si>
  <si>
    <t>10.30.134.174  </t>
  </si>
  <si>
    <t>FBA06102</t>
  </si>
  <si>
    <t>LOGICP2 zLinux Migration</t>
  </si>
  <si>
    <t>FBA06108</t>
  </si>
  <si>
    <t>There may be a new NDM server; Edgardo to follow up with Eric - jdeltoro 5/13</t>
  </si>
  <si>
    <t>MSPTEST zLinux Migration ( MSP NDM Production Server )- Connected with Digital Banking</t>
  </si>
  <si>
    <t>MSP</t>
  </si>
  <si>
    <t>MSPTEST zLinux Migration ( MSP NDM Production Server )</t>
  </si>
  <si>
    <t>10.30.134.186  </t>
  </si>
  <si>
    <t>FBA06111</t>
  </si>
  <si>
    <t>Follow up with Omar - Dependency on FB65030 MSSQL server; ; Waiting on FBA06120 and FBA06122 refresh</t>
  </si>
  <si>
    <t>OLSUAT1 zLinux Migration</t>
  </si>
  <si>
    <t>Group Obsolete</t>
  </si>
  <si>
    <t>10.30.140.172  </t>
  </si>
  <si>
    <t>FBA06112</t>
  </si>
  <si>
    <t>Follow up with Omar - Dependency on FB65030 MSSQL server; Waiting on FBA06120 and FBA06122 refresh</t>
  </si>
  <si>
    <t>OLSUAT2 zLinux Migration</t>
  </si>
  <si>
    <t>10.30.140.173</t>
  </si>
  <si>
    <t>FBA06120</t>
  </si>
  <si>
    <t xml:space="preserve">On obsolete list; waiting for refresh 6/9/25 Part of BeB with thousands of file transfers. Derek is requesting bank PM to coordinate the move. Strategy is likely to build new shell in Azure and then migrate activity over time. </t>
  </si>
  <si>
    <t>FBPRTEST zLinux Migration</t>
  </si>
  <si>
    <t>FBPR zLinux Migration</t>
  </si>
  <si>
    <t>10.30.140.183  </t>
  </si>
  <si>
    <t>FBA06122</t>
  </si>
  <si>
    <t>Decommissioned per ticket CH25000181963 - jdeltoro 9/18</t>
  </si>
  <si>
    <t>OLSTST zLinux Migration - UIT</t>
  </si>
  <si>
    <t>10.30.140.185  </t>
  </si>
  <si>
    <t>FBA06123</t>
  </si>
  <si>
    <t>Decommissioned per Edgardo - 1/27 jdeltoro</t>
  </si>
  <si>
    <t>MQTST zLinux Migration - UIT</t>
  </si>
  <si>
    <t xml:space="preserve">MQTST zLinux Migration </t>
  </si>
  <si>
    <t>FBA06127</t>
  </si>
  <si>
    <t>No concerns no follow needed - jdeltoro 5/9; New MQ UAT; See traffic from FEIS log server; Per Eric, 6127 and 2441 will both be needed as one is UIT and the other is UAT. Requires ASP connectivity. Vince Manso is an FIS resource who has helped with MQ and the ASP project. Per Edgardo this may be decommissioned. Edgardo will follow up with Eric. jdeltoro 5/13</t>
  </si>
  <si>
    <t>MQUAT zLinux Migration</t>
  </si>
  <si>
    <t>?</t>
  </si>
  <si>
    <t>Linux 8</t>
  </si>
  <si>
    <t>10.30.140.190  </t>
  </si>
  <si>
    <t>fba06134</t>
  </si>
  <si>
    <t>Archiva Maven (Java) Repository</t>
  </si>
  <si>
    <t>redhat archive</t>
  </si>
  <si>
    <t>Redhat archive</t>
  </si>
  <si>
    <t>10.30.140.192</t>
  </si>
  <si>
    <t>fba06135</t>
  </si>
  <si>
    <t>Business Rules Tomcat - UIT</t>
  </si>
  <si>
    <t xml:space="preserve">Business Rules Tomcat </t>
  </si>
  <si>
    <t>FIS Open System</t>
  </si>
  <si>
    <t>Linux Red Hat Enterprise Server 7.0 (3.10.0-123.9.2.el7.x86_64) - UIT</t>
  </si>
  <si>
    <t>10.30.140.193</t>
  </si>
  <si>
    <t>FBA06141</t>
  </si>
  <si>
    <t>Edgardo and Wilson to follow up on if this is a no migrate - jdeltoro 5/13</t>
  </si>
  <si>
    <t>Microsoft RAP Active Directory</t>
  </si>
  <si>
    <t>FBA06141.firstbank.local</t>
  </si>
  <si>
    <t>10.30.137.210</t>
  </si>
  <si>
    <t>FBA06143</t>
  </si>
  <si>
    <t>Per Eric this is good to move in Milestone 2 - jdeltoro 5/9</t>
  </si>
  <si>
    <t>Account Resolution Portal</t>
  </si>
  <si>
    <t>Account Resolution</t>
  </si>
  <si>
    <t>Mobile Banking</t>
  </si>
  <si>
    <t>10.30.134.187  </t>
  </si>
  <si>
    <t>FBA06144</t>
  </si>
  <si>
    <t>Xpress 3</t>
  </si>
  <si>
    <t>10.30.134.188</t>
  </si>
  <si>
    <t>10.100.134.188</t>
  </si>
  <si>
    <t>FBA06144temp</t>
  </si>
  <si>
    <t>10.30.134.137</t>
  </si>
  <si>
    <t>FBA06145</t>
  </si>
  <si>
    <t>10.30.134.189</t>
  </si>
  <si>
    <t>10.100.134.189</t>
  </si>
  <si>
    <t>FBA06145temp</t>
  </si>
  <si>
    <t>10.30.134.138</t>
  </si>
  <si>
    <t>FBA06148</t>
  </si>
  <si>
    <t>10.30.134.192</t>
  </si>
  <si>
    <t>10.100.134.192</t>
  </si>
  <si>
    <t>FBA06157</t>
  </si>
  <si>
    <t>Confirmed with German no migrate - jdeltoro 5/8</t>
  </si>
  <si>
    <t>Nessus Scan Server</t>
  </si>
  <si>
    <t xml:space="preserve">Nessus Scan </t>
  </si>
  <si>
    <t>10.30.136.56</t>
  </si>
  <si>
    <t>FBA06159</t>
  </si>
  <si>
    <t>This will move to West3 for DR per JT - jdeltoro 5/13; per Eric this can be moved to non-PCI segment in Azure - jdeltoro 5/15; Server not found in Faddom - jdeltoro 10/30</t>
  </si>
  <si>
    <t>AAB MQ_COB (related to FEIS)</t>
  </si>
  <si>
    <t>AAB MQ_COB</t>
  </si>
  <si>
    <t>FBA06168</t>
  </si>
  <si>
    <t>Integration Server - Oracle Cloud Connection</t>
  </si>
  <si>
    <t>MIT RDS Server - New Bastion Server</t>
  </si>
  <si>
    <t>fba06172</t>
  </si>
  <si>
    <t xml:space="preserve">Dependency on FBA02046 Part of digital banking; Needs to be fully refactored at some point but no firm date; </t>
  </si>
  <si>
    <t>IC FEIS - UIT</t>
  </si>
  <si>
    <t>Red Hat Enterprise Linux 7</t>
  </si>
  <si>
    <t>10.30.140.214</t>
  </si>
  <si>
    <t>fba06173</t>
  </si>
  <si>
    <t>Part of digital banking; this will go away but no defined date; data on physical SQL 65031 so need to factor in vendor reconfiguring application. There is a current project that will finish in August.; needs application map created, follow up on next call - jdeltoro 6/4; dependency on 10.30.134.64 VRU test on port 21 that needs follow; has port 443 dependency on fba06135 goes through load balancer - jdeltoro 6/12</t>
  </si>
  <si>
    <t>Edgardo, Eric</t>
  </si>
  <si>
    <t>10.30.140.213</t>
  </si>
  <si>
    <t>FBA06174</t>
  </si>
  <si>
    <t>AAB PCI DB2</t>
  </si>
  <si>
    <t>AAB DB2</t>
  </si>
  <si>
    <t>FBA06175</t>
  </si>
  <si>
    <t>This will move to East2 for prod per JT - jdeltoro 5/13; per Eric this can be moved to non-PCI segment in Azure - jdeltoro 5/15;</t>
  </si>
  <si>
    <t>AAB PCI MQ (related to FEIS)</t>
  </si>
  <si>
    <t>AAB PCI MQ</t>
  </si>
  <si>
    <t>10.30.148.5    </t>
  </si>
  <si>
    <t>FBA06177</t>
  </si>
  <si>
    <t>fba06178</t>
  </si>
  <si>
    <t>Jira &amp;Confluence PROD (Open Source)</t>
  </si>
  <si>
    <t>Jira &amp;Confluence (Open Source)</t>
  </si>
  <si>
    <t>FBA06178</t>
  </si>
  <si>
    <t>10.30.134.70, 192.168.122.1</t>
  </si>
  <si>
    <t>fba06179</t>
  </si>
  <si>
    <t>10.30.134.225</t>
  </si>
  <si>
    <t>FBA06189</t>
  </si>
  <si>
    <t>IBM Spectrum Control V5.2.7.1</t>
  </si>
  <si>
    <t>FBA06189.firstbank.local</t>
  </si>
  <si>
    <t>10.30.129.16</t>
  </si>
  <si>
    <t>FBA06192</t>
  </si>
  <si>
    <t>UIP AQM Primary</t>
  </si>
  <si>
    <t>UIP AQM</t>
  </si>
  <si>
    <t>FBA06192.firstbank.local</t>
  </si>
  <si>
    <t>10.30.71.10</t>
  </si>
  <si>
    <t>FBA06193</t>
  </si>
  <si>
    <t>UIP AQM Database</t>
  </si>
  <si>
    <t>FBA06193.firstbank.local</t>
  </si>
  <si>
    <t>10.30.71.11</t>
  </si>
  <si>
    <t>FBA06194</t>
  </si>
  <si>
    <t>UIP AQM Web Services</t>
  </si>
  <si>
    <t>FBA06194.firstbank.local</t>
  </si>
  <si>
    <t>10.30.71.12</t>
  </si>
  <si>
    <t>FBA06195</t>
  </si>
  <si>
    <t>UIP AQM Pri(R)/Web/Media</t>
  </si>
  <si>
    <t>fba06195.firstbank.local</t>
  </si>
  <si>
    <t>10.30.71.13</t>
  </si>
  <si>
    <t>FBA06196</t>
  </si>
  <si>
    <t>UIP AQM WFO UI Server</t>
  </si>
  <si>
    <t xml:space="preserve">UIP AQM WFO UI </t>
  </si>
  <si>
    <t>FBA06196.firstbank.local</t>
  </si>
  <si>
    <t>10.30.71.14</t>
  </si>
  <si>
    <t>FBA06197</t>
  </si>
  <si>
    <t>UIP AQM Media Server</t>
  </si>
  <si>
    <t xml:space="preserve">UIP AQM Media </t>
  </si>
  <si>
    <t>FBA06197.firstbank.local</t>
  </si>
  <si>
    <t>10.30.71.15</t>
  </si>
  <si>
    <t>fba06198</t>
  </si>
  <si>
    <t>VDI HPE Simplivity Arbiter</t>
  </si>
  <si>
    <t>fba06198.firstbank.local</t>
  </si>
  <si>
    <t>10.30.142.221</t>
  </si>
  <si>
    <t>FBA06199</t>
  </si>
  <si>
    <t>FBA06200</t>
  </si>
  <si>
    <t>NEW NetIQ DRA Server - PRIMARY</t>
  </si>
  <si>
    <t>NEW NetIQ DRA</t>
  </si>
  <si>
    <t>FBA06201</t>
  </si>
  <si>
    <t>NEW NetIQ DRA Server - SECONDARY</t>
  </si>
  <si>
    <t>FBA06202</t>
  </si>
  <si>
    <t>NEW NetIQ GPA Server</t>
  </si>
  <si>
    <t xml:space="preserve">NEW NetIQ GPA </t>
  </si>
  <si>
    <t>FBA06202.firstbank.local</t>
  </si>
  <si>
    <t>10.30.137.247</t>
  </si>
  <si>
    <t>FBA06203</t>
  </si>
  <si>
    <t>Nessus 7</t>
  </si>
  <si>
    <t>Nessus Server</t>
  </si>
  <si>
    <t>Linux Oracle Enterprise Server 7.9 (4.1.12-124.87.2.el7uek.x86_64)</t>
  </si>
  <si>
    <t>10.30.136.51</t>
  </si>
  <si>
    <t>FBA06204</t>
  </si>
  <si>
    <t>UIP 7.4 Datamart - Primary</t>
  </si>
  <si>
    <t xml:space="preserve">UIP 7.4 Datamart </t>
  </si>
  <si>
    <t>FBA06204.firstbank.local</t>
  </si>
  <si>
    <t>10.30.71.16</t>
  </si>
  <si>
    <t>fba06205</t>
  </si>
  <si>
    <t>UIP 7.4 Datamart - Secondary</t>
  </si>
  <si>
    <t>fba06205.firstbank.local</t>
  </si>
  <si>
    <t>10.30.71.17</t>
  </si>
  <si>
    <t>FBA06206</t>
  </si>
  <si>
    <t>UIP 7.4 Core - Primary</t>
  </si>
  <si>
    <t xml:space="preserve">UIP 7.4 Core </t>
  </si>
  <si>
    <t>fba06206.firstbank.local</t>
  </si>
  <si>
    <t>10.30.71.18</t>
  </si>
  <si>
    <t>FBA06207</t>
  </si>
  <si>
    <t>UIP 7.4 Core - Secondary</t>
  </si>
  <si>
    <t>FBA06207.firstbank.local</t>
  </si>
  <si>
    <t>10.30.71.19</t>
  </si>
  <si>
    <t>FBA06208</t>
  </si>
  <si>
    <t>UIP 7.4 Agent M3 Arbiter</t>
  </si>
  <si>
    <t>FBA06208.firstbank.local</t>
  </si>
  <si>
    <t>10.30.71.20</t>
  </si>
  <si>
    <t>FBA06209</t>
  </si>
  <si>
    <t>UIP 7.4 Agent M3 Expansion</t>
  </si>
  <si>
    <t>FBA06209.firstbank.local</t>
  </si>
  <si>
    <t>10.30.71.21</t>
  </si>
  <si>
    <t>FBA06210</t>
  </si>
  <si>
    <t>UIP 7.4 UCC Admin</t>
  </si>
  <si>
    <t>FBA06210.firstbank.local</t>
  </si>
  <si>
    <t>10.30.71.22</t>
  </si>
  <si>
    <t>FBA06211</t>
  </si>
  <si>
    <t>UIP 7.4 UCC Admin Redundant</t>
  </si>
  <si>
    <t>FBA06211.firstbank.local</t>
  </si>
  <si>
    <t>10.30.71.23</t>
  </si>
  <si>
    <t>FBA06212</t>
  </si>
  <si>
    <t>UIP AIC 7.4 Core</t>
  </si>
  <si>
    <t>FBA06212.firstbank.local</t>
  </si>
  <si>
    <t>10.30.71.24</t>
  </si>
  <si>
    <t>FBA06213</t>
  </si>
  <si>
    <t>UIP AIC 7.4 DataMart</t>
  </si>
  <si>
    <t>FBA06213.firstbank.local</t>
  </si>
  <si>
    <t>10.30.71.25</t>
  </si>
  <si>
    <t>FBA06214</t>
  </si>
  <si>
    <t>Bancware UIP 7.4 ALM BOE</t>
  </si>
  <si>
    <t>UIP 7.4 ALM BOE</t>
  </si>
  <si>
    <t>FBA06214.firstbank.local</t>
  </si>
  <si>
    <t>10.30.71.26</t>
  </si>
  <si>
    <t>FBA06215</t>
  </si>
  <si>
    <t>Bancware UIP 7.4 ALM Primary</t>
  </si>
  <si>
    <t>UIP 7.4 ALM Primary</t>
  </si>
  <si>
    <t>192.168.1.1</t>
  </si>
  <si>
    <t>Standard E16-4s_v6</t>
  </si>
  <si>
    <t>FBA06216</t>
  </si>
  <si>
    <t>Bancware UIP 7.4 ALM Secondary</t>
  </si>
  <si>
    <t>UIP 7.4 ALM Secondary</t>
  </si>
  <si>
    <t>192.168.1.2</t>
  </si>
  <si>
    <t>FBA06217</t>
  </si>
  <si>
    <t>UIP 7.4 Support Server</t>
  </si>
  <si>
    <t xml:space="preserve">UIP 7.4 Support </t>
  </si>
  <si>
    <t>FBA06217.firstbank.local</t>
  </si>
  <si>
    <t>10.30.71.29</t>
  </si>
  <si>
    <t>FBA06218</t>
  </si>
  <si>
    <t>UIP AIC 7.4 Support Server</t>
  </si>
  <si>
    <t xml:space="preserve">UIP AIC 7.4 Support </t>
  </si>
  <si>
    <t>FBA06218.firstbank.local</t>
  </si>
  <si>
    <t>10.30.71.30</t>
  </si>
  <si>
    <t>FBA06221</t>
  </si>
  <si>
    <t>Network Node Manager (NNM) Reporting</t>
  </si>
  <si>
    <t>FBA06221.firstbank.local</t>
  </si>
  <si>
    <t>10.30.136.37</t>
  </si>
  <si>
    <t>FBA06222</t>
  </si>
  <si>
    <t>This server is staying on-prem</t>
  </si>
  <si>
    <t>FBPRTEST Oracle 8 server (NDM) - Connected with Digital Banking</t>
  </si>
  <si>
    <t>FBPR Oracle 8(NDM) - Connected with Digital Banking</t>
  </si>
  <si>
    <t>FBPRTEST Oracle 8 server (NDM)</t>
  </si>
  <si>
    <t>Linux Oracle Enterprise Server 8.7 (4.18.0-425.19.2.el8_7.x86_64)</t>
  </si>
  <si>
    <t>10.30.140.50</t>
  </si>
  <si>
    <t>FBA06223</t>
  </si>
  <si>
    <t>Aspec  Support PC 1</t>
  </si>
  <si>
    <t>FBA06223.firstbank.local</t>
  </si>
  <si>
    <t>10.20.16.15</t>
  </si>
  <si>
    <t>FBA06224</t>
  </si>
  <si>
    <t>UIP DR 7.4 Datamart - Primary</t>
  </si>
  <si>
    <t xml:space="preserve">UIP DR 7.4 Datamart </t>
  </si>
  <si>
    <t>FBA06224.firstbank.local</t>
  </si>
  <si>
    <t>10.20.16.16</t>
  </si>
  <si>
    <t>FBA06225</t>
  </si>
  <si>
    <t>UIP DR 7.4 Datamart - Secondary</t>
  </si>
  <si>
    <t>FBA06225.firstbank.local</t>
  </si>
  <si>
    <t>10.20.16.17</t>
  </si>
  <si>
    <t>FBA06226</t>
  </si>
  <si>
    <t>UIP DR 7.4 UCC Admin</t>
  </si>
  <si>
    <t>FBA06226.firstbank.local</t>
  </si>
  <si>
    <t>10.20.16.18</t>
  </si>
  <si>
    <t>FBA06227</t>
  </si>
  <si>
    <t>UIP DR 7.4 UCC Admin Redundant</t>
  </si>
  <si>
    <t>FBA06227.firstbank.local</t>
  </si>
  <si>
    <t>10.20.16.19</t>
  </si>
  <si>
    <t>FBA06228</t>
  </si>
  <si>
    <t>UIP DR 7.4 UCC Core - Primary</t>
  </si>
  <si>
    <t xml:space="preserve">UIP DR 7.4 UCC Core </t>
  </si>
  <si>
    <t>FBA06228.firstbank.local</t>
  </si>
  <si>
    <t>10.20.16.20</t>
  </si>
  <si>
    <t>FBA06229</t>
  </si>
  <si>
    <t>UIP DR 7.4 UCC Core - Secondary</t>
  </si>
  <si>
    <t>FBA06229.firstbank.local</t>
  </si>
  <si>
    <t>10.20.16.21</t>
  </si>
  <si>
    <t>FBA06230</t>
  </si>
  <si>
    <t>UIP DR 7.4 Agent M3 Expansion</t>
  </si>
  <si>
    <t>FBA06230.firstbank.local</t>
  </si>
  <si>
    <t>10.20.16.22</t>
  </si>
  <si>
    <t>FBA06231</t>
  </si>
  <si>
    <t>UIP DR 7.4 Agent M3 Expansion Arbiter</t>
  </si>
  <si>
    <t>FBA06231.firstbank.local</t>
  </si>
  <si>
    <t>10.20.16.23</t>
  </si>
  <si>
    <t>FBA06232</t>
  </si>
  <si>
    <t>Bancware UIP 7.4 ALM BOE COB</t>
  </si>
  <si>
    <t>UIP 7.4 ALM BOE COB</t>
  </si>
  <si>
    <t>FBA06232.firstbank.local</t>
  </si>
  <si>
    <t>10.20.16.24</t>
  </si>
  <si>
    <t>FBA06233</t>
  </si>
  <si>
    <t>Bancware UIP 7.4 ALM Reporting/DR COB</t>
  </si>
  <si>
    <t>UIP 7.4 ALM Reporting/DR COB</t>
  </si>
  <si>
    <t>FBA06233.firstbank.local</t>
  </si>
  <si>
    <t>10.20.16.25</t>
  </si>
  <si>
    <t>fba06234</t>
  </si>
  <si>
    <t>UIP DR 7.4 AQM Primary</t>
  </si>
  <si>
    <t>UIP DR 7.4 AQM</t>
  </si>
  <si>
    <t>fba06234.firstbank.local</t>
  </si>
  <si>
    <t>10.20.16.26</t>
  </si>
  <si>
    <t>fba06235</t>
  </si>
  <si>
    <t>UIP DR 7.4 AQM Database</t>
  </si>
  <si>
    <t>fba06235.firstbank.local</t>
  </si>
  <si>
    <t>10.20.16.27</t>
  </si>
  <si>
    <t>fba06236</t>
  </si>
  <si>
    <t>UIP DR 7.4 AQM Recording Server</t>
  </si>
  <si>
    <t xml:space="preserve">UIP DR 7.4 AQM Recording </t>
  </si>
  <si>
    <t>fba06236.firstbank.local</t>
  </si>
  <si>
    <t>10.20.16.28</t>
  </si>
  <si>
    <t>fba06237</t>
  </si>
  <si>
    <t>UIP DR 7.4 AQM WFO UI Server</t>
  </si>
  <si>
    <t xml:space="preserve">UIP DR 7.4 AQM WFO UI </t>
  </si>
  <si>
    <t>fba06237.firstbank.local</t>
  </si>
  <si>
    <t>10.20.16.29</t>
  </si>
  <si>
    <t>fba06238</t>
  </si>
  <si>
    <t>UIP DR 7.4 AQM Pri(R) - Web - Media</t>
  </si>
  <si>
    <t>fba06238.firstbank.local</t>
  </si>
  <si>
    <t>10.20.16.30</t>
  </si>
  <si>
    <t>fba06239</t>
  </si>
  <si>
    <t>UIP DR 7.4 AQM Quality Web Services</t>
  </si>
  <si>
    <t>fba06239.firstbank.local</t>
  </si>
  <si>
    <t>10.20.16.31</t>
  </si>
  <si>
    <t>FBA06240</t>
  </si>
  <si>
    <t>UIP 7.4 WFM Application</t>
  </si>
  <si>
    <t>FBA06240.firstbank.local</t>
  </si>
  <si>
    <t>10.30.71.32</t>
  </si>
  <si>
    <t>FBA06241</t>
  </si>
  <si>
    <t>UIP 7.4 WFM JumpServer</t>
  </si>
  <si>
    <t>UIP 7.4 WFM Jump</t>
  </si>
  <si>
    <t>FBA06241.firstbank.local</t>
  </si>
  <si>
    <t>10.30.71.33</t>
  </si>
  <si>
    <t>fba06242</t>
  </si>
  <si>
    <t>COB VDI HPE Simplivity Arbiter</t>
  </si>
  <si>
    <t>FBA06244</t>
  </si>
  <si>
    <t>FBNB AQM WFO (BsprAQMwfo1)</t>
  </si>
  <si>
    <t>FBA06245</t>
  </si>
  <si>
    <t>FBNB AQM Primary (BsprAQM1n)</t>
  </si>
  <si>
    <t>FBNB AQM (BsprAQM1n)</t>
  </si>
  <si>
    <t>FBA06246</t>
  </si>
  <si>
    <t>FBNB AQM Pri/Web/Media (BsprAQMMedia1n)</t>
  </si>
  <si>
    <t>FBA06246.firstbank.local</t>
  </si>
  <si>
    <t>10.30.71.182</t>
  </si>
  <si>
    <t>FBA06247</t>
  </si>
  <si>
    <t>FBNB AQM DB (BsprAQMdb4)</t>
  </si>
  <si>
    <t>FBA06247.firstbank.local</t>
  </si>
  <si>
    <t>10.30.71.183</t>
  </si>
  <si>
    <t>FBA06248</t>
  </si>
  <si>
    <t>FBNB AQM Web Services (BsprAQMServices)</t>
  </si>
  <si>
    <t>FBA06258</t>
  </si>
  <si>
    <t>Follow up with John and Adam - jdeltoro 5/8; No migration per Adam - jdeltoro 5/16</t>
  </si>
  <si>
    <t>Pronet Rapid7 Nexpose Scan</t>
  </si>
  <si>
    <t>FBA06258.firstbank.local</t>
  </si>
  <si>
    <t>10.30.136.58</t>
  </si>
  <si>
    <t>FBA06259</t>
  </si>
  <si>
    <t>Microsoft Azure Migration POC, temporasy server</t>
  </si>
  <si>
    <t xml:space="preserve">Microsoft Azure Migration, temporasy </t>
  </si>
  <si>
    <t>FBA06260</t>
  </si>
  <si>
    <t>Mobisa / SMS PROD - Connected with Digital Banking</t>
  </si>
  <si>
    <t>Mobisa / SMS</t>
  </si>
  <si>
    <t>Mobisa / SMS PROD</t>
  </si>
  <si>
    <t>FBA06260.firstbank.local</t>
  </si>
  <si>
    <t>10.30.71.178</t>
  </si>
  <si>
    <t>FBA06261</t>
  </si>
  <si>
    <t>This server needs to possibly go to West3 in Azure; possible test and dr - jdeltoro 5/8</t>
  </si>
  <si>
    <t>Mobisa / SMS UAT - Connected with Digital Banking</t>
  </si>
  <si>
    <t xml:space="preserve">Mobisa / SMS </t>
  </si>
  <si>
    <t>Mobisa / SMS UAT</t>
  </si>
  <si>
    <t>FBA06261.firstbank.local</t>
  </si>
  <si>
    <t>10.20.16.178</t>
  </si>
  <si>
    <t>FBA06262</t>
  </si>
  <si>
    <t>Mobisa / SMS DMZ - Connected with Digital Banking</t>
  </si>
  <si>
    <t>Mobisa / SMS DMZ</t>
  </si>
  <si>
    <t>Win2019 10.0.17763.5933 (1809)</t>
  </si>
  <si>
    <t>10.30.192.173</t>
  </si>
  <si>
    <t>FBA06263</t>
  </si>
  <si>
    <t>Server will remain on-site per Angel - jdeltoro 7/3</t>
  </si>
  <si>
    <t>Teramind Master Server - Appliance</t>
  </si>
  <si>
    <t>Teramind Master- Appliance</t>
  </si>
  <si>
    <t>Eliezer Mendez</t>
  </si>
  <si>
    <t>10.30.137.46  </t>
  </si>
  <si>
    <t>FBA06264</t>
  </si>
  <si>
    <t>NetIQ DRA Administration WEB</t>
  </si>
  <si>
    <t>FBA06264.firstbank.local</t>
  </si>
  <si>
    <t>Win2022 10.0.20348.2031 (21H2)</t>
  </si>
  <si>
    <t>10.30.137.253</t>
  </si>
  <si>
    <t>FBA06265</t>
  </si>
  <si>
    <t>FBA06265.firstbank.local</t>
  </si>
  <si>
    <t>10.30.137.254</t>
  </si>
  <si>
    <t>FBA06266</t>
  </si>
  <si>
    <t>10/22/25 This server has a NIC in the PCI segment. Need to discuss in more details about possibly changing the migration method to New Build. Either way, we need to better understand the requirements for this application. 
Added to Milestone 1; Group 1 per Angel on 4/14 - jdeltoro; Updated to no migration/new build per Angel Lopez - jdeltoro 10/24</t>
  </si>
  <si>
    <t>SafeBreach Host Simulator PCI</t>
  </si>
  <si>
    <t>SafeBreach</t>
  </si>
  <si>
    <t>Teddy Quiñones</t>
  </si>
  <si>
    <t>10.30.148.156</t>
  </si>
  <si>
    <t>10.30.148.1</t>
  </si>
  <si>
    <t>FBA06267</t>
  </si>
  <si>
    <t>Updated to no migrate/new build per Angel Lopez - jdeltoro 10/24</t>
  </si>
  <si>
    <t>SafeBreach Host Simulator PROD</t>
  </si>
  <si>
    <t>FBA06267.firstbank.local</t>
  </si>
  <si>
    <t>10.30.137.155</t>
  </si>
  <si>
    <t>FBA06268</t>
  </si>
  <si>
    <t>SafeBRidge Host Simulator DMZ</t>
  </si>
  <si>
    <t>SafeBreach Host Simulator DMZ</t>
  </si>
  <si>
    <t>Linux Red Hat Enterprise 8.8 (4.18.0-477.15.1.el8_8.x86_64)</t>
  </si>
  <si>
    <t>FBA06269</t>
  </si>
  <si>
    <t>SafeBRidge Collector Virtual Appliance</t>
  </si>
  <si>
    <t>SafeBreach Collector Virtual Appliance</t>
  </si>
  <si>
    <t>SafeBridge</t>
  </si>
  <si>
    <t>10.30.140.186</t>
  </si>
  <si>
    <t>FBA06270</t>
  </si>
  <si>
    <t>New VM reported by Angel Lopez - jdeltoro 7/24; Updated to no migrate/new build per Angel Lopez - jdeltoro 10/24</t>
  </si>
  <si>
    <t>SafeBreach Collector VA Oracle</t>
  </si>
  <si>
    <t>10.30.134.232</t>
  </si>
  <si>
    <t>FBA06271</t>
  </si>
  <si>
    <t>FIS MIT Support Terminal Server</t>
  </si>
  <si>
    <t xml:space="preserve">FIS MIT Support Terminal </t>
  </si>
  <si>
    <t>FBA06271.firstbank.local</t>
  </si>
  <si>
    <t>10.30.136.96</t>
  </si>
  <si>
    <t>FBA06272</t>
  </si>
  <si>
    <t>New MQ Prod Server</t>
  </si>
  <si>
    <t>10.30.134.144</t>
  </si>
  <si>
    <t>FBA06273</t>
  </si>
  <si>
    <t>FIS MIT Support Terminal</t>
  </si>
  <si>
    <t>10.30.136.97</t>
  </si>
  <si>
    <t>FBA07004</t>
  </si>
  <si>
    <t>Decommissioned per Juan Luis - jdeltoro 5/9</t>
  </si>
  <si>
    <t>MR 1130 FTP</t>
  </si>
  <si>
    <t>FBA07004.firstbank.local</t>
  </si>
  <si>
    <t>10.30.137.164</t>
  </si>
  <si>
    <t>FBA07006</t>
  </si>
  <si>
    <t>Serv U MFT - SFTP</t>
  </si>
  <si>
    <t xml:space="preserve">Serv-U </t>
  </si>
  <si>
    <t>fba07006.firstbank.local</t>
  </si>
  <si>
    <t>10.30.137.96</t>
  </si>
  <si>
    <t>FBA07007</t>
  </si>
  <si>
    <t>Serv U Gateway</t>
  </si>
  <si>
    <t>10.30.192.167</t>
  </si>
  <si>
    <t>FBA07008</t>
  </si>
  <si>
    <t>PCI PROD SFTP Server OneSumX</t>
  </si>
  <si>
    <t>10.30.148.18</t>
  </si>
  <si>
    <t>FBA07009</t>
  </si>
  <si>
    <t>PCI-COB SFTP Server OneSumX</t>
  </si>
  <si>
    <t>10.19.148.19</t>
  </si>
  <si>
    <t>FBA07010</t>
  </si>
  <si>
    <t>SFTP Swift Serv-U</t>
  </si>
  <si>
    <t>International Services</t>
  </si>
  <si>
    <t>Swift (Serv-U) SFTP/File Server</t>
  </si>
  <si>
    <t>SFTP Swift Serv U</t>
  </si>
  <si>
    <t>10.30.155.12</t>
  </si>
  <si>
    <t>FBA08005</t>
  </si>
  <si>
    <t>Confirmed with German and Fernando no migrate; was used to track internal audits - jdeltoro 5/9</t>
  </si>
  <si>
    <t>IssueTrack Web Server (Audit tool)</t>
  </si>
  <si>
    <t>IssueTrack Web(Audit tool)</t>
  </si>
  <si>
    <t>IssueTrack Web Server</t>
  </si>
  <si>
    <t>FBA08005.firstbank.local</t>
  </si>
  <si>
    <t>10.30.137.53</t>
  </si>
  <si>
    <t>FBA08012</t>
  </si>
  <si>
    <t>Obsolete list; New server built; Migration in early 2025</t>
  </si>
  <si>
    <t>Web Consolidation Test Envrionment (UAT)</t>
  </si>
  <si>
    <t>Web Consolidation Envrionment</t>
  </si>
  <si>
    <t>Web Consolidation Test Envrionment</t>
  </si>
  <si>
    <t>Ready for Decom</t>
  </si>
  <si>
    <t>FBA08012.firstbank.local</t>
  </si>
  <si>
    <t>10.30.140.201</t>
  </si>
  <si>
    <t>FBA08022</t>
  </si>
  <si>
    <t>LDR(Legal Document)</t>
  </si>
  <si>
    <t>10.30.152.73  </t>
  </si>
  <si>
    <t>FBA08027</t>
  </si>
  <si>
    <t>Server para LDR</t>
  </si>
  <si>
    <t>para LDR</t>
  </si>
  <si>
    <t>FBA08029</t>
  </si>
  <si>
    <t xml:space="preserve"> LDR Web Server UAT</t>
  </si>
  <si>
    <t>LDR Web</t>
  </si>
  <si>
    <t>FBA08030</t>
  </si>
  <si>
    <t>E3 Web Server PROD (Win2008R2 6.1.7601)</t>
  </si>
  <si>
    <t>E3 Web (Win2008R2 6.1.7601)</t>
  </si>
  <si>
    <t>10.30.137.136</t>
  </si>
  <si>
    <t>FBA08032</t>
  </si>
  <si>
    <t>E3 Web Server UAT</t>
  </si>
  <si>
    <t>E3 Web</t>
  </si>
  <si>
    <t>FBA08121.firstbank.local</t>
  </si>
  <si>
    <t>10.30.140.153</t>
  </si>
  <si>
    <t>FBA08036</t>
  </si>
  <si>
    <t>GFT Application - PROD (upgrade)</t>
  </si>
  <si>
    <t>10.30.157.203</t>
  </si>
  <si>
    <t>FBA08039</t>
  </si>
  <si>
    <t>SharePoint UAT</t>
  </si>
  <si>
    <t>FBA08039.firstbank.local</t>
  </si>
  <si>
    <t>10.30.140.129</t>
  </si>
  <si>
    <t>FBA08040</t>
  </si>
  <si>
    <t>FBA08040.firstbank.local</t>
  </si>
  <si>
    <t>10.30.140.130</t>
  </si>
  <si>
    <t>FBA08042</t>
  </si>
  <si>
    <t>TIME OFF / UCM - Human Resources</t>
  </si>
  <si>
    <t>FBA08043</t>
  </si>
  <si>
    <t>New server that is replacing FBA08117 - presented in CMC on 8/6 ticket CH25000179444 - jdeltoro 8/6; updated CMDB status and environment per Angel - jdeltoro 11/10</t>
  </si>
  <si>
    <t>eTrans ISO2022 - EPM</t>
  </si>
  <si>
    <t>eTrans</t>
  </si>
  <si>
    <t>eTrans ISO20222</t>
  </si>
  <si>
    <t>Tsoft Plus</t>
  </si>
  <si>
    <t xml:space="preserve">Herbert Cruz / Ana Cruz </t>
  </si>
  <si>
    <t>10.30.137.16</t>
  </si>
  <si>
    <t>FBA08045</t>
  </si>
  <si>
    <t>GFT Application - COB (Upgrade)</t>
  </si>
  <si>
    <t>10.19.157.204</t>
  </si>
  <si>
    <t>fba08053</t>
  </si>
  <si>
    <t>WEB APPL (SVN)</t>
  </si>
  <si>
    <t>SVN</t>
  </si>
  <si>
    <t>Linux Oracle Enterprise Server 7.9 (3.10.0-1160.95.1.0.1.el7.x86_64)</t>
  </si>
  <si>
    <t>10.30.140.238</t>
  </si>
  <si>
    <t>FBA08058</t>
  </si>
  <si>
    <t>No Migration per Angel - jdeltoro 10/21</t>
  </si>
  <si>
    <t>CDM - PROD (Upgrade FST to CDM) Cognos</t>
  </si>
  <si>
    <t>Cognos</t>
  </si>
  <si>
    <t>CDM - PROD (Upgrade FST to CDM)</t>
  </si>
  <si>
    <t>Preguntar a Julio Rivas</t>
  </si>
  <si>
    <t>FBA08058.firstbank.local</t>
  </si>
  <si>
    <t>10.30.137.51</t>
  </si>
  <si>
    <t>FBA08059</t>
  </si>
  <si>
    <t>CDM - UAT (Upgrade FST to CDM) Cognos</t>
  </si>
  <si>
    <t>CDM  (Upgrade FST to CDM) Cognos</t>
  </si>
  <si>
    <t>Cristina Torres/Kaylene Alamo</t>
  </si>
  <si>
    <t>CDM - UAT (Upgrade FST to CDM)</t>
  </si>
  <si>
    <t>Daphne Andino</t>
  </si>
  <si>
    <t>Cristina Torres</t>
  </si>
  <si>
    <t>FBA08059.firstbank.local</t>
  </si>
  <si>
    <t>10.30.140.60</t>
  </si>
  <si>
    <t>FBA08060</t>
  </si>
  <si>
    <t>Edgardo</t>
  </si>
  <si>
    <t>WEB APPL UAT</t>
  </si>
  <si>
    <t>WEB APPL</t>
  </si>
  <si>
    <t>10.30.140.240</t>
  </si>
  <si>
    <t>10.101.140.240</t>
  </si>
  <si>
    <t>10.101.140.1</t>
  </si>
  <si>
    <t>FBA08061</t>
  </si>
  <si>
    <t>Share Point UAT 1</t>
  </si>
  <si>
    <t xml:space="preserve">Share Point </t>
  </si>
  <si>
    <t>FBA08062</t>
  </si>
  <si>
    <t>Share Point UAT 2</t>
  </si>
  <si>
    <t>FBA08063</t>
  </si>
  <si>
    <t>SharePoint DEV 1</t>
  </si>
  <si>
    <t xml:space="preserve">SharePoint </t>
  </si>
  <si>
    <t>FBA08064</t>
  </si>
  <si>
    <t>SharePoint DEV 2</t>
  </si>
  <si>
    <t>FBA08065</t>
  </si>
  <si>
    <t>Share Point UIT\DEV 3</t>
  </si>
  <si>
    <t>Share Point</t>
  </si>
  <si>
    <t>FBA08066</t>
  </si>
  <si>
    <t>Share Point UIT\DEV 4</t>
  </si>
  <si>
    <t>FBA08067</t>
  </si>
  <si>
    <t>CDM - COB Cognos</t>
  </si>
  <si>
    <t>CDM - COB</t>
  </si>
  <si>
    <t>FBA08068</t>
  </si>
  <si>
    <t>Intranet SharePoint - Web</t>
  </si>
  <si>
    <t>FBA08068.firstbank.local</t>
  </si>
  <si>
    <t>10.30.137.74</t>
  </si>
  <si>
    <t>FBA08069</t>
  </si>
  <si>
    <t>Intranet SharePoint Web UAT</t>
  </si>
  <si>
    <t>FBA08069.firstbank.local</t>
  </si>
  <si>
    <t>10.30.140.241</t>
  </si>
  <si>
    <t>fba08070</t>
  </si>
  <si>
    <t>Prog Confluence Server</t>
  </si>
  <si>
    <t xml:space="preserve">Prog Confluence </t>
  </si>
  <si>
    <t>FBA08070</t>
  </si>
  <si>
    <t>Linux Oracle Enterprise Server 7.9 (4.1.12-124.77.2.el7uek.x86_64)</t>
  </si>
  <si>
    <t>10.30.140.249</t>
  </si>
  <si>
    <t>FBA08071</t>
  </si>
  <si>
    <t>Digital Banking - Front End - UIT</t>
  </si>
  <si>
    <t>FBA08071.firstbank.local</t>
  </si>
  <si>
    <t>10.30.140.54</t>
  </si>
  <si>
    <t>FBA08072</t>
  </si>
  <si>
    <t>Digital Banking - Back Office - UIT</t>
  </si>
  <si>
    <t>cmt.firstbankpr.com</t>
  </si>
  <si>
    <t>10.30.140.55</t>
  </si>
  <si>
    <t>FBA08073</t>
  </si>
  <si>
    <t>Intranet Migration Server</t>
  </si>
  <si>
    <t xml:space="preserve">Intranet Migration </t>
  </si>
  <si>
    <t>10.30.154.241</t>
  </si>
  <si>
    <t>FBA08074</t>
  </si>
  <si>
    <t>Digital Banking - Web Front End - UAT</t>
  </si>
  <si>
    <t>FBA08074.firstbank.local</t>
  </si>
  <si>
    <t>10.30.140.20</t>
  </si>
  <si>
    <t>FBA08075</t>
  </si>
  <si>
    <t>Digital Banking - Web - Back Office - UAT</t>
  </si>
  <si>
    <t>FBA08075.firstbank.local</t>
  </si>
  <si>
    <t>10.30.140.21</t>
  </si>
  <si>
    <t>FBA08076</t>
  </si>
  <si>
    <t>OneSumX WebAppl (SIT)</t>
  </si>
  <si>
    <t>FBA08076.firstbank.local</t>
  </si>
  <si>
    <t>10.30.140.119</t>
  </si>
  <si>
    <t>FBA08078</t>
  </si>
  <si>
    <t>OneSumX WebAppl (PROD)</t>
  </si>
  <si>
    <t>10.30.148.108</t>
  </si>
  <si>
    <t>FBA08078W19</t>
  </si>
  <si>
    <t>OneSumX WebAppl (PROD) - Windows 2019</t>
  </si>
  <si>
    <t>10.30.148.118</t>
  </si>
  <si>
    <t>FBA08079</t>
  </si>
  <si>
    <t>Digital One OnBase Prototype</t>
  </si>
  <si>
    <t>FBA08079.firstbank.local</t>
  </si>
  <si>
    <t>10.30.140.111</t>
  </si>
  <si>
    <t>FBA08080</t>
  </si>
  <si>
    <t>OnBase Upgrave v 17</t>
  </si>
  <si>
    <t>FBA08080.firstbank.local</t>
  </si>
  <si>
    <t>10.30.140.121</t>
  </si>
  <si>
    <t>FBA08081</t>
  </si>
  <si>
    <t>Digital Banking - Web Back Office PROD</t>
  </si>
  <si>
    <t>Digital Banking - Web Back Office - Pilot</t>
  </si>
  <si>
    <t>FBA08081.firstbank.local</t>
  </si>
  <si>
    <t>10.30.137.188</t>
  </si>
  <si>
    <t>FBA08082</t>
  </si>
  <si>
    <t>Digital Banking - Web FE 1 - PROD</t>
  </si>
  <si>
    <t>Digital Banking - Web FE 1 - Pilot</t>
  </si>
  <si>
    <t>10.30.192.142</t>
  </si>
  <si>
    <t>FBA08083</t>
  </si>
  <si>
    <t>Digital Banking - Web FE 2 - PROD</t>
  </si>
  <si>
    <t>Digital Banking - Web FE 2 - Pilot</t>
  </si>
  <si>
    <t>10.30.192.143</t>
  </si>
  <si>
    <t>FBA08084</t>
  </si>
  <si>
    <t>OneSumX WebAppl - Contingency</t>
  </si>
  <si>
    <t>10.19.148.108</t>
  </si>
  <si>
    <t>FBA08085</t>
  </si>
  <si>
    <t>FBA08085.firstbank.local</t>
  </si>
  <si>
    <t>FBA08086</t>
  </si>
  <si>
    <t>Digital Banking - Web FE 3 - PROD</t>
  </si>
  <si>
    <t>Digital Banking - Web FE 3 - PROD - Pilot</t>
  </si>
  <si>
    <t>10.30.192.146</t>
  </si>
  <si>
    <t>FBA08090</t>
  </si>
  <si>
    <t>GFT Application - Test (upgrade)</t>
  </si>
  <si>
    <t>GFT Application - Test Legacy</t>
  </si>
  <si>
    <t>10.30.158.196</t>
  </si>
  <si>
    <t>FBA08090-2016</t>
  </si>
  <si>
    <t>FBA08090-2022</t>
  </si>
  <si>
    <t>Depends on Fed connectivity at MR1130</t>
  </si>
  <si>
    <t>GFT Application TEST</t>
  </si>
  <si>
    <t>GFT Application - Test ISO2022</t>
  </si>
  <si>
    <t>10.30.140.5</t>
  </si>
  <si>
    <t>FBA08092</t>
  </si>
  <si>
    <t>Profitability &amp; BDI Risk Reporting - Bancware</t>
  </si>
  <si>
    <t>Profitability &amp; BDI Risk Reporting</t>
  </si>
  <si>
    <t>FBA08092.firstbank.local</t>
  </si>
  <si>
    <t>Win2016 10.0.14393.5356 (1607)</t>
  </si>
  <si>
    <t>10.30.137.83</t>
  </si>
  <si>
    <t>FBA08093</t>
  </si>
  <si>
    <t>Profitability &amp; BDI Risk Reporting UAT - Bancware</t>
  </si>
  <si>
    <t>Profitability &amp; BDI Risk Reporting UAT</t>
  </si>
  <si>
    <t>FBA08093.firstbank.local</t>
  </si>
  <si>
    <t>10.30.140.67</t>
  </si>
  <si>
    <t>FBA08095</t>
  </si>
  <si>
    <t>D1 onbase UAT</t>
  </si>
  <si>
    <t>FBA08095.firstbank.local</t>
  </si>
  <si>
    <t>10.30.140.36</t>
  </si>
  <si>
    <t>FBA08096</t>
  </si>
  <si>
    <t>AML / Investigations Upgrade - PROD</t>
  </si>
  <si>
    <t xml:space="preserve">AML / Investigations Upgrade </t>
  </si>
  <si>
    <t>FBA08096.firstbank.local</t>
  </si>
  <si>
    <t>10.30.137.168</t>
  </si>
  <si>
    <t>FBA08097</t>
  </si>
  <si>
    <t>AML / Investigations Upgrade - Test</t>
  </si>
  <si>
    <t>FBA08097.firstbank.local</t>
  </si>
  <si>
    <t>10.30.140.171</t>
  </si>
  <si>
    <t>FBA08098</t>
  </si>
  <si>
    <t>Follow up with Omar - Dependency on FB65030 - MSSQL Server - Need to follow up on web application; Follow-up with Edgardo - jdeltoro 5/7; few applications talk to FEIS; need to follow up on what 10.30.140.57; follow up with Hiram on Load Balancers; Edgardo to follow up on list of IIS applicaitons, but having issues with RDS server, will follow up later - jdeltoro 6/4; FBA02143 - FEIS Application Server UAT; Also is connecting through a UATSALES LB to connect back to itself; 192.168.154.138 is OCI;  - jdeltoro 6/19</t>
  </si>
  <si>
    <t>IIS Web Consolidation Server UAT</t>
  </si>
  <si>
    <t>IIS Web Consolidation</t>
  </si>
  <si>
    <t>FBA08098.firstbank.local</t>
  </si>
  <si>
    <t>10.30.140.103</t>
  </si>
  <si>
    <t>FBA08099</t>
  </si>
  <si>
    <t>UCM Human Resources / Time Off Historic  / Time Bank ADP- Etime</t>
  </si>
  <si>
    <t xml:space="preserve">UCM Human Resources </t>
  </si>
  <si>
    <t>Magalys Camacho</t>
  </si>
  <si>
    <t>Eliezer Ramos</t>
  </si>
  <si>
    <t>FBA08099.firstbank.local</t>
  </si>
  <si>
    <t>10.30.137.163</t>
  </si>
  <si>
    <t>FBA08101</t>
  </si>
  <si>
    <t>Database dependency on FB65031, FBA03109 for APPRO; Does talk to load balancer; follow up with Hiram - jdeltoro 5/16</t>
  </si>
  <si>
    <t>Hiram</t>
  </si>
  <si>
    <t>ITDG WEB UIT (E-Firstclass/econtracting/NMS/Eloan/Imaps/ADM/OSS/Tsys/CAS</t>
  </si>
  <si>
    <t>ITDG WEB UIT (EFC/econtracting/NMS/Eloan/Imaps/ADM/OSS/Tsys/CAS</t>
  </si>
  <si>
    <t>FBA08101.firstbank.local</t>
  </si>
  <si>
    <t>10.30.140.31</t>
  </si>
  <si>
    <t>FBA08102</t>
  </si>
  <si>
    <t>Risk Reporting Contingency Web Server</t>
  </si>
  <si>
    <t xml:space="preserve">Risk Reporting Contingency Web </t>
  </si>
  <si>
    <t>FBA08102.firstbank.local</t>
  </si>
  <si>
    <t>10.0.151.111</t>
  </si>
  <si>
    <t>FBA08103</t>
  </si>
  <si>
    <t>VDI Unified Access Gateway Horizon</t>
  </si>
  <si>
    <t>VDI Unified Access Gateway Horizon - Appliance</t>
  </si>
  <si>
    <t>10.30.192.52</t>
  </si>
  <si>
    <t>FBA08104</t>
  </si>
  <si>
    <t>AML / Investigations Upgrade - DR</t>
  </si>
  <si>
    <t>FBA08105</t>
  </si>
  <si>
    <t>Dependency on FB65030 follow up with Omar, Follow up with Carlos Castillo on Edgardo's team - jdeltoro 5/16</t>
  </si>
  <si>
    <t>Carlos</t>
  </si>
  <si>
    <t>eTrans Web Test</t>
  </si>
  <si>
    <t>FBA08105.firstbank.local</t>
  </si>
  <si>
    <t>10.30.140.18</t>
  </si>
  <si>
    <t>FBA08106</t>
  </si>
  <si>
    <t>Follow up with Vendor: InfoCorp; Reviewed with bank and need to follow up on database dependencies on FBA65030 and FBA65031 - jdeltoro 5/15; was unable to determine which databases were needed for this server, will need to follow up on next call - jdeltoro 6/4; Omar to follow up with TSA team to get additional information on which databases are being used - jdeltoro 6/19</t>
  </si>
  <si>
    <t>Omar, TSA Team</t>
  </si>
  <si>
    <t>Business eStatement Viewer Back Office UIT</t>
  </si>
  <si>
    <t>FBA08106.firstbank.local</t>
  </si>
  <si>
    <t>10.30.140.113</t>
  </si>
  <si>
    <t>FBA08107</t>
  </si>
  <si>
    <t>Vendor: InfoCorp; Reviewed with bank and no concerns - jdeltoro 5/15</t>
  </si>
  <si>
    <t>Business eStatement Viewer Web Front End UIT</t>
  </si>
  <si>
    <t>FBA08107.firstbank.local</t>
  </si>
  <si>
    <t>10.30.140.114</t>
  </si>
  <si>
    <t>FBA08108</t>
  </si>
  <si>
    <t>Business eStatement Viewer Back Office PROD</t>
  </si>
  <si>
    <t>FBA08108.firstbank.local</t>
  </si>
  <si>
    <t>10.30.137.223</t>
  </si>
  <si>
    <t>FBA08109</t>
  </si>
  <si>
    <t>Business eStatement Viewer Web Front End 1 PROD</t>
  </si>
  <si>
    <t>10.30.192.151</t>
  </si>
  <si>
    <t>FBA08110</t>
  </si>
  <si>
    <t>Business eStatement Viewer Web Front End 2 PROD</t>
  </si>
  <si>
    <t>10.30.192.152</t>
  </si>
  <si>
    <t>FBA08111</t>
  </si>
  <si>
    <t>Imaps E3, Imaps Encompass and ADM</t>
  </si>
  <si>
    <t>Imaps</t>
  </si>
  <si>
    <t>FBA08111.firstbank.local</t>
  </si>
  <si>
    <t>10.30.137.151</t>
  </si>
  <si>
    <t>FBA08112</t>
  </si>
  <si>
    <t>Checked with Edgardo and these are still online; was mentioned as possible decommission but will move in Milestone 1 Group 2</t>
  </si>
  <si>
    <t>Development Web  2016 Server 1</t>
  </si>
  <si>
    <t>Delopment Web  2016</t>
  </si>
  <si>
    <t>FBA08112.firstbank.local</t>
  </si>
  <si>
    <t>10.30.140.82</t>
  </si>
  <si>
    <t>FBA08113</t>
  </si>
  <si>
    <t>Development Web  2016 Server 2</t>
  </si>
  <si>
    <t>FBA08113.firstbank.local</t>
  </si>
  <si>
    <t>10.30.140.83</t>
  </si>
  <si>
    <t>FBA08114</t>
  </si>
  <si>
    <t>SAEX Upgrade Project - ITG</t>
  </si>
  <si>
    <t>SAEX</t>
  </si>
  <si>
    <t>SAEX Upgrade Project</t>
  </si>
  <si>
    <t>Christian Corazon</t>
  </si>
  <si>
    <t>FBA08114.firstbank.local</t>
  </si>
  <si>
    <t>10.30.137.91</t>
  </si>
  <si>
    <t>FBA08115</t>
  </si>
  <si>
    <t>Business eStatement BO UAT</t>
  </si>
  <si>
    <t>FBA08115.firstbank.local</t>
  </si>
  <si>
    <t>10.30.140.110</t>
  </si>
  <si>
    <t>FBA08116</t>
  </si>
  <si>
    <t>Business eStatement FE UAT</t>
  </si>
  <si>
    <t>FBA08116.firstbank.local</t>
  </si>
  <si>
    <t>10.30.140.107</t>
  </si>
  <si>
    <t>FBA08117</t>
  </si>
  <si>
    <t>eTrans Web Prod New</t>
  </si>
  <si>
    <t>FBA08117.firstbank.local</t>
  </si>
  <si>
    <t>10.30.137.117</t>
  </si>
  <si>
    <t>FBA08118</t>
  </si>
  <si>
    <t>ReconFrontier  Web Combined Server</t>
  </si>
  <si>
    <t>FBA08118.firstbank.local</t>
  </si>
  <si>
    <t>10.30.137.203</t>
  </si>
  <si>
    <t>FBA08119</t>
  </si>
  <si>
    <t>Follow up with Norberto Gonzalez, Karina Valentin and Vendor - Fiserv; dependency on FB65031 follow up with Omar - jdeltoro 5/16</t>
  </si>
  <si>
    <t>Omar</t>
  </si>
  <si>
    <t>Fiserv ReconFrontier WEB Combined UAT</t>
  </si>
  <si>
    <t>ReconFrontier WEB Combined UAT</t>
  </si>
  <si>
    <t>FBA08120</t>
  </si>
  <si>
    <t>Xapiens Identity and Access Management (XIAM) - Web Server</t>
  </si>
  <si>
    <t>10.30.164.11</t>
  </si>
  <si>
    <t>FBA08121</t>
  </si>
  <si>
    <t>Follow up with Omar - Database Dependency on FB65030 - MSSQL Server - ITG and ITDG vendor dependencies; Would need to move CAS along with this app/database; 3.7GB SAEX, CAS 44GB db's; MSSQL 2017</t>
  </si>
  <si>
    <t>SAEX Upgrade Web UAT - ITG</t>
  </si>
  <si>
    <t>SAEX Upgrade Web UAT</t>
  </si>
  <si>
    <t>Israel Velez</t>
  </si>
  <si>
    <t>FBA08122</t>
  </si>
  <si>
    <t>Digital Banking - Web FE 1 - PROD Upgrade</t>
  </si>
  <si>
    <t>10.30.192.125</t>
  </si>
  <si>
    <t>FBA08123</t>
  </si>
  <si>
    <t>Digital Banking - Web FE 2 - PROD Upgrade</t>
  </si>
  <si>
    <t>10.30.192.126</t>
  </si>
  <si>
    <t>FBA08124</t>
  </si>
  <si>
    <t>Digital Banking - Web FE 3 - PROD Upgrade</t>
  </si>
  <si>
    <t>10.30.192.127</t>
  </si>
  <si>
    <t>FBA08125</t>
  </si>
  <si>
    <t>Digital Banking - BackOffice - PROD Upgrade</t>
  </si>
  <si>
    <t>FBA08125.firstbank.local</t>
  </si>
  <si>
    <t>10.30.137.189</t>
  </si>
  <si>
    <t>FBA08126</t>
  </si>
  <si>
    <t>Xapiens Identity and Access Management (XIAM) - Web Server PROD</t>
  </si>
  <si>
    <t>10.30.166.4</t>
  </si>
  <si>
    <t>FBA08127</t>
  </si>
  <si>
    <t>Follow up on working session Tuesday 5/13 with Omar and Eric to log into this server and review applications - jdeltoro 5/9</t>
  </si>
  <si>
    <t>Omar, Eric</t>
  </si>
  <si>
    <t xml:space="preserve">IIS Consolidated UAT (PROD FB57768 - FB57769 upgrade) </t>
  </si>
  <si>
    <t>IIS Consolidated UAT (FB57768 - FB57769 - FBA06006 upgrade)</t>
  </si>
  <si>
    <t>fba06021.firstbank.local</t>
  </si>
  <si>
    <t>10.30.140.184</t>
  </si>
  <si>
    <t>FBA08128</t>
  </si>
  <si>
    <t>No concerns - jdeltoro 5/16</t>
  </si>
  <si>
    <t>OSS Web Server UAT 1 NEW</t>
  </si>
  <si>
    <t>OSS</t>
  </si>
  <si>
    <t>FBA08128.firstbank.local</t>
  </si>
  <si>
    <t>10.30.140.108</t>
  </si>
  <si>
    <t>FBA08129</t>
  </si>
  <si>
    <t>OSS Web Server UAT 2 NEW</t>
  </si>
  <si>
    <t>FBA02225.firstbank.local</t>
  </si>
  <si>
    <t>10.30.140.149</t>
  </si>
  <si>
    <t>FBA08130</t>
  </si>
  <si>
    <t>OSS Web Server UIT 1 NEW</t>
  </si>
  <si>
    <t>FBA08130.firstbank.local</t>
  </si>
  <si>
    <t>10.30.140.48</t>
  </si>
  <si>
    <t>FBA08131</t>
  </si>
  <si>
    <t>FBA08131.firstbank.local</t>
  </si>
  <si>
    <t>FBA08132</t>
  </si>
  <si>
    <t>OSS Web SERVER DMZ 1</t>
  </si>
  <si>
    <t>OSS Web Server DMZ 1</t>
  </si>
  <si>
    <t>Lored Matos</t>
  </si>
  <si>
    <t>10.30.192.36</t>
  </si>
  <si>
    <t>FBA08133</t>
  </si>
  <si>
    <t>OSS Web Server DMZ 2</t>
  </si>
  <si>
    <t>10.30.192.37</t>
  </si>
  <si>
    <t>FBA08134</t>
  </si>
  <si>
    <t>BMS System - Niagara</t>
  </si>
  <si>
    <t>FBA08134.firstbank.local</t>
  </si>
  <si>
    <t>10.30.137.76</t>
  </si>
  <si>
    <t>FBA08135</t>
  </si>
  <si>
    <t>Follow up with Fernando if decommissioned - jdeltoro 5/9</t>
  </si>
  <si>
    <t>ASSISTck Web Production</t>
  </si>
  <si>
    <t>Assistck</t>
  </si>
  <si>
    <t>BSA</t>
  </si>
  <si>
    <t>Jose Fonseca/Dennis Hernandez</t>
  </si>
  <si>
    <t>FBA08135.firstbank.local</t>
  </si>
  <si>
    <t>10.30.137.226</t>
  </si>
  <si>
    <t>FBA08136</t>
  </si>
  <si>
    <t>This server to stay on prem till decommission in 2026 per JT - jdeltoro 5/7</t>
  </si>
  <si>
    <t>ASSISTck Web DEV</t>
  </si>
  <si>
    <t>ASSISTck Web</t>
  </si>
  <si>
    <t>FBA08136.firstbank.local</t>
  </si>
  <si>
    <t>10.30.140.43</t>
  </si>
  <si>
    <t>FBA08137</t>
  </si>
  <si>
    <t>Decommissioned per Angel - jdeltoro 5/13</t>
  </si>
  <si>
    <t>Tsoft Plus 2019</t>
  </si>
  <si>
    <t>FBA08138</t>
  </si>
  <si>
    <t xml:space="preserve">Follow up with Compliance Team - Server is being replaced by a new server; Need to coordinate with bank PM (Damaris) on replacement server(s) and plan to move them in a future group. </t>
  </si>
  <si>
    <t>OneSumX WebAppl Test</t>
  </si>
  <si>
    <t>OneSumX WebAppl</t>
  </si>
  <si>
    <t>FBA08138.firstbank.local</t>
  </si>
  <si>
    <t>10.30.140.59</t>
  </si>
  <si>
    <t>FBA08139</t>
  </si>
  <si>
    <t>IssueTrack Upgrade Auto Audit</t>
  </si>
  <si>
    <t>Issue Tracker Upgrade Auto Audit</t>
  </si>
  <si>
    <t>FBA08139.firstbank.local</t>
  </si>
  <si>
    <t>10.30.137.227</t>
  </si>
  <si>
    <t>FBA08140</t>
  </si>
  <si>
    <t>FBA08143</t>
  </si>
  <si>
    <t>OnBase API Server</t>
  </si>
  <si>
    <t>10.30.140.174</t>
  </si>
  <si>
    <t>FBA08145</t>
  </si>
  <si>
    <t>Digital Banking - Web Front End - UAT - DMZ</t>
  </si>
  <si>
    <t>Microsoft Windows Server 2019</t>
  </si>
  <si>
    <t>10.30.192.10</t>
  </si>
  <si>
    <t>FBA084145</t>
  </si>
  <si>
    <t>New VM per ticket CH25000178673 in CMC - jdeltoro 7/30</t>
  </si>
  <si>
    <t>DigitalBanking Web UAT DMZ Server</t>
  </si>
  <si>
    <t>DigitalBanking</t>
  </si>
  <si>
    <t>FBA10004</t>
  </si>
  <si>
    <t>Confirmed with Edgardo Santiago no migrate - jdeltoro 5/13</t>
  </si>
  <si>
    <t>Insight Manager Server</t>
  </si>
  <si>
    <t>MIT RDS Server/DNS Server</t>
  </si>
  <si>
    <t>FBA10004.firstbank.local</t>
  </si>
  <si>
    <t>10.30.136.4</t>
  </si>
  <si>
    <t>FBA10005</t>
  </si>
  <si>
    <t>Followed up with Eric Lopez and has no info; Follow up with Omar - jdeltoro 5/9; updated Application name per Angel - jdeltoro 10/21</t>
  </si>
  <si>
    <t>CDO/Business Knowledge DEV SQL Integration Services</t>
  </si>
  <si>
    <t>Business Reporting</t>
  </si>
  <si>
    <t>TSM Reports (Nestor Deliz Area)</t>
  </si>
  <si>
    <t xml:space="preserve">Omar Ramos </t>
  </si>
  <si>
    <t>FBA10005.firstbank.local</t>
  </si>
  <si>
    <t>TSM Reports</t>
  </si>
  <si>
    <t>10.30.140.202</t>
  </si>
  <si>
    <t>FBA10008</t>
  </si>
  <si>
    <t>Tivoli Storage Productivity Center</t>
  </si>
  <si>
    <t>Tivoli Storageuctivity Center</t>
  </si>
  <si>
    <t>FBA10009</t>
  </si>
  <si>
    <t>Per Omar no issues - jdeltoro 5/13</t>
  </si>
  <si>
    <t>Ideras DB Performance Monitor</t>
  </si>
  <si>
    <t>Idera</t>
  </si>
  <si>
    <t>DB Performance Monitor</t>
  </si>
  <si>
    <t>fba10009.firstbank.local</t>
  </si>
  <si>
    <t>10.30.136.16</t>
  </si>
  <si>
    <t>FBA10013</t>
  </si>
  <si>
    <t>IBM TEM Server – Relay 1</t>
  </si>
  <si>
    <t>FBA10013.firstbank.local</t>
  </si>
  <si>
    <t>10.30.136.19</t>
  </si>
  <si>
    <t>FBA10014</t>
  </si>
  <si>
    <t>IBM TEM Server – Relay 2</t>
  </si>
  <si>
    <t>FBA10014.firstbank.local</t>
  </si>
  <si>
    <t>10.30.136.20</t>
  </si>
  <si>
    <t>FBA10015</t>
  </si>
  <si>
    <t>IBM TEM Server – Relay 3</t>
  </si>
  <si>
    <t>FBA10015.firstbank.local</t>
  </si>
  <si>
    <t>10.30.136.21</t>
  </si>
  <si>
    <t>FBA10016</t>
  </si>
  <si>
    <t>IBM TEM Server – Relay 4</t>
  </si>
  <si>
    <t>FBA10016.firstbank.local</t>
  </si>
  <si>
    <t>10.30.136.22</t>
  </si>
  <si>
    <t>FBA10017</t>
  </si>
  <si>
    <t>IBM TEM Server – Relay 5</t>
  </si>
  <si>
    <t>10.30.192.23</t>
  </si>
  <si>
    <t>FBA10018</t>
  </si>
  <si>
    <t>HP Data Protector</t>
  </si>
  <si>
    <t>FBA10019</t>
  </si>
  <si>
    <t>TEM Relay Server svr5 (DMZ 2)</t>
  </si>
  <si>
    <t>TEM Relaysvr5 (DMZ 2)</t>
  </si>
  <si>
    <t>10.30.192.24</t>
  </si>
  <si>
    <t>FBA10020</t>
  </si>
  <si>
    <t>HP Insight Remote Support Tool</t>
  </si>
  <si>
    <t>FBA10020.firstbank.local</t>
  </si>
  <si>
    <t>10.30.140.212</t>
  </si>
  <si>
    <t>FBA10021</t>
  </si>
  <si>
    <t>Vcenter PCI</t>
  </si>
  <si>
    <t>Vcenter</t>
  </si>
  <si>
    <t>10.30.149.12</t>
  </si>
  <si>
    <t>FBA10022</t>
  </si>
  <si>
    <t>Vcenter PCI-COB</t>
  </si>
  <si>
    <t>Vcenter-COB</t>
  </si>
  <si>
    <t>10.19.149.12</t>
  </si>
  <si>
    <t>fba10023</t>
  </si>
  <si>
    <t>Vcenter MR1130</t>
  </si>
  <si>
    <t>10.30.142.121</t>
  </si>
  <si>
    <t>fba10025</t>
  </si>
  <si>
    <t>Vcenter COB - Appliance</t>
  </si>
  <si>
    <t>10.19.142.121</t>
  </si>
  <si>
    <t>fba10026</t>
  </si>
  <si>
    <t>OVA Vmware - POC</t>
  </si>
  <si>
    <t xml:space="preserve">OVA Vmware </t>
  </si>
  <si>
    <t>fba10030</t>
  </si>
  <si>
    <t>Vcenter Sungard</t>
  </si>
  <si>
    <t>10.0.151.80</t>
  </si>
  <si>
    <t>FBA10034</t>
  </si>
  <si>
    <t>VmWare 6.5 Vsphere Replication COB PCI</t>
  </si>
  <si>
    <t>fba10034</t>
  </si>
  <si>
    <t>10.19.149.10</t>
  </si>
  <si>
    <t>fba10036</t>
  </si>
  <si>
    <t>VDI Vcenter Appliance</t>
  </si>
  <si>
    <t>10.30.142.220</t>
  </si>
  <si>
    <t>fba10039</t>
  </si>
  <si>
    <t>VDI NSX Appliance</t>
  </si>
  <si>
    <t>10.30.180.50</t>
  </si>
  <si>
    <t>fba10040</t>
  </si>
  <si>
    <t>VDI VmWare vRealize Operations Manager</t>
  </si>
  <si>
    <t>VDI VmWare vRealize Operations Manager - Appliance</t>
  </si>
  <si>
    <t>fba10041</t>
  </si>
  <si>
    <t>VmWare vRealize Operations Manager POC</t>
  </si>
  <si>
    <t>VmWare vRealize Operations Manager</t>
  </si>
  <si>
    <t>FBA10043</t>
  </si>
  <si>
    <t>Vcenter 7.0 Arterial</t>
  </si>
  <si>
    <t>10.20.114.26</t>
  </si>
  <si>
    <t>FBA10044</t>
  </si>
  <si>
    <t>Xerox Remote Services</t>
  </si>
  <si>
    <t>FBA10044.firstbank.local</t>
  </si>
  <si>
    <t>10.30.137.153</t>
  </si>
  <si>
    <t>FBA12003</t>
  </si>
  <si>
    <t>Mortgage MSP Server - Windows 7</t>
  </si>
  <si>
    <t>Waldemar Velez/Elizabeth Cardona</t>
  </si>
  <si>
    <t>Mortgage MSP</t>
  </si>
  <si>
    <t>Win10 10.0.19045.3448 (22H2)</t>
  </si>
  <si>
    <t>10.30.137.66</t>
  </si>
  <si>
    <t>FBA12004</t>
  </si>
  <si>
    <t>APPRO Reporting PC</t>
  </si>
  <si>
    <t>Win7 6.1.7601</t>
  </si>
  <si>
    <t>10.30.137.36</t>
  </si>
  <si>
    <t>FBA12011</t>
  </si>
  <si>
    <t>HurrTrak PC</t>
  </si>
  <si>
    <t>10.30.137.92</t>
  </si>
  <si>
    <t>FBA12012</t>
  </si>
  <si>
    <t>Test PC - TSA Dept</t>
  </si>
  <si>
    <t>PC - TSA Dept</t>
  </si>
  <si>
    <t>Win10 10.0.19045.4529 (22H2)</t>
  </si>
  <si>
    <t>10.30.140.245</t>
  </si>
  <si>
    <t>FBA12013</t>
  </si>
  <si>
    <t>10.30.140.246</t>
  </si>
  <si>
    <t>FBA12019</t>
  </si>
  <si>
    <t>Workstation Infra - Jump Workstations for tools</t>
  </si>
  <si>
    <t>FIS Server Admin</t>
  </si>
  <si>
    <t>Windows 10</t>
  </si>
  <si>
    <t>FBA12019.firstbank.local</t>
  </si>
  <si>
    <t>10.30.137.21</t>
  </si>
  <si>
    <t>10.101.137.21</t>
  </si>
  <si>
    <t>10.101.137.1</t>
  </si>
  <si>
    <t>FBA12021</t>
  </si>
  <si>
    <t>APPRO PCI VPN</t>
  </si>
  <si>
    <t>10.30.137.60</t>
  </si>
  <si>
    <t>FBA12022</t>
  </si>
  <si>
    <t>Win10 10.0.19045.4651 (22H2)</t>
  </si>
  <si>
    <t>10.0.151.91</t>
  </si>
  <si>
    <t>FBA12024</t>
  </si>
  <si>
    <t>10.30.137.52</t>
  </si>
  <si>
    <t>10.101.137.52</t>
  </si>
  <si>
    <t>FBA12025</t>
  </si>
  <si>
    <t>Workstation - Jump Workstations - ATM Monitoring</t>
  </si>
  <si>
    <t>10.30.137.139</t>
  </si>
  <si>
    <t>FBA12026</t>
  </si>
  <si>
    <t>Follow up with Juan - Possible Decommission</t>
  </si>
  <si>
    <t>Workstation - Jump Workstations - Mobius - Vendor Jump Box</t>
  </si>
  <si>
    <t>10.30.137.159</t>
  </si>
  <si>
    <t>FBA12027</t>
  </si>
  <si>
    <t>10.30.137.90</t>
  </si>
  <si>
    <t>FBA12028</t>
  </si>
  <si>
    <t>ATM WIN10 Test Upgrade</t>
  </si>
  <si>
    <t>ATM WIN10 Upgrade</t>
  </si>
  <si>
    <t>FBA12028.firstbank.local</t>
  </si>
  <si>
    <t>10.30.137.160</t>
  </si>
  <si>
    <t>FBA12029</t>
  </si>
  <si>
    <t>10.0.151.93</t>
  </si>
  <si>
    <t>FBA12032</t>
  </si>
  <si>
    <t>10.30.71.31</t>
  </si>
  <si>
    <t>FBA12033</t>
  </si>
  <si>
    <t>DR</t>
  </si>
  <si>
    <t>10.20.16.32</t>
  </si>
  <si>
    <t>FBA12034</t>
  </si>
  <si>
    <t>fe80::553e:96ed:c7cc:61fd</t>
  </si>
  <si>
    <t>FBA12037</t>
  </si>
  <si>
    <t>First Bank Credit Union</t>
  </si>
  <si>
    <t>10.30.137.27</t>
  </si>
  <si>
    <t>FBA12040</t>
  </si>
  <si>
    <t>Win10 32Bit Payroll</t>
  </si>
  <si>
    <t>10.30.137.233</t>
  </si>
  <si>
    <t>FBA12041</t>
  </si>
  <si>
    <t>Follow up with Rafi - Does this system need to be migrated; Do we need to contact MasterCard</t>
  </si>
  <si>
    <t>Workstation - Jump Workstations</t>
  </si>
  <si>
    <t>10.30.148.86</t>
  </si>
  <si>
    <t>FBA12042</t>
  </si>
  <si>
    <t>10.30.137.40</t>
  </si>
  <si>
    <t>FBA12043</t>
  </si>
  <si>
    <t>MonEx Workstation</t>
  </si>
  <si>
    <t>10.30.137.24</t>
  </si>
  <si>
    <t>FBA12044</t>
  </si>
  <si>
    <t>10.30.137.28</t>
  </si>
  <si>
    <t>FBA12045</t>
  </si>
  <si>
    <t>Win11 10.0.22631.3737 (23H2)</t>
  </si>
  <si>
    <t>10.20.16.33</t>
  </si>
  <si>
    <t>FBA12046</t>
  </si>
  <si>
    <t>Updated to "No Migration" per Angel Lopez - jdeltoro 10/6; added back to migration per Angel - jdeltoro 10/21</t>
  </si>
  <si>
    <t>RPA - Bot Automation - Dev</t>
  </si>
  <si>
    <t>10.30.75.13</t>
  </si>
  <si>
    <t>10.30.75.1</t>
  </si>
  <si>
    <t>FBA12047</t>
  </si>
  <si>
    <t>RPA - Bot Automation - Prod</t>
  </si>
  <si>
    <t>10.30.75.14</t>
  </si>
  <si>
    <t>10.101.75.14</t>
  </si>
  <si>
    <t>10.101.75.1</t>
  </si>
  <si>
    <t>FBA13001</t>
  </si>
  <si>
    <t>Orace Integration Test Server</t>
  </si>
  <si>
    <t xml:space="preserve">Orace Integration </t>
  </si>
  <si>
    <t>FBA13003</t>
  </si>
  <si>
    <t>Oracle Cloud FDMEE Production DB Server</t>
  </si>
  <si>
    <t xml:space="preserve">Oracle Cloud FDMEEuction DB </t>
  </si>
  <si>
    <t>FBA14001</t>
  </si>
  <si>
    <t>OpenShift_Bastion_Non_PROD</t>
  </si>
  <si>
    <t>Linux Red Hat Enterprise 8.9 (4.18.0-513.18.1.el8_9.x86_64)</t>
  </si>
  <si>
    <t>10.30.150.71</t>
  </si>
  <si>
    <t>fba14003</t>
  </si>
  <si>
    <t>Openshift_Master01_Non_PROD</t>
  </si>
  <si>
    <t>FBA14003</t>
  </si>
  <si>
    <t>10.130.0.2</t>
  </si>
  <si>
    <t>fba14004</t>
  </si>
  <si>
    <t>Openshift_Master02_Non_PROD</t>
  </si>
  <si>
    <t>FBA14004</t>
  </si>
  <si>
    <t>10.128.0.2</t>
  </si>
  <si>
    <t>fba14005</t>
  </si>
  <si>
    <t>Openshift_Master03_Non_PROD</t>
  </si>
  <si>
    <t>FBA14005</t>
  </si>
  <si>
    <t>10.129.0.2</t>
  </si>
  <si>
    <t>fba14006</t>
  </si>
  <si>
    <t>Openshift_Infra01_Non_PROD</t>
  </si>
  <si>
    <t>FBA14006</t>
  </si>
  <si>
    <t>10.131.0.2</t>
  </si>
  <si>
    <t>fba14007</t>
  </si>
  <si>
    <t>Openshift_Infra02_Non_PROD</t>
  </si>
  <si>
    <t>FBA14007</t>
  </si>
  <si>
    <t>10.128.2.2</t>
  </si>
  <si>
    <t>fba14008</t>
  </si>
  <si>
    <t>Openshift_Infra03_Non_PROD</t>
  </si>
  <si>
    <t>FBA14008</t>
  </si>
  <si>
    <t>10.129.2.2</t>
  </si>
  <si>
    <t>fba14009</t>
  </si>
  <si>
    <t>Openshift_Worker01_Non_PROD</t>
  </si>
  <si>
    <t>FBA14009</t>
  </si>
  <si>
    <t>10.130.2.2</t>
  </si>
  <si>
    <t>fba14010</t>
  </si>
  <si>
    <t>Openshift_Worker02_Non_PROD</t>
  </si>
  <si>
    <t>FBA14010</t>
  </si>
  <si>
    <t>10.131.2.2</t>
  </si>
  <si>
    <t>fba14011</t>
  </si>
  <si>
    <t>Openshift_Worker03_Non_PROD</t>
  </si>
  <si>
    <t>FBA14011</t>
  </si>
  <si>
    <t>10.128.4.2</t>
  </si>
  <si>
    <t>fba14012</t>
  </si>
  <si>
    <t>Openshift_Worker04_Non_PROD</t>
  </si>
  <si>
    <t>FBA14012</t>
  </si>
  <si>
    <t>10.129.4.2</t>
  </si>
  <si>
    <t>fba14013</t>
  </si>
  <si>
    <t>Openshift_Worker05_Non_PROD</t>
  </si>
  <si>
    <t>FBA14013</t>
  </si>
  <si>
    <t>10.130.4.2</t>
  </si>
  <si>
    <t>fba14014</t>
  </si>
  <si>
    <t>Openshift_Worker06_Non_PROD</t>
  </si>
  <si>
    <t>FBA14014</t>
  </si>
  <si>
    <t>10.131.4.2</t>
  </si>
  <si>
    <t>fba14015</t>
  </si>
  <si>
    <t>Openshift_Worker07_Non_PROD</t>
  </si>
  <si>
    <t>FBA14015</t>
  </si>
  <si>
    <t>10.128.6.2</t>
  </si>
  <si>
    <t>fba14016</t>
  </si>
  <si>
    <t>Openshift_Worker08_Non_PROD</t>
  </si>
  <si>
    <t>FBA14016</t>
  </si>
  <si>
    <t>10.129.6.2</t>
  </si>
  <si>
    <t>FBA14017</t>
  </si>
  <si>
    <t>OpenShift_Bastion_PROD</t>
  </si>
  <si>
    <t>10.30.150.171</t>
  </si>
  <si>
    <t>fba14019</t>
  </si>
  <si>
    <t>Openshift_Master01_PROD</t>
  </si>
  <si>
    <t>FBA14019</t>
  </si>
  <si>
    <t>fba14020</t>
  </si>
  <si>
    <t>Openshift_Master02_PROD</t>
  </si>
  <si>
    <t>FBA14020</t>
  </si>
  <si>
    <t>fba14021</t>
  </si>
  <si>
    <t>Openshift_Master03_PROD</t>
  </si>
  <si>
    <t>FBA14021</t>
  </si>
  <si>
    <t>fba14022</t>
  </si>
  <si>
    <t>Openshift_Infra01_PRD</t>
  </si>
  <si>
    <t>FBA14022</t>
  </si>
  <si>
    <t>fba14023</t>
  </si>
  <si>
    <t>Openshift_Infra02_PROD</t>
  </si>
  <si>
    <t>FBA14023</t>
  </si>
  <si>
    <t>fba14024</t>
  </si>
  <si>
    <t>Openshift_Infra03_PROD</t>
  </si>
  <si>
    <t>FBA14024</t>
  </si>
  <si>
    <t>fba14025</t>
  </si>
  <si>
    <t>Openshift_Worker01_PROD</t>
  </si>
  <si>
    <t>FBA14025</t>
  </si>
  <si>
    <t>fba14026</t>
  </si>
  <si>
    <t>Openshift_Worker02_PROD</t>
  </si>
  <si>
    <t>FBA14026</t>
  </si>
  <si>
    <t>fba14027</t>
  </si>
  <si>
    <t>Openshift_Worker03_PROD</t>
  </si>
  <si>
    <t>FBA14027</t>
  </si>
  <si>
    <t>fba14028</t>
  </si>
  <si>
    <t>Openshift_Worker04_PROD</t>
  </si>
  <si>
    <t>FBA14028</t>
  </si>
  <si>
    <t>fba14029</t>
  </si>
  <si>
    <t>Openshift_Worker05_PROD</t>
  </si>
  <si>
    <t>FBA14029</t>
  </si>
  <si>
    <t>fba14030</t>
  </si>
  <si>
    <t>Openshift_Worker06_PROD</t>
  </si>
  <si>
    <t>FBA14030</t>
  </si>
  <si>
    <t>fba14031</t>
  </si>
  <si>
    <t>Openshift_Worker07_PROD</t>
  </si>
  <si>
    <t>FBA14031</t>
  </si>
  <si>
    <t>fba14032</t>
  </si>
  <si>
    <t>Openshift_Worker08_PROD</t>
  </si>
  <si>
    <t>FBA14032</t>
  </si>
  <si>
    <t>fba14033</t>
  </si>
  <si>
    <t>10.130.6.2</t>
  </si>
  <si>
    <t>FBA15001</t>
  </si>
  <si>
    <t>Faddom is FIS tool and no migrate - jdeltoro 7/24</t>
  </si>
  <si>
    <t>FIS MIT Faddom Application and Windows Proxy</t>
  </si>
  <si>
    <t>10.30.136.190</t>
  </si>
  <si>
    <t>FBA15064</t>
  </si>
  <si>
    <t>Azure Migrate is FIS tool and no migrate - jdeltoro 7/24</t>
  </si>
  <si>
    <t>FIS MIT Azure Migrate Application</t>
  </si>
  <si>
    <t>10.30.136.235</t>
  </si>
  <si>
    <t>FBA15065</t>
  </si>
  <si>
    <t>FIS MIT FLEXERA Server Appliance</t>
  </si>
  <si>
    <t>Debian GNU/Linux 11</t>
  </si>
  <si>
    <t>10.30.136.236</t>
  </si>
  <si>
    <t>FBA15066</t>
  </si>
  <si>
    <t>FIS MIT Flexera Beacon</t>
  </si>
  <si>
    <t>10.30.136.237</t>
  </si>
  <si>
    <t>FBA2478</t>
  </si>
  <si>
    <t>FBA2480</t>
  </si>
  <si>
    <t>FBA-APPRODR011</t>
  </si>
  <si>
    <t>10.20.13.15</t>
  </si>
  <si>
    <t>FBA-APPROPRDS01</t>
  </si>
  <si>
    <t>VDI Horizon APPRO-RDS-01</t>
  </si>
  <si>
    <t>10.30.82.76</t>
  </si>
  <si>
    <t>FBA-APPROPRDS02</t>
  </si>
  <si>
    <t>VDI Horizon APPRO-RDS-02</t>
  </si>
  <si>
    <t>10.30.82.77</t>
  </si>
  <si>
    <t>FBA-APPROPRDS03</t>
  </si>
  <si>
    <t>VDI Horizon APPRO-RDS-03</t>
  </si>
  <si>
    <t>10.30.82.38</t>
  </si>
  <si>
    <t>FBA-APPROPRDS04</t>
  </si>
  <si>
    <t>VDI Horizon APPRO-RDS-04</t>
  </si>
  <si>
    <t>10.30.82.11</t>
  </si>
  <si>
    <t>FBA-APPRO-RDS01</t>
  </si>
  <si>
    <t>10.30.82.15</t>
  </si>
  <si>
    <t>FBADR01013</t>
  </si>
  <si>
    <t>File Server Alterial</t>
  </si>
  <si>
    <t>FileAlterial</t>
  </si>
  <si>
    <t>FBADR02031</t>
  </si>
  <si>
    <t>OnBase File Transfer Report Appl Server Aretrial</t>
  </si>
  <si>
    <t>OnBase File Transfer Report ApplAretrial</t>
  </si>
  <si>
    <t>FBADR02031.firstbank.local</t>
  </si>
  <si>
    <t>10.20.120.200</t>
  </si>
  <si>
    <t>FBADR02235</t>
  </si>
  <si>
    <t>D1 Onbase WKSOBDocComp 1 - Arterial</t>
  </si>
  <si>
    <t>10.20.109.22</t>
  </si>
  <si>
    <t>FBADR02237</t>
  </si>
  <si>
    <t xml:space="preserve"> D1 Onbase WKSOBDocComp 1 - Arterial</t>
  </si>
  <si>
    <t>10.20.109.95</t>
  </si>
  <si>
    <t>FBADR02239</t>
  </si>
  <si>
    <t>Onbase Report Web Server Prod 1 - Arterial</t>
  </si>
  <si>
    <t>Onbase Report Web 1 - Arterial</t>
  </si>
  <si>
    <t>10.20.109.50</t>
  </si>
  <si>
    <t>FBADR02329</t>
  </si>
  <si>
    <t>Onbase temp Document Conversion Server - Arterial</t>
  </si>
  <si>
    <t>Onbase temp Document Conversion- Arterial</t>
  </si>
  <si>
    <t>10.20.109.232</t>
  </si>
  <si>
    <t>FBADR02362</t>
  </si>
  <si>
    <t>Onbase Econtracting DMZ 1 - Arterial</t>
  </si>
  <si>
    <t>10.20.99.177</t>
  </si>
  <si>
    <t>FBADR02379</t>
  </si>
  <si>
    <t>Onbase Econtracting app server - Arterial</t>
  </si>
  <si>
    <t>Onbase Econtracting app- Arterial</t>
  </si>
  <si>
    <t>10.20.109.67</t>
  </si>
  <si>
    <t>FBADR02397</t>
  </si>
  <si>
    <t>Onbase Econtracting DMZ2 - Arterial</t>
  </si>
  <si>
    <t>10.20.99.178</t>
  </si>
  <si>
    <t>FBADR07009</t>
  </si>
  <si>
    <t>10.20.120.18</t>
  </si>
  <si>
    <t>FBADR65367</t>
  </si>
  <si>
    <t>HR, CTB&lt; Comercial</t>
  </si>
  <si>
    <t>10.20.109.146</t>
  </si>
  <si>
    <t>FBAMDC1</t>
  </si>
  <si>
    <t>Branch Server - File/Print</t>
  </si>
  <si>
    <t>Branch- File/Print</t>
  </si>
  <si>
    <t>Mayaguez Server</t>
  </si>
  <si>
    <t>10.0.148.4</t>
  </si>
  <si>
    <t>FBA-VDI-RDS-01</t>
  </si>
  <si>
    <t>10.30.82.169</t>
  </si>
  <si>
    <t>FBA-VDI-RDS-02</t>
  </si>
  <si>
    <t>VDI Horizon-RDS-02</t>
  </si>
  <si>
    <t>10.30.82.46</t>
  </si>
  <si>
    <t>FBBR000MOA</t>
  </si>
  <si>
    <t>TSA Branch Server Mosaic - Test/Dev</t>
  </si>
  <si>
    <t xml:space="preserve">TSA BranchMosaic </t>
  </si>
  <si>
    <t>FBBR000MOA.firstbank.local</t>
  </si>
  <si>
    <t>10.30.137.55</t>
  </si>
  <si>
    <t>fbbr001fs</t>
  </si>
  <si>
    <t>10.0.9.12</t>
  </si>
  <si>
    <t>FBBR002FS</t>
  </si>
  <si>
    <t>10.0.4.12</t>
  </si>
  <si>
    <t>FBBR003FS</t>
  </si>
  <si>
    <t>10.0.8.12</t>
  </si>
  <si>
    <t>FBBR004FS</t>
  </si>
  <si>
    <t>10.0.10.11</t>
  </si>
  <si>
    <t>FBBR009FS</t>
  </si>
  <si>
    <t>10.0.5.11</t>
  </si>
  <si>
    <t>FBBR011FS</t>
  </si>
  <si>
    <t>10.0.6.12</t>
  </si>
  <si>
    <t>FBBR014FS</t>
  </si>
  <si>
    <t>10.0.18.12</t>
  </si>
  <si>
    <t>FBBR015FS</t>
  </si>
  <si>
    <t>10.0.19.12</t>
  </si>
  <si>
    <t>FBBR016FS</t>
  </si>
  <si>
    <t>10.0.20.12</t>
  </si>
  <si>
    <t>fbbr019fs</t>
  </si>
  <si>
    <t>10.0.23.11</t>
  </si>
  <si>
    <t>FBBR020FS</t>
  </si>
  <si>
    <t>10.0.24.12</t>
  </si>
  <si>
    <t>FBBR025FS</t>
  </si>
  <si>
    <t>10.0.27.12</t>
  </si>
  <si>
    <t>FBBR030FS</t>
  </si>
  <si>
    <t>fbbr030fs</t>
  </si>
  <si>
    <t>10.0.31.11</t>
  </si>
  <si>
    <t>FBBR031FS</t>
  </si>
  <si>
    <t>PR_Forest_Hill_File_Server</t>
  </si>
  <si>
    <t>PR_Forest_Hill_File_</t>
  </si>
  <si>
    <t>10.0.32.12</t>
  </si>
  <si>
    <t>FBBR032FS</t>
  </si>
  <si>
    <t>10.0.33.11</t>
  </si>
  <si>
    <t>fbbr033fs</t>
  </si>
  <si>
    <t>10.0.34.11</t>
  </si>
  <si>
    <t>FBBR035FS</t>
  </si>
  <si>
    <t>10.0.36.12</t>
  </si>
  <si>
    <t>FBBR036FS</t>
  </si>
  <si>
    <t>10.0.37.12</t>
  </si>
  <si>
    <t>FBBR039FS</t>
  </si>
  <si>
    <t>10.0.40.12</t>
  </si>
  <si>
    <t>FBBR040FS</t>
  </si>
  <si>
    <t>10.0.41.12</t>
  </si>
  <si>
    <t>FBBR041FS</t>
  </si>
  <si>
    <t>Branch Server - File/Print - Mosaic</t>
  </si>
  <si>
    <t>Branch- File/Print - Mosaic</t>
  </si>
  <si>
    <t>FBBR041FS.firstbank.local</t>
  </si>
  <si>
    <t>10.30.137.134</t>
  </si>
  <si>
    <t>FBBR042FS</t>
  </si>
  <si>
    <t>10.0.42.12</t>
  </si>
  <si>
    <t>FBBR044FS</t>
  </si>
  <si>
    <t>10.0.44.12</t>
  </si>
  <si>
    <t>FBBR045FS</t>
  </si>
  <si>
    <t>FBBR045FS.firstbank.local</t>
  </si>
  <si>
    <t>10.30.137.187</t>
  </si>
  <si>
    <t>FBBR046FS</t>
  </si>
  <si>
    <t>fbbr046fs</t>
  </si>
  <si>
    <t>10.0.45.11</t>
  </si>
  <si>
    <t>FBBR053FS</t>
  </si>
  <si>
    <t>Mosaico Money Counting - Is a virtual server</t>
  </si>
  <si>
    <t xml:space="preserve">Mosaico Money Counting - Is a virtual </t>
  </si>
  <si>
    <t>FBBR053FS.firstbank.local</t>
  </si>
  <si>
    <t>10.30.137.70</t>
  </si>
  <si>
    <t>FBBR061FS</t>
  </si>
  <si>
    <t>10.0.67.12</t>
  </si>
  <si>
    <t>FBBR062FS</t>
  </si>
  <si>
    <t>10.0.71.12</t>
  </si>
  <si>
    <t>FBBR063FS</t>
  </si>
  <si>
    <t>10.0.35.12</t>
  </si>
  <si>
    <t>fbbr065fs</t>
  </si>
  <si>
    <t>10.0.72.11</t>
  </si>
  <si>
    <t>FBBR067FS</t>
  </si>
  <si>
    <t>10.0.48.12</t>
  </si>
  <si>
    <t>FBBR068FS</t>
  </si>
  <si>
    <t>10.0.43.12</t>
  </si>
  <si>
    <t>FBBR710FS</t>
  </si>
  <si>
    <t>10.0.12.6</t>
  </si>
  <si>
    <t>FBBR712FS</t>
  </si>
  <si>
    <t>10.0.62.6</t>
  </si>
  <si>
    <t>FBBR719FS</t>
  </si>
  <si>
    <t>10.15.0.2</t>
  </si>
  <si>
    <t>FBBR721FS</t>
  </si>
  <si>
    <t>10.1.152.9</t>
  </si>
  <si>
    <t>FBBR722FS</t>
  </si>
  <si>
    <t>10.0.63.6</t>
  </si>
  <si>
    <t>FBBR724FS</t>
  </si>
  <si>
    <t>10.0.60.6</t>
  </si>
  <si>
    <t>FBBR733FS</t>
  </si>
  <si>
    <t>10.0.79.6</t>
  </si>
  <si>
    <t>FBBR801FS</t>
  </si>
  <si>
    <t>10.0.160.12</t>
  </si>
  <si>
    <t>FBBR802FS</t>
  </si>
  <si>
    <t>10.0.167.12</t>
  </si>
  <si>
    <t>FBBR803FS</t>
  </si>
  <si>
    <t>10.0.168.12</t>
  </si>
  <si>
    <t>FBBR804FS</t>
  </si>
  <si>
    <t>10.0.165.12</t>
  </si>
  <si>
    <t>FBBR805FS</t>
  </si>
  <si>
    <t>10.0.164.11</t>
  </si>
  <si>
    <t>FBBR806FS</t>
  </si>
  <si>
    <t>Dolphin-Humacao File Server</t>
  </si>
  <si>
    <t xml:space="preserve">Dolphin-Humacao File </t>
  </si>
  <si>
    <t>10.0.163.12</t>
  </si>
  <si>
    <t>FBBR807FS</t>
  </si>
  <si>
    <t>10.0.166.11</t>
  </si>
  <si>
    <t>FBBR808FS</t>
  </si>
  <si>
    <t>10.0.162.12</t>
  </si>
  <si>
    <t>FBBR809FS</t>
  </si>
  <si>
    <t>10.0.161.12</t>
  </si>
  <si>
    <t>FBBR810FS</t>
  </si>
  <si>
    <t>10.0.169.12</t>
  </si>
  <si>
    <t>FBBRUAT2FS</t>
  </si>
  <si>
    <t>UAT Mosaico - Is a virtual server</t>
  </si>
  <si>
    <t>Mosaico</t>
  </si>
  <si>
    <t>patchlinkproxy.firstbank.local</t>
  </si>
  <si>
    <t>10.30.140.234</t>
  </si>
  <si>
    <t>FBCCRMRPTS</t>
  </si>
  <si>
    <t>CRM REPORTS</t>
  </si>
  <si>
    <t>FB-DIRECTOR</t>
  </si>
  <si>
    <t>10.87.199.16</t>
  </si>
  <si>
    <t>FBDR02115</t>
  </si>
  <si>
    <t>Validate No Migrate - Arterial; updated CMDB status and environment per Angel - jdeltoro 11/10</t>
  </si>
  <si>
    <t>DR B2Bi</t>
  </si>
  <si>
    <t>10.20.106.15</t>
  </si>
  <si>
    <t>FBDR02197</t>
  </si>
  <si>
    <t>Alterial D1 Glass Server 1</t>
  </si>
  <si>
    <t>Linux Oracle Enterprise Server 7.9 (5.4.17-2136.326.6.el7uek.x86_64)</t>
  </si>
  <si>
    <t>10.20.120.21</t>
  </si>
  <si>
    <t>10.100.120.21</t>
  </si>
  <si>
    <t>FBDR02198</t>
  </si>
  <si>
    <t>Alterial D1 Glass Server 2</t>
  </si>
  <si>
    <t>10.20.120.22</t>
  </si>
  <si>
    <t>10.100.120.22</t>
  </si>
  <si>
    <t>FBDR02201</t>
  </si>
  <si>
    <t>Alterial D1 Coonect 1</t>
  </si>
  <si>
    <t>10.20.120.25</t>
  </si>
  <si>
    <t>10.100.120.25</t>
  </si>
  <si>
    <t>FBDR02202</t>
  </si>
  <si>
    <t>Alterial D1 Connect Server 2</t>
  </si>
  <si>
    <t>10.20.120.26</t>
  </si>
  <si>
    <t>10.100.120.26</t>
  </si>
  <si>
    <t>FBDR02205</t>
  </si>
  <si>
    <t>Alterial D1 Connect 5</t>
  </si>
  <si>
    <t>10.20.120.29</t>
  </si>
  <si>
    <t>10.100.120.29</t>
  </si>
  <si>
    <t>FBDR02339</t>
  </si>
  <si>
    <t>10.20.99.183</t>
  </si>
  <si>
    <t>FBDR03062</t>
  </si>
  <si>
    <t>10.20.106.17</t>
  </si>
  <si>
    <t>FBDR06108</t>
  </si>
  <si>
    <t>DR MSP NDM</t>
  </si>
  <si>
    <t>10.20.106.186</t>
  </si>
  <si>
    <t>FBE3CTXUAT</t>
  </si>
  <si>
    <t>fbe3ctxuat</t>
  </si>
  <si>
    <t>FBFL-BIGFIX-VS</t>
  </si>
  <si>
    <t>10.87.199.12</t>
  </si>
  <si>
    <t>FBFLBSA-VS</t>
  </si>
  <si>
    <t>10.87.199.201</t>
  </si>
  <si>
    <t>FBFLDEPCON-VS</t>
  </si>
  <si>
    <t>10.87.199.22</t>
  </si>
  <si>
    <t>FBFL-ENCOMPASS</t>
  </si>
  <si>
    <t>10.87.199.46</t>
  </si>
  <si>
    <t>FBFLINTRANET-VS</t>
  </si>
  <si>
    <t>10.87.199.30</t>
  </si>
  <si>
    <t>FBFLNEXPHUB-VS</t>
  </si>
  <si>
    <t>10.87.199.4</t>
  </si>
  <si>
    <t>FBFLRPT-01-VS</t>
  </si>
  <si>
    <t>10.87.199.156</t>
  </si>
  <si>
    <t>FBFLSYNERGY-VS</t>
  </si>
  <si>
    <t>10.87.199.157</t>
  </si>
  <si>
    <t>FBFLTRACKIT-VS</t>
  </si>
  <si>
    <t>10.87.199.143</t>
  </si>
  <si>
    <t>FBFLUMECP-VS</t>
  </si>
  <si>
    <t>10.87.199.20</t>
  </si>
  <si>
    <t>FBFL-UNICALL-01</t>
  </si>
  <si>
    <t>FBFL-UNICALL-02</t>
  </si>
  <si>
    <t>10.87.199.131</t>
  </si>
  <si>
    <t>FBFL-UNICALL-03</t>
  </si>
  <si>
    <t>10.81.238.41</t>
  </si>
  <si>
    <t>FBINTEGRATION</t>
  </si>
  <si>
    <t>Oracle Cloud GL Integration Production DB Server</t>
  </si>
  <si>
    <t xml:space="preserve">Oracle Cloud GL Integrationuction DB </t>
  </si>
  <si>
    <t>FBISE1130ADM1_ISE</t>
  </si>
  <si>
    <t>Servers managed by INTWO per Rafael</t>
  </si>
  <si>
    <t xml:space="preserve">INTWO </t>
  </si>
  <si>
    <t>10.30.76.15</t>
  </si>
  <si>
    <t>FBISE1130PSN_ISE</t>
  </si>
  <si>
    <t>10.30.76.16</t>
  </si>
  <si>
    <t>FBISE1519ADM1</t>
  </si>
  <si>
    <t>10.19.76.17</t>
  </si>
  <si>
    <t>FBISE1519PSN1</t>
  </si>
  <si>
    <t>10.19.76.18</t>
  </si>
  <si>
    <t>FBISEAPPLIANCE</t>
  </si>
  <si>
    <t>Cisco NAC Control</t>
  </si>
  <si>
    <t>fbme003dc1</t>
  </si>
  <si>
    <t>10.9.3.4</t>
  </si>
  <si>
    <t>FBME004DC1</t>
  </si>
  <si>
    <t>fbme004dc1</t>
  </si>
  <si>
    <t>10.9.4.4</t>
  </si>
  <si>
    <t>FBME005DC1</t>
  </si>
  <si>
    <t>fbme005dc1</t>
  </si>
  <si>
    <t>10.9.5.4</t>
  </si>
  <si>
    <t>FBME006DC1</t>
  </si>
  <si>
    <t>fbme006dc1</t>
  </si>
  <si>
    <t>10.9.6.4</t>
  </si>
  <si>
    <t>FBME007DC1</t>
  </si>
  <si>
    <t>fbme007dc1</t>
  </si>
  <si>
    <t>10.9.7.4</t>
  </si>
  <si>
    <t>FBME008DC1</t>
  </si>
  <si>
    <t>fbme008dc1</t>
  </si>
  <si>
    <t>10.9.8.4</t>
  </si>
  <si>
    <t>FBME009DC1</t>
  </si>
  <si>
    <t>fbme009dc1</t>
  </si>
  <si>
    <t>10.9.9.4</t>
  </si>
  <si>
    <t>FBME010DC1</t>
  </si>
  <si>
    <t>fbme010dc1</t>
  </si>
  <si>
    <t>10.9.10.4</t>
  </si>
  <si>
    <t>FBME011DC1</t>
  </si>
  <si>
    <t>Fbme011dc1</t>
  </si>
  <si>
    <t>10.9.11.4</t>
  </si>
  <si>
    <t>FBME013DC1</t>
  </si>
  <si>
    <t>fbme013dc1</t>
  </si>
  <si>
    <t>10.9.13.4</t>
  </si>
  <si>
    <t>FBME015DC1</t>
  </si>
  <si>
    <t>fbme015dc1</t>
  </si>
  <si>
    <t>10.9.15.4</t>
  </si>
  <si>
    <t>FBME016DC1</t>
  </si>
  <si>
    <t>fbme016dc1</t>
  </si>
  <si>
    <t>10.9.16.4</t>
  </si>
  <si>
    <t>fbme017dc1</t>
  </si>
  <si>
    <t>10.9.17.4</t>
  </si>
  <si>
    <t>FBME018DC1</t>
  </si>
  <si>
    <t>fbme018dc1</t>
  </si>
  <si>
    <t>10.9.18.4</t>
  </si>
  <si>
    <t>FBME019DC1</t>
  </si>
  <si>
    <t>fbme019dc1</t>
  </si>
  <si>
    <t>10.9.19.4</t>
  </si>
  <si>
    <t>FBME023DC1</t>
  </si>
  <si>
    <t>fbme023dc1</t>
  </si>
  <si>
    <t>10.9.23.4</t>
  </si>
  <si>
    <t>FBME024DC1</t>
  </si>
  <si>
    <t>fbme024dc1</t>
  </si>
  <si>
    <t>10.9.24.4</t>
  </si>
  <si>
    <t>FBME030DC1</t>
  </si>
  <si>
    <t>fbme030dc1</t>
  </si>
  <si>
    <t>10.9.30.4</t>
  </si>
  <si>
    <t>FBME034DC1</t>
  </si>
  <si>
    <t>fbme034dc1</t>
  </si>
  <si>
    <t>10.9.34.4</t>
  </si>
  <si>
    <t>fbme035dc1</t>
  </si>
  <si>
    <t>10.9.35.4</t>
  </si>
  <si>
    <t>FBME037DC1</t>
  </si>
  <si>
    <t>fbme037dc1</t>
  </si>
  <si>
    <t>10.9.37.4</t>
  </si>
  <si>
    <t>FBME038DC1</t>
  </si>
  <si>
    <t>10.9.38.4</t>
  </si>
  <si>
    <t>FBME039DC1</t>
  </si>
  <si>
    <t>fbme039dc1</t>
  </si>
  <si>
    <t>10.9.39.4</t>
  </si>
  <si>
    <t>FBME044DC1</t>
  </si>
  <si>
    <t>10.9.44.4</t>
  </si>
  <si>
    <t>FBME045DC1</t>
  </si>
  <si>
    <t>10.9.45.4</t>
  </si>
  <si>
    <t>FBMEFS01</t>
  </si>
  <si>
    <t>File Server MonEx</t>
  </si>
  <si>
    <t>FileMonEx</t>
  </si>
  <si>
    <t>FBMEFS01.firstbank.local</t>
  </si>
  <si>
    <t>10.30.137.30</t>
  </si>
  <si>
    <t>FBMOSAICO</t>
  </si>
  <si>
    <t>FBMOSAICOSQL</t>
  </si>
  <si>
    <t>MOSAICO SQL</t>
  </si>
  <si>
    <t>fbmrrepoappl</t>
  </si>
  <si>
    <t>Follow up with Rafael Ramirez and Derek Kirkman - jdeltoro 5/9</t>
  </si>
  <si>
    <t>REPO APPL SERVER</t>
  </si>
  <si>
    <t>REPO</t>
  </si>
  <si>
    <t>10.30.141.86</t>
  </si>
  <si>
    <t>FBNDMMR</t>
  </si>
  <si>
    <r>
      <rPr>
        <sz val="11"/>
        <color indexed="8"/>
        <rFont val="Calibri"/>
      </rPr>
      <t xml:space="preserve">VM Server / NDM - DEBTManager </t>
    </r>
    <r>
      <rPr>
        <b val="1"/>
        <sz val="11"/>
        <color indexed="8"/>
        <rFont val="Calibri"/>
      </rPr>
      <t xml:space="preserve">- </t>
    </r>
    <r>
      <rPr>
        <sz val="11"/>
        <color indexed="8"/>
        <rFont val="Calibri"/>
      </rPr>
      <t>Connected with Digital Banking</t>
    </r>
  </si>
  <si>
    <t>VM Server / NDM - DEBTManager</t>
  </si>
  <si>
    <t>FBNDMMR.firstbank.local</t>
  </si>
  <si>
    <t>10.30.137.240</t>
  </si>
  <si>
    <t>fbopconsqluat</t>
  </si>
  <si>
    <t>No migrate</t>
  </si>
  <si>
    <t>DB2 UAT</t>
  </si>
  <si>
    <t>DB2</t>
  </si>
  <si>
    <t>10.30.130.67</t>
  </si>
  <si>
    <t>FBOPTAMPROD</t>
  </si>
  <si>
    <t>Direct CD</t>
  </si>
  <si>
    <t>FBPR_MP</t>
  </si>
  <si>
    <t>Will move from Gen1 to Gen2; dependent on obsolete refresh project; IP changes would require work to adjust agents on FBPR side</t>
  </si>
  <si>
    <t>MIT MSS Server - SIEM</t>
  </si>
  <si>
    <t>MIT  - SIEM</t>
  </si>
  <si>
    <t>Jay Randolph</t>
  </si>
  <si>
    <t>FIS JAX</t>
  </si>
  <si>
    <t>FIS - Bastion</t>
  </si>
  <si>
    <t>Replicate and Move Network</t>
  </si>
  <si>
    <t>CentOS 4/5/6</t>
  </si>
  <si>
    <t>172.31.0.102</t>
  </si>
  <si>
    <t>255.255.255.240</t>
  </si>
  <si>
    <t>172.31.0.97</t>
  </si>
  <si>
    <t>100.121.143.102</t>
  </si>
  <si>
    <t>JAX_FBPR_12121_UCE_001</t>
  </si>
  <si>
    <t>FBPR-12121|VNMS_AP|FBPR-VNMS-172.31.0.96_28_EPG</t>
  </si>
  <si>
    <t>FBPRMAC201</t>
  </si>
  <si>
    <t>Will move from Gen1 to Gen2; FBPR internal (German) project to move to bitlocker; will be active till April 2025; No issues with moving to MIT.local domain; prestage server for domain migration on night of cut;</t>
  </si>
  <si>
    <t xml:space="preserve">MIT MSS Server - Disk Encryption Project </t>
  </si>
  <si>
    <t xml:space="preserve">MIT  - Disk Encryption Project </t>
  </si>
  <si>
    <t>Chris Evans</t>
  </si>
  <si>
    <t>172.31.0.106</t>
  </si>
  <si>
    <t>100.121.143.106</t>
  </si>
  <si>
    <t>fbpr-xiam-prod-db</t>
  </si>
  <si>
    <t>Access Management</t>
  </si>
  <si>
    <t>Luis Adames/Omar Cuadrado</t>
  </si>
  <si>
    <t>fbpr-xiam-prod-prov</t>
  </si>
  <si>
    <t>fbpr-xiam-prod-web</t>
  </si>
  <si>
    <t>fbpr-xiam-test-db</t>
  </si>
  <si>
    <t>fbpr-xiam-test-prov</t>
  </si>
  <si>
    <t>fbpr-xiam-test-web</t>
  </si>
  <si>
    <t>FBREFERRALS</t>
  </si>
  <si>
    <t>FBSAOMNIBAKCOB</t>
  </si>
  <si>
    <t>Omniback</t>
  </si>
  <si>
    <t>FBSUNWEBBUDG</t>
  </si>
  <si>
    <t>FBWEBGATEWAY</t>
  </si>
  <si>
    <t>10.30.140.58</t>
  </si>
  <si>
    <t>FDMEE-PROD-APP</t>
  </si>
  <si>
    <t>Oracle Cloud FDMEE Production Application Server</t>
  </si>
  <si>
    <t xml:space="preserve">Oracle Cloud FDMEEuction Application </t>
  </si>
  <si>
    <t>FDMEE-TEST-APP</t>
  </si>
  <si>
    <t>Oracle Cloud FDMEE TEST Application Server</t>
  </si>
  <si>
    <t xml:space="preserve">Oracle Cloud FDMEE Application </t>
  </si>
  <si>
    <t>FDMEE-TEST-DB</t>
  </si>
  <si>
    <t>Oracle Cloud FDMEE TEST DB Server</t>
  </si>
  <si>
    <t xml:space="preserve">Oracle Cloud FDMEE DB </t>
  </si>
  <si>
    <t>FMG-VM64</t>
  </si>
  <si>
    <t>FortiManager</t>
  </si>
  <si>
    <t>10.30.136.31</t>
  </si>
  <si>
    <t>HIHHPSVR01</t>
  </si>
  <si>
    <t>10.83.217.15</t>
  </si>
  <si>
    <t>intech-mr1130-scanner01</t>
  </si>
  <si>
    <t>10.30.136.67</t>
  </si>
  <si>
    <t>intech-tenable-sc</t>
  </si>
  <si>
    <t>10.30.136.66</t>
  </si>
  <si>
    <t>INTRA-SQLSRV</t>
  </si>
  <si>
    <t>JAXFBPRZABPRX01</t>
  </si>
  <si>
    <t>Will move from Gen1 to Gen2; Zabbix</t>
  </si>
  <si>
    <t xml:space="preserve">MIT - Zabbix </t>
  </si>
  <si>
    <t>Andrew Harris</t>
  </si>
  <si>
    <t>FIS - UCE</t>
  </si>
  <si>
    <t>Red Hat Enterprise Linux 8</t>
  </si>
  <si>
    <t>172.31.0.110</t>
  </si>
  <si>
    <t>100.113.33.232</t>
  </si>
  <si>
    <t>172.31.0.99</t>
  </si>
  <si>
    <t>100.113.33.225</t>
  </si>
  <si>
    <t>FBPR-12121|CORE_AP|UCE-100.113.33.224_28_EPG</t>
  </si>
  <si>
    <t>JAXMITFBPRTSC01</t>
  </si>
  <si>
    <t>Will move from Gen1 to Gen2; replacement server to TSC11 - jdeltoro 5/16</t>
  </si>
  <si>
    <t>MIT RDS Server - Bastion Server</t>
  </si>
  <si>
    <t>Microsoft Windows 2022</t>
  </si>
  <si>
    <t>172.31.0.109</t>
  </si>
  <si>
    <t>100.121.143.109</t>
  </si>
  <si>
    <t>JAXMITWFPRDLP01</t>
  </si>
  <si>
    <t>Will move from Gen1 to Gen2; replacement server to COL Server - jdeltoro 5/16</t>
  </si>
  <si>
    <t>MIT MSS Server - New BigFix Reporting and DLP</t>
  </si>
  <si>
    <t>MIT  - BigFix Reporting and DLP</t>
  </si>
  <si>
    <t>172.31.0.105</t>
  </si>
  <si>
    <t>100.121.143.105</t>
  </si>
  <si>
    <t>JAXPNFBPREPP01</t>
  </si>
  <si>
    <t>Will move from Gen1 to Gen2; database will be moved from SQL01 to EPP01 within a few weeks of 1/30; No issues with moving to MIT.local domain; prestage server for domain migration on night of cut</t>
  </si>
  <si>
    <t>Replacement SQL Server for SQL01</t>
  </si>
  <si>
    <t>Replacement SQLfor SQL01</t>
  </si>
  <si>
    <t>172.31.0.100</t>
  </si>
  <si>
    <t>100.121.143.100</t>
  </si>
  <si>
    <t>JAXVNMSFBPRCOL</t>
  </si>
  <si>
    <t>Will move from Gen1 to Gen2; BigFix Reporting</t>
  </si>
  <si>
    <t>MIT MSS Server - BigFix Reporting</t>
  </si>
  <si>
    <t>MIT - BigFix Reporting</t>
  </si>
  <si>
    <t>Dean Hanna/Tim K./Daniel</t>
  </si>
  <si>
    <t>172.31.0.98</t>
  </si>
  <si>
    <t>100.121.143.98</t>
  </si>
  <si>
    <t>KEHHPSVR01</t>
  </si>
  <si>
    <t>10.87.203.15</t>
  </si>
  <si>
    <t>linuxtemplate</t>
  </si>
  <si>
    <t>Linux Template 8</t>
  </si>
  <si>
    <t>Linux Oracle Enterprise Server 7.9 (4.1.12-124.63.3.1.el7uek.x86_64)</t>
  </si>
  <si>
    <t>LinuxTemplate8</t>
  </si>
  <si>
    <t>10.30.140.128</t>
  </si>
  <si>
    <t>LoadMaster VLM</t>
  </si>
  <si>
    <t>MICROSTRATEGYAP</t>
  </si>
  <si>
    <t>MicroStrategyAppProd</t>
  </si>
  <si>
    <t>MicroStrategyApp</t>
  </si>
  <si>
    <t>microstrategyap</t>
  </si>
  <si>
    <t>10.179.4.66</t>
  </si>
  <si>
    <t>microstrdev</t>
  </si>
  <si>
    <t>Microstrategy Dev</t>
  </si>
  <si>
    <t>Microstrategy</t>
  </si>
  <si>
    <t>Linux Oracle Enterprise Server 8.9 (5.4.17-2136.326.6.el8uek.x86_64)</t>
  </si>
  <si>
    <t>10.179.4.246, 192.168.16.18</t>
  </si>
  <si>
    <t>MR1130-FAuth-1</t>
  </si>
  <si>
    <t>FortiAuthenticator</t>
  </si>
  <si>
    <t>10.30.128.105</t>
  </si>
  <si>
    <t>MR1130-Foti-Analyzer-VM</t>
  </si>
  <si>
    <t>FortiAnalyzer</t>
  </si>
  <si>
    <t>10.30.136.30</t>
  </si>
  <si>
    <t>MSTRAAPDEV</t>
  </si>
  <si>
    <t>MStraApDEV</t>
  </si>
  <si>
    <t>10.179.4.210</t>
  </si>
  <si>
    <t>MXQ9510312</t>
  </si>
  <si>
    <t>HPE Proliant Solutions Server Proliant DL360 Gen 10</t>
  </si>
  <si>
    <t>HPE Proliant SolutionsProliant DL360 Gen 10</t>
  </si>
  <si>
    <t>ONDEMANDPRD</t>
  </si>
  <si>
    <t>OnDemand - Tutel</t>
  </si>
  <si>
    <t>10.179.4.123</t>
  </si>
  <si>
    <t>PEHHPSVR01</t>
  </si>
  <si>
    <t>10.88.10.5</t>
  </si>
  <si>
    <t>PLATFORM-SRV</t>
  </si>
  <si>
    <t>10.87.199.25</t>
  </si>
  <si>
    <t>procctrldev</t>
  </si>
  <si>
    <t>Tutela Oracle Cloud ProcessControl Dev</t>
  </si>
  <si>
    <t>Tutela Oracle Cloud ProcessControl</t>
  </si>
  <si>
    <t>10.179.4.226</t>
  </si>
  <si>
    <t>procctrlprd</t>
  </si>
  <si>
    <t>Proccess Control</t>
  </si>
  <si>
    <t>10.179.4.82</t>
  </si>
  <si>
    <t>RedhatTemplate8</t>
  </si>
  <si>
    <t>Template Linux Template</t>
  </si>
  <si>
    <t>10.30.140.80</t>
  </si>
  <si>
    <t>sbc01</t>
  </si>
  <si>
    <t>SBC For TEAM</t>
  </si>
  <si>
    <t>SEGPHY</t>
  </si>
  <si>
    <t>Access Control</t>
  </si>
  <si>
    <t>teraappliance9</t>
  </si>
  <si>
    <t>172.17.0.1</t>
  </si>
  <si>
    <t>tutela</t>
  </si>
  <si>
    <t>TUTELA DB PROD</t>
  </si>
  <si>
    <t>TUTELA DB</t>
  </si>
  <si>
    <t>Linux Oracle Enterprise Server 7.9 (4.1.12-124.81.2.el7uek.x86_64)</t>
  </si>
  <si>
    <t>10.179.4.252, 192.168.16.18</t>
  </si>
  <si>
    <t>VirtualSW01</t>
  </si>
  <si>
    <t>VMLAP64209</t>
  </si>
  <si>
    <t>Laptop that ended up in Server List; Might need follow up</t>
  </si>
  <si>
    <t>Laptop that ended up inList; Might need follow up</t>
  </si>
  <si>
    <t xml:space="preserve">	
172.20.120.63</t>
  </si>
  <si>
    <t>VNMSFBPRSQL01</t>
  </si>
  <si>
    <t>MIT MSS SQL Server</t>
  </si>
  <si>
    <t>MIT MSS SQL</t>
  </si>
  <si>
    <t>Microsoft Windows Server 2012 R2</t>
  </si>
  <si>
    <t>172.31.0.101</t>
  </si>
  <si>
    <t>100.121.143.101</t>
  </si>
  <si>
    <t>VNMSFBPRTSC11</t>
  </si>
  <si>
    <t>Will move from Gen1 to Gen2; RDS Bastion Jump Server and DNS Server</t>
  </si>
  <si>
    <t>Diallo</t>
  </si>
  <si>
    <t>100.121.143.99</t>
  </si>
  <si>
    <t>WAPVMGT01</t>
  </si>
  <si>
    <t>Veeam Backup Gateway Server</t>
  </si>
  <si>
    <t>Veeam Backup Gateway</t>
  </si>
  <si>
    <t>10.81.239.21</t>
  </si>
  <si>
    <t>WAVBKUP01</t>
  </si>
  <si>
    <t>Win2019 10.0.17763.5458 (1809)</t>
  </si>
  <si>
    <t>10.81.239.20</t>
  </si>
  <si>
    <t>WAVCYAR01</t>
  </si>
  <si>
    <t>10.81.239.32</t>
  </si>
  <si>
    <t>WAVDC01</t>
  </si>
  <si>
    <t>WAVFILE01</t>
  </si>
  <si>
    <t>10.81.238.54</t>
  </si>
  <si>
    <t>WAVMT01</t>
  </si>
  <si>
    <t>10.81.239.22</t>
  </si>
  <si>
    <t>WAVPS01</t>
  </si>
  <si>
    <t>10.81.238.51</t>
  </si>
  <si>
    <t>Web Based</t>
  </si>
  <si>
    <t>Confirmed decommissioned - jdeltoro 5/9</t>
  </si>
  <si>
    <t>WIN-CUQ4H8PLUN9</t>
  </si>
  <si>
    <t>win-cuq4h8plun9</t>
  </si>
  <si>
    <t>WIN-DVEPI8OHOG7</t>
  </si>
  <si>
    <t>fe80::2c6f:7d67:d4c1:3399</t>
  </si>
  <si>
    <t>FBA01016</t>
  </si>
  <si>
    <t>Success</t>
  </si>
  <si>
    <t>File Server Cluster Virtual IP</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</si>
</sst>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Helvetica Neue"/>
    </font>
    <font>
      <sz val="15"/>
      <color indexed="8"/>
      <name val="Calibri"/>
    </font>
    <font>
      <b val="1"/>
      <sz val="11"/>
      <color indexed="8"/>
      <name val="Calibri"/>
    </font>
    <font>
      <b val="1"/>
      <sz val="11"/>
      <color indexed="11"/>
      <name val="Calibri"/>
    </font>
    <font>
      <sz val="11"/>
      <color indexed="8"/>
      <name val="Helvetica Neue"/>
    </font>
    <font>
      <strike val="1"/>
      <sz val="11"/>
      <color indexed="8"/>
      <name val="Calibri"/>
    </font>
    <font>
      <sz val="11"/>
      <color indexed="15"/>
      <name val="Aptos Narrow"/>
    </font>
  </fonts>
  <fills count="6">
    <fill>
      <patternFill patternType="none"/>
    </fill>
    <fill>
      <patternFill patternType="gray125"/>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s>
  <borders count="25">
    <border>
      <left/>
      <right/>
      <top/>
      <bottom/>
      <diagonal/>
    </border>
    <border>
      <left style="thin">
        <color indexed="9"/>
      </left>
      <right style="thin">
        <color indexed="9"/>
      </right>
      <top style="thin">
        <color indexed="9"/>
      </top>
      <bottom style="thin">
        <color indexed="10"/>
      </bottom>
      <diagonal/>
    </border>
    <border>
      <left style="thin">
        <color indexed="9"/>
      </left>
      <right style="thin">
        <color indexed="9"/>
      </right>
      <top style="thin">
        <color indexed="9"/>
      </top>
      <bottom style="thin">
        <color indexed="9"/>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indexed="10"/>
      </left>
      <right style="thin">
        <color indexed="9"/>
      </right>
      <top style="thin">
        <color indexed="9"/>
      </top>
      <bottom style="thin">
        <color indexed="9"/>
      </bottom>
      <diagonal/>
    </border>
    <border>
      <left style="thin">
        <color indexed="10"/>
      </left>
      <right style="thin">
        <color indexed="9"/>
      </right>
      <top style="thin">
        <color indexed="10"/>
      </top>
      <bottom style="thin">
        <color indexed="10"/>
      </bottom>
      <diagonal/>
    </border>
    <border>
      <left style="thin">
        <color indexed="9"/>
      </left>
      <right style="thin">
        <color indexed="9"/>
      </right>
      <top style="thin">
        <color indexed="10"/>
      </top>
      <bottom style="thin">
        <color indexed="10"/>
      </bottom>
      <diagonal/>
    </border>
    <border>
      <left style="thin">
        <color indexed="9"/>
      </left>
      <right style="thin">
        <color indexed="10"/>
      </right>
      <top style="thin">
        <color indexed="10"/>
      </top>
      <bottom style="thin">
        <color indexed="10"/>
      </bottom>
      <diagonal/>
    </border>
    <border>
      <left style="thin">
        <color indexed="9"/>
      </left>
      <right/>
      <top style="thin">
        <color indexed="10"/>
      </top>
      <bottom style="thin">
        <color indexed="10"/>
      </bottom>
      <diagonal/>
    </border>
    <border>
      <left/>
      <right style="thin">
        <color indexed="9"/>
      </right>
      <top style="thin">
        <color indexed="10"/>
      </top>
      <bottom style="thin">
        <color indexed="10"/>
      </bottom>
      <diagonal/>
    </border>
    <border>
      <left style="thin">
        <color indexed="10"/>
      </left>
      <right/>
      <top style="thin">
        <color indexed="10"/>
      </top>
      <bottom style="thin">
        <color indexed="12"/>
      </bottom>
      <diagonal/>
    </border>
    <border>
      <left/>
      <right/>
      <top style="thin">
        <color indexed="10"/>
      </top>
      <bottom style="thin">
        <color indexed="12"/>
      </bottom>
      <diagonal/>
    </border>
    <border>
      <left/>
      <right style="thin">
        <color indexed="10"/>
      </right>
      <top style="thin">
        <color indexed="10"/>
      </top>
      <bottom style="thin">
        <color indexed="12"/>
      </bottom>
      <diagonal/>
    </border>
    <border>
      <left style="thin">
        <color indexed="10"/>
      </left>
      <right style="thin">
        <color indexed="9"/>
      </right>
      <top style="thin">
        <color indexed="12"/>
      </top>
      <bottom style="thin">
        <color indexed="12"/>
      </bottom>
      <diagonal/>
    </border>
    <border>
      <left style="thin">
        <color indexed="9"/>
      </left>
      <right style="thin">
        <color indexed="9"/>
      </right>
      <top style="thin">
        <color indexed="12"/>
      </top>
      <bottom style="thin">
        <color indexed="12"/>
      </bottom>
      <diagonal/>
    </border>
    <border>
      <left style="thin">
        <color indexed="9"/>
      </left>
      <right style="thin">
        <color indexed="10"/>
      </right>
      <top style="thin">
        <color indexed="12"/>
      </top>
      <bottom style="thin">
        <color indexed="12"/>
      </bottom>
      <diagonal/>
    </border>
    <border>
      <left style="thin">
        <color indexed="10"/>
      </left>
      <right/>
      <top style="thin">
        <color indexed="12"/>
      </top>
      <bottom style="thin">
        <color indexed="12"/>
      </bottom>
      <diagonal/>
    </border>
    <border>
      <left/>
      <right/>
      <top style="thin">
        <color indexed="12"/>
      </top>
      <bottom style="thin">
        <color indexed="12"/>
      </bottom>
      <diagonal/>
    </border>
    <border>
      <left/>
      <right style="thin">
        <color indexed="10"/>
      </right>
      <top style="thin">
        <color indexed="12"/>
      </top>
      <bottom style="thin">
        <color indexed="12"/>
      </bottom>
      <diagonal/>
    </border>
    <border>
      <left style="thin">
        <color indexed="10"/>
      </left>
      <right style="thin">
        <color indexed="9"/>
      </right>
      <top style="thin">
        <color indexed="12"/>
      </top>
      <bottom style="thin">
        <color indexed="10"/>
      </bottom>
      <diagonal/>
    </border>
    <border>
      <left style="thin">
        <color indexed="9"/>
      </left>
      <right style="thin">
        <color indexed="9"/>
      </right>
      <top style="thin">
        <color indexed="12"/>
      </top>
      <bottom style="thin">
        <color indexed="10"/>
      </bottom>
      <diagonal/>
    </border>
    <border>
      <left style="thin">
        <color indexed="9"/>
      </left>
      <right style="thin">
        <color indexed="10"/>
      </right>
      <top style="thin">
        <color indexed="12"/>
      </top>
      <bottom style="thin">
        <color indexed="10"/>
      </bottom>
      <diagonal/>
    </border>
    <border>
      <left style="thin">
        <color indexed="9"/>
      </left>
      <right style="thin">
        <color indexed="9"/>
      </right>
      <top style="thin">
        <color indexed="10"/>
      </top>
      <bottom style="thin">
        <color indexed="9"/>
      </bottom>
      <diagonal/>
    </border>
  </borders>
  <cellStyleXfs count="1">
    <xf numFmtId="0" fontId="0" applyNumberFormat="0" applyFont="1" applyFill="0" applyBorder="0" applyAlignment="1" applyProtection="0">
      <alignment vertical="bottom"/>
    </xf>
  </cellStyleXfs>
  <cellXfs count="6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49" fontId="4" fillId="2" borderId="3" applyNumberFormat="1" applyFont="1" applyFill="1" applyBorder="1" applyAlignment="1" applyProtection="0">
      <alignment vertical="bottom"/>
    </xf>
    <xf numFmtId="49" fontId="4" fillId="2" borderId="4" applyNumberFormat="1" applyFont="1" applyFill="1" applyBorder="1" applyAlignment="1" applyProtection="0">
      <alignment vertical="bottom"/>
    </xf>
    <xf numFmtId="49" fontId="4" fillId="2" borderId="5" applyNumberFormat="1" applyFont="1" applyFill="1" applyBorder="1" applyAlignment="1" applyProtection="0">
      <alignment vertical="bottom"/>
    </xf>
    <xf numFmtId="0" fontId="0" borderId="6" applyNumberFormat="0" applyFont="1" applyFill="0" applyBorder="1" applyAlignment="1" applyProtection="0">
      <alignment vertical="bottom"/>
    </xf>
    <xf numFmtId="49" fontId="3" fillId="3" borderId="3" applyNumberFormat="1" applyFont="1" applyFill="1" applyBorder="1" applyAlignment="1" applyProtection="0">
      <alignment vertical="bottom"/>
    </xf>
    <xf numFmtId="49" fontId="0" fillId="3" borderId="4" applyNumberFormat="1" applyFont="1" applyFill="1" applyBorder="1" applyAlignment="1" applyProtection="0">
      <alignment vertical="bottom"/>
    </xf>
    <xf numFmtId="0" fontId="0" fillId="3" borderId="4" applyNumberFormat="0" applyFont="1" applyFill="1" applyBorder="1" applyAlignment="1" applyProtection="0">
      <alignment vertical="bottom"/>
    </xf>
    <xf numFmtId="0" fontId="0" fillId="3" borderId="5" applyNumberFormat="0" applyFont="1" applyFill="1" applyBorder="1" applyAlignment="1" applyProtection="0">
      <alignment vertical="bottom"/>
    </xf>
    <xf numFmtId="49" fontId="3" borderId="7" applyNumberFormat="1" applyFont="1" applyFill="0" applyBorder="1" applyAlignment="1" applyProtection="0">
      <alignment vertical="bottom"/>
    </xf>
    <xf numFmtId="0" fontId="0" borderId="8" applyNumberFormat="0" applyFont="1" applyFill="0" applyBorder="1" applyAlignment="1" applyProtection="0">
      <alignment vertical="bottom"/>
    </xf>
    <xf numFmtId="49" fontId="0" borderId="8" applyNumberFormat="1" applyFont="1" applyFill="0" applyBorder="1" applyAlignment="1" applyProtection="0">
      <alignment vertical="bottom"/>
    </xf>
    <xf numFmtId="0" fontId="0" borderId="9" applyNumberFormat="0" applyFont="1" applyFill="0" applyBorder="1" applyAlignment="1" applyProtection="0">
      <alignment vertical="bottom"/>
    </xf>
    <xf numFmtId="0" fontId="0" borderId="8" applyNumberFormat="1" applyFont="1" applyFill="0" applyBorder="1" applyAlignment="1" applyProtection="0">
      <alignment vertical="bottom"/>
    </xf>
    <xf numFmtId="0" fontId="0" fillId="3" borderId="4" applyNumberFormat="1" applyFont="1" applyFill="1" applyBorder="1" applyAlignment="1" applyProtection="0">
      <alignment vertical="bottom"/>
    </xf>
    <xf numFmtId="49" fontId="0" fillId="3" borderId="5" applyNumberFormat="1" applyFont="1" applyFill="1" applyBorder="1" applyAlignment="1" applyProtection="0">
      <alignment vertical="bottom"/>
    </xf>
    <xf numFmtId="0" fontId="3" borderId="8" applyNumberFormat="0" applyFont="1" applyFill="0" applyBorder="1" applyAlignment="1" applyProtection="0">
      <alignment vertical="bottom"/>
    </xf>
    <xf numFmtId="49" fontId="0" borderId="9" applyNumberFormat="1" applyFont="1" applyFill="0" applyBorder="1" applyAlignment="1" applyProtection="0">
      <alignment vertical="bottom"/>
    </xf>
    <xf numFmtId="49" fontId="0" fillId="4" borderId="4" applyNumberFormat="1" applyFont="1" applyFill="1" applyBorder="1" applyAlignment="1" applyProtection="0">
      <alignment vertical="bottom"/>
    </xf>
    <xf numFmtId="0" fontId="3" fillId="3" borderId="4" applyNumberFormat="0" applyFont="1" applyFill="1" applyBorder="1" applyAlignment="1" applyProtection="0">
      <alignment vertical="bottom"/>
    </xf>
    <xf numFmtId="49" fontId="3" borderId="8" applyNumberFormat="1" applyFont="1" applyFill="0" applyBorder="1" applyAlignment="1" applyProtection="0">
      <alignment vertical="bottom"/>
    </xf>
    <xf numFmtId="49" fontId="3" fillId="3" borderId="4" applyNumberFormat="1" applyFont="1" applyFill="1" applyBorder="1" applyAlignment="1" applyProtection="0">
      <alignment vertical="bottom"/>
    </xf>
    <xf numFmtId="49" fontId="3" fillId="4" borderId="3" applyNumberFormat="1" applyFont="1" applyFill="1" applyBorder="1" applyAlignment="1" applyProtection="0">
      <alignment vertical="bottom"/>
    </xf>
    <xf numFmtId="0" fontId="0" fillId="4" borderId="4" applyNumberFormat="0" applyFont="1" applyFill="1" applyBorder="1" applyAlignment="1" applyProtection="0">
      <alignment vertical="bottom"/>
    </xf>
    <xf numFmtId="0" fontId="3" fillId="3" borderId="4" applyNumberFormat="1" applyFont="1" applyFill="1" applyBorder="1" applyAlignment="1" applyProtection="0">
      <alignment vertical="bottom"/>
    </xf>
    <xf numFmtId="49" fontId="0" borderId="10" applyNumberFormat="1" applyFont="1" applyFill="0" applyBorder="1" applyAlignment="1" applyProtection="0">
      <alignment vertical="bottom"/>
    </xf>
    <xf numFmtId="49" fontId="0" borderId="11" applyNumberFormat="1" applyFont="1" applyFill="0" applyBorder="1" applyAlignment="1" applyProtection="0">
      <alignment vertical="bottom"/>
    </xf>
    <xf numFmtId="0" fontId="3" borderId="8"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0" fontId="0" borderId="11" applyNumberFormat="0" applyFont="1" applyFill="0" applyBorder="1" applyAlignment="1" applyProtection="0">
      <alignment vertical="bottom"/>
    </xf>
    <xf numFmtId="49" fontId="7" fillId="3" borderId="4" applyNumberFormat="1" applyFont="1" applyFill="1" applyBorder="1" applyAlignment="1" applyProtection="0">
      <alignment vertical="bottom"/>
    </xf>
    <xf numFmtId="49" fontId="3"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0" borderId="5" applyNumberFormat="1" applyFont="1" applyFill="0" applyBorder="1" applyAlignment="1" applyProtection="0">
      <alignment vertical="bottom"/>
    </xf>
    <xf numFmtId="49" fontId="0" fillId="5" borderId="8" applyNumberFormat="1" applyFont="1" applyFill="1" applyBorder="1" applyAlignment="1" applyProtection="0">
      <alignment vertical="bottom"/>
    </xf>
    <xf numFmtId="49" fontId="0" fillId="4" borderId="8" applyNumberFormat="1" applyFont="1" applyFill="1" applyBorder="1" applyAlignment="1" applyProtection="0">
      <alignment vertical="bottom"/>
    </xf>
    <xf numFmtId="49" fontId="0" borderId="8" applyNumberFormat="1" applyFont="1" applyFill="0" applyBorder="1" applyAlignment="1" applyProtection="0">
      <alignment vertical="bottom" wrapText="1"/>
    </xf>
    <xf numFmtId="49" fontId="3" fillId="3" borderId="12" applyNumberFormat="1" applyFont="1" applyFill="1" applyBorder="1" applyAlignment="1" applyProtection="0">
      <alignment vertical="bottom"/>
    </xf>
    <xf numFmtId="0" fontId="0" fillId="3" borderId="13" applyNumberFormat="0" applyFont="1" applyFill="1" applyBorder="1" applyAlignment="1" applyProtection="0">
      <alignment vertical="bottom"/>
    </xf>
    <xf numFmtId="49" fontId="0" fillId="3" borderId="13" applyNumberFormat="1" applyFont="1" applyFill="1" applyBorder="1" applyAlignment="1" applyProtection="0">
      <alignment vertical="bottom"/>
    </xf>
    <xf numFmtId="0" fontId="0" fillId="3" borderId="13" applyNumberFormat="1" applyFont="1" applyFill="1" applyBorder="1" applyAlignment="1" applyProtection="0">
      <alignment vertical="bottom"/>
    </xf>
    <xf numFmtId="0" fontId="0" fillId="3" borderId="14" applyNumberFormat="0" applyFont="1" applyFill="1" applyBorder="1" applyAlignment="1" applyProtection="0">
      <alignment vertical="bottom"/>
    </xf>
    <xf numFmtId="49" fontId="3" borderId="15" applyNumberFormat="1" applyFont="1" applyFill="0" applyBorder="1" applyAlignment="1" applyProtection="0">
      <alignment vertical="bottom"/>
    </xf>
    <xf numFmtId="0" fontId="0" borderId="16" applyNumberFormat="0" applyFont="1" applyFill="0" applyBorder="1" applyAlignment="1" applyProtection="0">
      <alignment vertical="bottom"/>
    </xf>
    <xf numFmtId="49" fontId="0" borderId="16" applyNumberFormat="1" applyFont="1" applyFill="0" applyBorder="1" applyAlignment="1" applyProtection="0">
      <alignment vertical="bottom"/>
    </xf>
    <xf numFmtId="0" fontId="0" borderId="17" applyNumberFormat="0" applyFont="1" applyFill="0" applyBorder="1" applyAlignment="1" applyProtection="0">
      <alignment vertical="bottom"/>
    </xf>
    <xf numFmtId="49" fontId="3" fillId="3" borderId="18" applyNumberFormat="1" applyFont="1" applyFill="1" applyBorder="1" applyAlignment="1" applyProtection="0">
      <alignment vertical="bottom"/>
    </xf>
    <xf numFmtId="0" fontId="0" fillId="3" borderId="19" applyNumberFormat="0" applyFont="1" applyFill="1" applyBorder="1" applyAlignment="1" applyProtection="0">
      <alignment vertical="bottom"/>
    </xf>
    <xf numFmtId="49" fontId="0" fillId="3" borderId="19" applyNumberFormat="1" applyFont="1" applyFill="1" applyBorder="1" applyAlignment="1" applyProtection="0">
      <alignment vertical="bottom"/>
    </xf>
    <xf numFmtId="0" fontId="0" fillId="3" borderId="20" applyNumberFormat="0" applyFont="1" applyFill="1" applyBorder="1" applyAlignment="1" applyProtection="0">
      <alignment vertical="bottom"/>
    </xf>
    <xf numFmtId="0" fontId="0" borderId="16" applyNumberFormat="1" applyFont="1" applyFill="0" applyBorder="1" applyAlignment="1" applyProtection="0">
      <alignment vertical="bottom"/>
    </xf>
    <xf numFmtId="0" fontId="0" fillId="3" borderId="19" applyNumberFormat="1" applyFont="1" applyFill="1" applyBorder="1" applyAlignment="1" applyProtection="0">
      <alignment vertical="bottom"/>
    </xf>
    <xf numFmtId="49" fontId="0" borderId="16" applyNumberFormat="1" applyFont="1" applyFill="0" applyBorder="1" applyAlignment="1" applyProtection="0">
      <alignment vertical="bottom" wrapText="1"/>
    </xf>
    <xf numFmtId="1" fontId="0" fillId="3" borderId="19" applyNumberFormat="1" applyFont="1" applyFill="1" applyBorder="1" applyAlignment="1" applyProtection="0">
      <alignment vertical="bottom"/>
    </xf>
    <xf numFmtId="1" fontId="0" borderId="16" applyNumberFormat="1" applyFont="1" applyFill="0" applyBorder="1" applyAlignment="1" applyProtection="0">
      <alignment vertical="bottom"/>
    </xf>
    <xf numFmtId="0" fontId="3" borderId="21" applyNumberFormat="1" applyFont="1" applyFill="0" applyBorder="1" applyAlignment="1" applyProtection="0">
      <alignment vertical="bottom"/>
    </xf>
    <xf numFmtId="0" fontId="3" borderId="22" applyNumberFormat="0" applyFont="1" applyFill="0" applyBorder="1" applyAlignment="1" applyProtection="0">
      <alignment vertical="bottom"/>
    </xf>
    <xf numFmtId="0" fontId="3" borderId="22" applyNumberFormat="1" applyFont="1" applyFill="0" applyBorder="1" applyAlignment="1" applyProtection="0">
      <alignment vertical="bottom"/>
    </xf>
    <xf numFmtId="0" fontId="3" borderId="23" applyNumberFormat="0" applyFont="1" applyFill="0" applyBorder="1" applyAlignment="1" applyProtection="0">
      <alignment vertical="bottom"/>
    </xf>
    <xf numFmtId="0" fontId="0" borderId="24"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a9cd90"/>
      <rgbColor rgb="ffffffff"/>
      <rgbColor rgb="ff70ad47"/>
      <rgbColor rgb="ffe2eeda"/>
      <rgbColor rgb="ffffff00"/>
      <rgbColor rgb="ff242424"/>
      <rgbColor rgb="fffff2c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dimension ref="A1:BP1305"/>
  <sheetViews>
    <sheetView workbookViewId="0" showGridLines="0" defaultGridColor="1"/>
  </sheetViews>
  <sheetFormatPr defaultColWidth="79" defaultRowHeight="14.5" customHeight="1" outlineLevelRow="0" outlineLevelCol="0"/>
  <cols>
    <col min="1" max="1" width="25.3516" style="1" customWidth="1"/>
    <col min="2" max="2" width="8.85156" style="1" customWidth="1"/>
    <col min="3" max="3" hidden="1" width="79" style="1" customWidth="1"/>
    <col min="4" max="4" width="18.8516" style="1" customWidth="1"/>
    <col min="5" max="6" hidden="1" width="79" style="1" customWidth="1"/>
    <col min="7" max="7" width="85.3516" style="1" customWidth="1"/>
    <col min="8" max="8" hidden="1" width="79" style="1" customWidth="1"/>
    <col min="9" max="9" width="16.6719" style="1" customWidth="1"/>
    <col min="10" max="11" width="20.8516" style="1" customWidth="1"/>
    <col min="12" max="12" width="43.8516" style="1" customWidth="1"/>
    <col min="13" max="13" width="74.8516" style="1" customWidth="1"/>
    <col min="14" max="14" width="78.8516" style="1" customWidth="1"/>
    <col min="15" max="15" width="16.5" style="1" customWidth="1"/>
    <col min="16" max="17" width="21" style="1" customWidth="1"/>
    <col min="18" max="18" width="18.5" style="1" customWidth="1"/>
    <col min="19" max="19" width="10.5" style="1" customWidth="1"/>
    <col min="20" max="21" hidden="1" width="79" style="1" customWidth="1"/>
    <col min="22" max="22" width="21.1719" style="1" customWidth="1"/>
    <col min="23" max="23" width="28.1719" style="1" customWidth="1"/>
    <col min="24" max="25" hidden="1" width="79" style="1" customWidth="1"/>
    <col min="26" max="26" width="18.5" style="1" customWidth="1"/>
    <col min="27" max="27" hidden="1" width="79" style="1" customWidth="1"/>
    <col min="28" max="28" width="42.5" style="1" customWidth="1"/>
    <col min="29" max="32" hidden="1" width="79" style="1" customWidth="1"/>
    <col min="33" max="33" width="13.3516" style="1" customWidth="1"/>
    <col min="34" max="34" hidden="1" width="79" style="1" customWidth="1"/>
    <col min="35" max="35" width="20" style="1" customWidth="1"/>
    <col min="36" max="36" width="18.1719" style="1" customWidth="1"/>
    <col min="37" max="37" width="35.6719" style="1" customWidth="1"/>
    <col min="38" max="38" width="15.8516" style="1" customWidth="1"/>
    <col min="39" max="39" hidden="1" width="79" style="1" customWidth="1"/>
    <col min="40" max="40" width="65.5" style="1" customWidth="1"/>
    <col min="41" max="41" width="9.5" style="1" customWidth="1"/>
    <col min="42" max="42" width="14.5" style="1" customWidth="1"/>
    <col min="43" max="43" width="27.8516" style="1" customWidth="1"/>
    <col min="44" max="44" width="21.5" style="1" customWidth="1"/>
    <col min="45" max="45" width="34" style="1" customWidth="1"/>
    <col min="46" max="46" width="14.8516" style="1" customWidth="1"/>
    <col min="47" max="47" width="11.1719" style="1" customWidth="1"/>
    <col min="48" max="48" width="14.8516" style="1" customWidth="1"/>
    <col min="49" max="49" width="35" style="1" customWidth="1"/>
    <col min="50" max="50" width="19.5" style="1" customWidth="1"/>
    <col min="51" max="51" width="30.1719" style="1" customWidth="1"/>
    <col min="52" max="52" width="15.8516" style="1" customWidth="1"/>
    <col min="53" max="55" hidden="1" width="79" style="1" customWidth="1"/>
    <col min="56" max="56" width="32" style="1" customWidth="1"/>
    <col min="57" max="58" width="25.5" style="1" customWidth="1"/>
    <col min="59" max="59" width="26.1719" style="1" customWidth="1"/>
    <col min="60" max="60" width="33.1719" style="1" customWidth="1"/>
    <col min="61" max="61" width="36.5" style="1" customWidth="1"/>
    <col min="62" max="62" width="26.1719" style="1" customWidth="1"/>
    <col min="63" max="63" width="28.3516" style="1" customWidth="1"/>
    <col min="64" max="64" width="25.6719" style="1" customWidth="1"/>
    <col min="65" max="65" width="17.3516" style="1" customWidth="1"/>
    <col min="66" max="66" width="26.8516" style="1" customWidth="1"/>
    <col min="67" max="67" width="25.3516" style="1" customWidth="1"/>
    <col min="68" max="68" width="79" style="1" customWidth="1"/>
    <col min="69" max="16384" width="79" style="1" customWidth="1"/>
  </cols>
  <sheetData>
    <row r="1" ht="13.55" customHeight="1">
      <c r="A1" t="s" s="2">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4"/>
    </row>
    <row r="2" ht="13.55" customHeight="1">
      <c r="A2" t="s" s="5">
        <v>1</v>
      </c>
      <c r="B2" t="s" s="6">
        <v>2</v>
      </c>
      <c r="C2" t="s" s="6">
        <v>3</v>
      </c>
      <c r="D2" t="s" s="6">
        <v>4</v>
      </c>
      <c r="E2" t="s" s="6">
        <v>5</v>
      </c>
      <c r="F2" t="s" s="6">
        <v>6</v>
      </c>
      <c r="G2" t="s" s="6">
        <v>7</v>
      </c>
      <c r="H2" t="s" s="6">
        <v>8</v>
      </c>
      <c r="I2" t="s" s="6">
        <v>9</v>
      </c>
      <c r="J2" t="s" s="6">
        <v>10</v>
      </c>
      <c r="K2" t="s" s="6">
        <v>11</v>
      </c>
      <c r="L2" t="s" s="6">
        <v>12</v>
      </c>
      <c r="M2" t="s" s="6">
        <v>13</v>
      </c>
      <c r="N2" t="s" s="6">
        <v>14</v>
      </c>
      <c r="O2" t="s" s="6">
        <v>15</v>
      </c>
      <c r="P2" t="s" s="6">
        <v>16</v>
      </c>
      <c r="Q2" t="s" s="6">
        <v>17</v>
      </c>
      <c r="R2" t="s" s="6">
        <v>18</v>
      </c>
      <c r="S2" t="s" s="6">
        <v>19</v>
      </c>
      <c r="T2" t="s" s="6">
        <v>20</v>
      </c>
      <c r="U2" t="s" s="6">
        <v>21</v>
      </c>
      <c r="V2" t="s" s="6">
        <v>22</v>
      </c>
      <c r="W2" t="s" s="6">
        <v>23</v>
      </c>
      <c r="X2" t="s" s="6">
        <v>24</v>
      </c>
      <c r="Y2" t="s" s="6">
        <v>25</v>
      </c>
      <c r="Z2" t="s" s="6">
        <v>26</v>
      </c>
      <c r="AA2" t="s" s="6">
        <v>27</v>
      </c>
      <c r="AB2" t="s" s="6">
        <v>28</v>
      </c>
      <c r="AC2" t="s" s="6">
        <v>29</v>
      </c>
      <c r="AD2" t="s" s="6">
        <v>30</v>
      </c>
      <c r="AE2" t="s" s="6">
        <v>31</v>
      </c>
      <c r="AF2" t="s" s="6">
        <v>32</v>
      </c>
      <c r="AG2" t="s" s="6">
        <v>33</v>
      </c>
      <c r="AH2" t="s" s="6">
        <v>34</v>
      </c>
      <c r="AI2" t="s" s="6">
        <v>35</v>
      </c>
      <c r="AJ2" t="s" s="6">
        <v>36</v>
      </c>
      <c r="AK2" t="s" s="6">
        <v>37</v>
      </c>
      <c r="AL2" t="s" s="6">
        <v>38</v>
      </c>
      <c r="AM2" t="s" s="6">
        <v>39</v>
      </c>
      <c r="AN2" t="s" s="6">
        <v>40</v>
      </c>
      <c r="AO2" t="s" s="6">
        <v>41</v>
      </c>
      <c r="AP2" t="s" s="6">
        <v>42</v>
      </c>
      <c r="AQ2" t="s" s="6">
        <v>43</v>
      </c>
      <c r="AR2" t="s" s="6">
        <v>44</v>
      </c>
      <c r="AS2" t="s" s="6">
        <v>45</v>
      </c>
      <c r="AT2" t="s" s="6">
        <v>46</v>
      </c>
      <c r="AU2" t="s" s="6">
        <v>47</v>
      </c>
      <c r="AV2" t="s" s="6">
        <v>48</v>
      </c>
      <c r="AW2" t="s" s="6">
        <v>49</v>
      </c>
      <c r="AX2" t="s" s="6">
        <v>50</v>
      </c>
      <c r="AY2" t="s" s="6">
        <v>51</v>
      </c>
      <c r="AZ2" t="s" s="6">
        <v>52</v>
      </c>
      <c r="BA2" t="s" s="6">
        <v>53</v>
      </c>
      <c r="BB2" t="s" s="6">
        <v>54</v>
      </c>
      <c r="BC2" t="s" s="6">
        <v>55</v>
      </c>
      <c r="BD2" t="s" s="6">
        <v>56</v>
      </c>
      <c r="BE2" t="s" s="6">
        <v>57</v>
      </c>
      <c r="BF2" t="s" s="6">
        <v>58</v>
      </c>
      <c r="BG2" t="s" s="6">
        <v>59</v>
      </c>
      <c r="BH2" t="s" s="6">
        <v>60</v>
      </c>
      <c r="BI2" t="s" s="6">
        <v>61</v>
      </c>
      <c r="BJ2" t="s" s="6">
        <v>62</v>
      </c>
      <c r="BK2" t="s" s="6">
        <v>63</v>
      </c>
      <c r="BL2" t="s" s="6">
        <v>64</v>
      </c>
      <c r="BM2" t="s" s="6">
        <v>65</v>
      </c>
      <c r="BN2" t="s" s="6">
        <v>66</v>
      </c>
      <c r="BO2" t="s" s="7">
        <v>67</v>
      </c>
      <c r="BP2" s="8"/>
    </row>
    <row r="3" ht="9" customHeight="1" hidden="1">
      <c r="A3" t="s" s="9">
        <v>68</v>
      </c>
      <c r="B3" t="s" s="10">
        <v>69</v>
      </c>
      <c r="C3" t="str" s="11" cm="1">
        <f t="array" ref="C3">_xlfn.IFERROR((VLOOKUP(A3,#REF!,2,FALSE)),"")</f>
      </c>
      <c r="D3" t="s" s="10">
        <v>70</v>
      </c>
      <c r="E3" t="s" s="10">
        <v>71</v>
      </c>
      <c r="F3" s="11"/>
      <c r="G3" t="s" s="10">
        <v>72</v>
      </c>
      <c r="H3" t="s" s="10">
        <v>72</v>
      </c>
      <c r="I3" t="s" s="10">
        <v>73</v>
      </c>
      <c r="J3" t="s" s="10">
        <v>74</v>
      </c>
      <c r="K3" t="s" s="10">
        <v>75</v>
      </c>
      <c r="L3" t="s" s="10">
        <v>76</v>
      </c>
      <c r="M3" t="s" s="10">
        <v>77</v>
      </c>
      <c r="N3" t="s" s="10">
        <v>72</v>
      </c>
      <c r="O3" t="s" s="10">
        <v>71</v>
      </c>
      <c r="P3" s="11"/>
      <c r="Q3" t="s" s="10">
        <v>78</v>
      </c>
      <c r="R3" t="s" s="10">
        <v>71</v>
      </c>
      <c r="S3" s="11"/>
      <c r="T3" s="11"/>
      <c r="U3" s="11"/>
      <c r="V3" t="s" s="10">
        <v>78</v>
      </c>
      <c r="W3" t="s" s="10">
        <v>68</v>
      </c>
      <c r="X3" t="s" s="10">
        <v>69</v>
      </c>
      <c r="Y3" s="11"/>
      <c r="Z3" t="s" s="10">
        <v>76</v>
      </c>
      <c r="AA3" s="11"/>
      <c r="AB3" t="s" s="10">
        <v>76</v>
      </c>
      <c r="AC3" s="11"/>
      <c r="AD3" s="11"/>
      <c r="AE3" s="11"/>
      <c r="AF3" s="11"/>
      <c r="AG3" s="11"/>
      <c r="AH3" s="11"/>
      <c r="AI3" t="s" s="10">
        <v>76</v>
      </c>
      <c r="AJ3" t="s" s="10">
        <v>76</v>
      </c>
      <c r="AK3" t="s" s="10">
        <v>79</v>
      </c>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2"/>
      <c r="BP3" s="8"/>
    </row>
    <row r="4" ht="9" customHeight="1" hidden="1">
      <c r="A4" t="s" s="13">
        <v>80</v>
      </c>
      <c r="B4" s="14"/>
      <c r="C4" t="str" s="14" cm="1">
        <f t="array" ref="C4">_xlfn.IFERROR((VLOOKUP(A4,#REF!,2,FALSE)),"")</f>
      </c>
      <c r="D4" t="s" s="15">
        <v>70</v>
      </c>
      <c r="E4" s="14"/>
      <c r="F4" s="14"/>
      <c r="G4" t="s" s="15">
        <v>81</v>
      </c>
      <c r="H4" t="s" s="15">
        <v>81</v>
      </c>
      <c r="I4" t="s" s="15">
        <v>82</v>
      </c>
      <c r="J4" t="s" s="15">
        <v>82</v>
      </c>
      <c r="K4" t="s" s="15">
        <v>82</v>
      </c>
      <c r="L4" t="s" s="15">
        <v>76</v>
      </c>
      <c r="M4" t="s" s="15">
        <v>77</v>
      </c>
      <c r="N4" t="s" s="15">
        <v>81</v>
      </c>
      <c r="O4" s="14"/>
      <c r="P4" s="14"/>
      <c r="Q4" t="s" s="15">
        <v>78</v>
      </c>
      <c r="R4" t="s" s="15">
        <v>83</v>
      </c>
      <c r="S4" s="14"/>
      <c r="T4" s="14"/>
      <c r="U4" s="14"/>
      <c r="V4" t="s" s="15">
        <v>78</v>
      </c>
      <c r="W4" s="14"/>
      <c r="X4" t="s" s="15">
        <v>69</v>
      </c>
      <c r="Y4" s="14"/>
      <c r="Z4" t="s" s="15">
        <v>76</v>
      </c>
      <c r="AA4" s="14"/>
      <c r="AB4" t="s" s="15">
        <v>76</v>
      </c>
      <c r="AC4" s="14"/>
      <c r="AD4" s="14"/>
      <c r="AE4" s="14"/>
      <c r="AF4" s="14"/>
      <c r="AG4" s="14"/>
      <c r="AH4" s="14"/>
      <c r="AI4" t="s" s="15">
        <v>76</v>
      </c>
      <c r="AJ4" t="s" s="15">
        <v>76</v>
      </c>
      <c r="AK4" t="s" s="15">
        <v>79</v>
      </c>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6"/>
      <c r="BP4" s="8"/>
    </row>
    <row r="5" ht="9" customHeight="1" hidden="1">
      <c r="A5" t="s" s="9">
        <v>84</v>
      </c>
      <c r="B5" s="11"/>
      <c r="C5" t="str" s="11" cm="1">
        <f t="array" ref="C5">_xlfn.IFERROR((VLOOKUP(A5,#REF!,2,FALSE)),"")</f>
      </c>
      <c r="D5" t="s" s="10">
        <v>70</v>
      </c>
      <c r="E5" s="11"/>
      <c r="F5" s="11"/>
      <c r="G5" t="s" s="10">
        <v>81</v>
      </c>
      <c r="H5" t="s" s="10">
        <v>81</v>
      </c>
      <c r="I5" t="s" s="10">
        <v>82</v>
      </c>
      <c r="J5" t="s" s="10">
        <v>82</v>
      </c>
      <c r="K5" t="s" s="10">
        <v>82</v>
      </c>
      <c r="L5" t="s" s="10">
        <v>76</v>
      </c>
      <c r="M5" t="s" s="10">
        <v>77</v>
      </c>
      <c r="N5" t="s" s="10">
        <v>81</v>
      </c>
      <c r="O5" s="11"/>
      <c r="P5" s="11"/>
      <c r="Q5" t="s" s="10">
        <v>78</v>
      </c>
      <c r="R5" t="s" s="10">
        <v>83</v>
      </c>
      <c r="S5" s="11"/>
      <c r="T5" s="11"/>
      <c r="U5" s="11"/>
      <c r="V5" t="s" s="10">
        <v>78</v>
      </c>
      <c r="W5" s="11"/>
      <c r="X5" t="s" s="10">
        <v>69</v>
      </c>
      <c r="Y5" s="11"/>
      <c r="Z5" t="s" s="10">
        <v>76</v>
      </c>
      <c r="AA5" s="11"/>
      <c r="AB5" t="s" s="10">
        <v>76</v>
      </c>
      <c r="AC5" s="11"/>
      <c r="AD5" s="11"/>
      <c r="AE5" s="11"/>
      <c r="AF5" s="11"/>
      <c r="AG5" s="11"/>
      <c r="AH5" s="11"/>
      <c r="AI5" t="s" s="10">
        <v>76</v>
      </c>
      <c r="AJ5" t="s" s="10">
        <v>76</v>
      </c>
      <c r="AK5" t="s" s="10">
        <v>79</v>
      </c>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2"/>
      <c r="BP5" s="8"/>
    </row>
    <row r="6" ht="9" customHeight="1" hidden="1">
      <c r="A6" t="s" s="13">
        <v>85</v>
      </c>
      <c r="B6" s="14"/>
      <c r="C6" t="str" s="14" cm="1">
        <f t="array" ref="C6">_xlfn.IFERROR((VLOOKUP(A6,#REF!,2,FALSE)),"")</f>
      </c>
      <c r="D6" t="s" s="15">
        <v>70</v>
      </c>
      <c r="E6" s="14"/>
      <c r="F6" s="14"/>
      <c r="G6" t="s" s="15">
        <v>81</v>
      </c>
      <c r="H6" t="s" s="15">
        <v>81</v>
      </c>
      <c r="I6" t="s" s="15">
        <v>82</v>
      </c>
      <c r="J6" t="s" s="15">
        <v>82</v>
      </c>
      <c r="K6" t="s" s="15">
        <v>82</v>
      </c>
      <c r="L6" t="s" s="15">
        <v>76</v>
      </c>
      <c r="M6" t="s" s="15">
        <v>77</v>
      </c>
      <c r="N6" t="s" s="15">
        <v>81</v>
      </c>
      <c r="O6" s="14"/>
      <c r="P6" s="14"/>
      <c r="Q6" t="s" s="15">
        <v>78</v>
      </c>
      <c r="R6" t="s" s="15">
        <v>83</v>
      </c>
      <c r="S6" s="14"/>
      <c r="T6" s="14"/>
      <c r="U6" s="14"/>
      <c r="V6" t="s" s="15">
        <v>78</v>
      </c>
      <c r="W6" s="14"/>
      <c r="X6" t="s" s="15">
        <v>69</v>
      </c>
      <c r="Y6" s="14"/>
      <c r="Z6" t="s" s="15">
        <v>76</v>
      </c>
      <c r="AA6" s="14"/>
      <c r="AB6" t="s" s="15">
        <v>76</v>
      </c>
      <c r="AC6" s="14"/>
      <c r="AD6" s="14"/>
      <c r="AE6" s="14"/>
      <c r="AF6" s="14"/>
      <c r="AG6" s="14"/>
      <c r="AH6" s="14"/>
      <c r="AI6" t="s" s="15">
        <v>76</v>
      </c>
      <c r="AJ6" t="s" s="15">
        <v>76</v>
      </c>
      <c r="AK6" t="s" s="15">
        <v>79</v>
      </c>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6"/>
      <c r="BP6" s="8"/>
    </row>
    <row r="7" ht="9" customHeight="1" hidden="1">
      <c r="A7" t="s" s="9">
        <v>86</v>
      </c>
      <c r="B7" t="s" s="10">
        <v>69</v>
      </c>
      <c r="C7" t="str" s="11" cm="1">
        <f t="array" ref="C7">_xlfn.IFERROR((VLOOKUP(A7,#REF!,2,FALSE)),"")</f>
      </c>
      <c r="D7" t="s" s="10">
        <v>70</v>
      </c>
      <c r="E7" t="s" s="10">
        <v>71</v>
      </c>
      <c r="F7" s="11"/>
      <c r="G7" t="s" s="10">
        <v>87</v>
      </c>
      <c r="H7" t="s" s="10">
        <v>87</v>
      </c>
      <c r="I7" t="s" s="10">
        <v>82</v>
      </c>
      <c r="J7" t="s" s="10">
        <v>82</v>
      </c>
      <c r="K7" t="s" s="10">
        <v>82</v>
      </c>
      <c r="L7" t="s" s="10">
        <v>76</v>
      </c>
      <c r="M7" t="s" s="10">
        <v>77</v>
      </c>
      <c r="N7" t="s" s="10">
        <v>87</v>
      </c>
      <c r="O7" t="s" s="10">
        <v>71</v>
      </c>
      <c r="P7" s="11"/>
      <c r="Q7" t="s" s="10">
        <v>78</v>
      </c>
      <c r="R7" t="s" s="10">
        <v>71</v>
      </c>
      <c r="S7" s="11"/>
      <c r="T7" s="11"/>
      <c r="U7" s="11"/>
      <c r="V7" t="s" s="10">
        <v>78</v>
      </c>
      <c r="W7" s="11"/>
      <c r="X7" t="s" s="10">
        <v>69</v>
      </c>
      <c r="Y7" s="11"/>
      <c r="Z7" t="s" s="10">
        <v>76</v>
      </c>
      <c r="AA7" s="11"/>
      <c r="AB7" t="s" s="10">
        <v>76</v>
      </c>
      <c r="AC7" s="11"/>
      <c r="AD7" s="11"/>
      <c r="AE7" s="11"/>
      <c r="AF7" s="11"/>
      <c r="AG7" s="11"/>
      <c r="AH7" s="11"/>
      <c r="AI7" t="s" s="10">
        <v>76</v>
      </c>
      <c r="AJ7" t="s" s="10">
        <v>76</v>
      </c>
      <c r="AK7" t="s" s="10">
        <v>79</v>
      </c>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2"/>
      <c r="BP7" s="8"/>
    </row>
    <row r="8" ht="9" customHeight="1" hidden="1">
      <c r="A8" t="s" s="13">
        <v>88</v>
      </c>
      <c r="B8" t="s" s="15">
        <v>69</v>
      </c>
      <c r="C8" t="str" s="14" cm="1">
        <f t="array" ref="C8">_xlfn.IFERROR((VLOOKUP(A8,#REF!,2,FALSE)),"")</f>
      </c>
      <c r="D8" t="s" s="15">
        <v>70</v>
      </c>
      <c r="E8" t="s" s="15">
        <v>71</v>
      </c>
      <c r="F8" s="14"/>
      <c r="G8" t="s" s="15">
        <v>89</v>
      </c>
      <c r="H8" t="s" s="15">
        <v>89</v>
      </c>
      <c r="I8" t="s" s="15">
        <v>73</v>
      </c>
      <c r="J8" t="s" s="15">
        <v>74</v>
      </c>
      <c r="K8" t="s" s="15">
        <v>75</v>
      </c>
      <c r="L8" t="s" s="15">
        <v>76</v>
      </c>
      <c r="M8" t="s" s="15">
        <v>77</v>
      </c>
      <c r="N8" t="s" s="15">
        <v>89</v>
      </c>
      <c r="O8" t="s" s="15">
        <v>71</v>
      </c>
      <c r="P8" s="14"/>
      <c r="Q8" t="s" s="15">
        <v>78</v>
      </c>
      <c r="R8" t="s" s="15">
        <v>71</v>
      </c>
      <c r="S8" s="14"/>
      <c r="T8" s="14"/>
      <c r="U8" s="14"/>
      <c r="V8" t="s" s="15">
        <v>78</v>
      </c>
      <c r="W8" t="s" s="15">
        <v>88</v>
      </c>
      <c r="X8" t="s" s="15">
        <v>69</v>
      </c>
      <c r="Y8" s="14"/>
      <c r="Z8" t="s" s="15">
        <v>76</v>
      </c>
      <c r="AA8" s="14"/>
      <c r="AB8" t="s" s="15">
        <v>76</v>
      </c>
      <c r="AC8" s="14"/>
      <c r="AD8" s="14"/>
      <c r="AE8" s="14"/>
      <c r="AF8" s="14"/>
      <c r="AG8" s="14"/>
      <c r="AH8" s="14"/>
      <c r="AI8" t="s" s="15">
        <v>76</v>
      </c>
      <c r="AJ8" t="s" s="15">
        <v>76</v>
      </c>
      <c r="AK8" t="s" s="15">
        <v>79</v>
      </c>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6"/>
      <c r="BP8" s="8"/>
    </row>
    <row r="9" ht="9" customHeight="1" hidden="1">
      <c r="A9" t="s" s="9">
        <v>90</v>
      </c>
      <c r="B9" t="s" s="10">
        <v>69</v>
      </c>
      <c r="C9" t="str" s="11" cm="1">
        <f t="array" ref="C9">_xlfn.IFERROR((VLOOKUP(A9,#REF!,2,FALSE)),"")</f>
      </c>
      <c r="D9" t="s" s="10">
        <v>70</v>
      </c>
      <c r="E9" t="s" s="10">
        <v>71</v>
      </c>
      <c r="F9" s="11"/>
      <c r="G9" t="s" s="10">
        <v>91</v>
      </c>
      <c r="H9" t="s" s="10">
        <v>91</v>
      </c>
      <c r="I9" t="s" s="10">
        <v>82</v>
      </c>
      <c r="J9" t="s" s="10">
        <v>82</v>
      </c>
      <c r="K9" t="s" s="10">
        <v>82</v>
      </c>
      <c r="L9" t="s" s="10">
        <v>76</v>
      </c>
      <c r="M9" t="s" s="10">
        <v>77</v>
      </c>
      <c r="N9" t="s" s="10">
        <v>91</v>
      </c>
      <c r="O9" t="s" s="10">
        <v>71</v>
      </c>
      <c r="P9" s="11"/>
      <c r="Q9" t="s" s="10">
        <v>78</v>
      </c>
      <c r="R9" t="s" s="10">
        <v>71</v>
      </c>
      <c r="S9" s="11"/>
      <c r="T9" s="11"/>
      <c r="U9" s="11"/>
      <c r="V9" t="s" s="10">
        <v>78</v>
      </c>
      <c r="W9" s="11"/>
      <c r="X9" t="s" s="10">
        <v>69</v>
      </c>
      <c r="Y9" s="11"/>
      <c r="Z9" t="s" s="10">
        <v>76</v>
      </c>
      <c r="AA9" s="11"/>
      <c r="AB9" t="s" s="10">
        <v>76</v>
      </c>
      <c r="AC9" s="11"/>
      <c r="AD9" s="11"/>
      <c r="AE9" s="11"/>
      <c r="AF9" s="11"/>
      <c r="AG9" s="11"/>
      <c r="AH9" s="11"/>
      <c r="AI9" t="s" s="10">
        <v>76</v>
      </c>
      <c r="AJ9" t="s" s="10">
        <v>76</v>
      </c>
      <c r="AK9" t="s" s="10">
        <v>79</v>
      </c>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2"/>
      <c r="BP9" s="8"/>
    </row>
    <row r="10" ht="9" customHeight="1" hidden="1">
      <c r="A10" t="s" s="13">
        <v>92</v>
      </c>
      <c r="B10" t="s" s="15">
        <v>69</v>
      </c>
      <c r="C10" t="str" s="14" cm="1">
        <f t="array" ref="C10">_xlfn.IFERROR((VLOOKUP(A10,#REF!,2,FALSE)),"")</f>
      </c>
      <c r="D10" t="s" s="15">
        <v>70</v>
      </c>
      <c r="E10" t="s" s="15">
        <v>71</v>
      </c>
      <c r="F10" s="14"/>
      <c r="G10" t="s" s="15">
        <v>93</v>
      </c>
      <c r="H10" t="s" s="15">
        <v>93</v>
      </c>
      <c r="I10" t="s" s="15">
        <v>73</v>
      </c>
      <c r="J10" t="s" s="15">
        <v>74</v>
      </c>
      <c r="K10" t="s" s="15">
        <v>75</v>
      </c>
      <c r="L10" t="s" s="15">
        <v>76</v>
      </c>
      <c r="M10" t="s" s="15">
        <v>77</v>
      </c>
      <c r="N10" t="s" s="15">
        <v>93</v>
      </c>
      <c r="O10" t="s" s="15">
        <v>71</v>
      </c>
      <c r="P10" s="14"/>
      <c r="Q10" t="s" s="15">
        <v>78</v>
      </c>
      <c r="R10" t="s" s="15">
        <v>71</v>
      </c>
      <c r="S10" s="14"/>
      <c r="T10" s="14"/>
      <c r="U10" s="14"/>
      <c r="V10" t="s" s="15">
        <v>78</v>
      </c>
      <c r="W10" t="s" s="15">
        <v>92</v>
      </c>
      <c r="X10" t="s" s="15">
        <v>69</v>
      </c>
      <c r="Y10" s="14"/>
      <c r="Z10" t="s" s="15">
        <v>76</v>
      </c>
      <c r="AA10" s="14"/>
      <c r="AB10" t="s" s="15">
        <v>76</v>
      </c>
      <c r="AC10" s="14"/>
      <c r="AD10" s="14"/>
      <c r="AE10" s="14"/>
      <c r="AF10" s="14"/>
      <c r="AG10" s="14"/>
      <c r="AH10" s="14"/>
      <c r="AI10" t="s" s="15">
        <v>76</v>
      </c>
      <c r="AJ10" t="s" s="15">
        <v>76</v>
      </c>
      <c r="AK10" t="s" s="15">
        <v>79</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6"/>
      <c r="BP10" s="8"/>
    </row>
    <row r="11" ht="9" customHeight="1" hidden="1">
      <c r="A11" t="s" s="9">
        <v>94</v>
      </c>
      <c r="B11" t="s" s="10">
        <v>69</v>
      </c>
      <c r="C11" t="str" s="11" cm="1">
        <f t="array" ref="C11">_xlfn.IFERROR((VLOOKUP(A11,#REF!,2,FALSE)),"")</f>
      </c>
      <c r="D11" t="s" s="10">
        <v>70</v>
      </c>
      <c r="E11" t="s" s="10">
        <v>71</v>
      </c>
      <c r="F11" s="11"/>
      <c r="G11" t="s" s="10">
        <v>95</v>
      </c>
      <c r="H11" t="s" s="10">
        <v>95</v>
      </c>
      <c r="I11" t="s" s="10">
        <v>82</v>
      </c>
      <c r="J11" t="s" s="10">
        <v>82</v>
      </c>
      <c r="K11" t="s" s="10">
        <v>82</v>
      </c>
      <c r="L11" t="s" s="10">
        <v>76</v>
      </c>
      <c r="M11" t="s" s="10">
        <v>77</v>
      </c>
      <c r="N11" t="s" s="10">
        <v>95</v>
      </c>
      <c r="O11" t="s" s="10">
        <v>71</v>
      </c>
      <c r="P11" s="11"/>
      <c r="Q11" t="s" s="10">
        <v>78</v>
      </c>
      <c r="R11" t="s" s="10">
        <v>71</v>
      </c>
      <c r="S11" s="11"/>
      <c r="T11" s="11"/>
      <c r="U11" s="11"/>
      <c r="V11" t="s" s="10">
        <v>78</v>
      </c>
      <c r="W11" s="11"/>
      <c r="X11" t="s" s="10">
        <v>69</v>
      </c>
      <c r="Y11" s="11"/>
      <c r="Z11" t="s" s="10">
        <v>76</v>
      </c>
      <c r="AA11" s="11"/>
      <c r="AB11" t="s" s="10">
        <v>76</v>
      </c>
      <c r="AC11" s="11"/>
      <c r="AD11" s="11"/>
      <c r="AE11" s="11"/>
      <c r="AF11" s="11"/>
      <c r="AG11" s="11"/>
      <c r="AH11" s="11"/>
      <c r="AI11" t="s" s="10">
        <v>76</v>
      </c>
      <c r="AJ11" t="s" s="10">
        <v>76</v>
      </c>
      <c r="AK11" t="s" s="10">
        <v>79</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2"/>
      <c r="BP11" s="8"/>
    </row>
    <row r="12" ht="9" customHeight="1" hidden="1">
      <c r="A12" t="s" s="13">
        <v>96</v>
      </c>
      <c r="B12" t="s" s="15">
        <v>69</v>
      </c>
      <c r="C12" t="str" s="14" cm="1">
        <f t="array" ref="C12">_xlfn.IFERROR((VLOOKUP(A12,#REF!,2,FALSE)),"")</f>
      </c>
      <c r="D12" t="s" s="15">
        <v>70</v>
      </c>
      <c r="E12" t="s" s="15">
        <v>71</v>
      </c>
      <c r="F12" s="14"/>
      <c r="G12" t="s" s="15">
        <v>97</v>
      </c>
      <c r="H12" t="s" s="15">
        <v>98</v>
      </c>
      <c r="I12" t="s" s="15">
        <v>73</v>
      </c>
      <c r="J12" t="s" s="15">
        <v>74</v>
      </c>
      <c r="K12" t="s" s="15">
        <v>75</v>
      </c>
      <c r="L12" t="s" s="15">
        <v>76</v>
      </c>
      <c r="M12" t="s" s="15">
        <v>77</v>
      </c>
      <c r="N12" t="s" s="15">
        <v>97</v>
      </c>
      <c r="O12" t="s" s="15">
        <v>71</v>
      </c>
      <c r="P12" s="14"/>
      <c r="Q12" t="s" s="15">
        <v>78</v>
      </c>
      <c r="R12" t="s" s="15">
        <v>71</v>
      </c>
      <c r="S12" s="14"/>
      <c r="T12" s="14"/>
      <c r="U12" s="14"/>
      <c r="V12" t="s" s="15">
        <v>78</v>
      </c>
      <c r="W12" t="s" s="15">
        <v>96</v>
      </c>
      <c r="X12" t="s" s="15">
        <v>69</v>
      </c>
      <c r="Y12" s="14"/>
      <c r="Z12" t="s" s="15">
        <v>76</v>
      </c>
      <c r="AA12" s="14"/>
      <c r="AB12" t="s" s="15">
        <v>76</v>
      </c>
      <c r="AC12" s="14"/>
      <c r="AD12" s="14"/>
      <c r="AE12" s="14"/>
      <c r="AF12" s="14"/>
      <c r="AG12" s="14"/>
      <c r="AH12" s="14"/>
      <c r="AI12" t="s" s="15">
        <v>76</v>
      </c>
      <c r="AJ12" t="s" s="15">
        <v>76</v>
      </c>
      <c r="AK12" t="s" s="15">
        <v>79</v>
      </c>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6"/>
      <c r="BP12" s="8"/>
    </row>
    <row r="13" ht="9" customHeight="1" hidden="1">
      <c r="A13" t="s" s="9">
        <v>99</v>
      </c>
      <c r="B13" t="s" s="10">
        <v>69</v>
      </c>
      <c r="C13" t="str" s="11" cm="1">
        <f t="array" ref="C13">_xlfn.IFERROR((VLOOKUP(A13,#REF!,2,FALSE)),"")</f>
      </c>
      <c r="D13" t="s" s="10">
        <v>70</v>
      </c>
      <c r="E13" t="s" s="10">
        <v>71</v>
      </c>
      <c r="F13" s="11"/>
      <c r="G13" t="s" s="10">
        <v>100</v>
      </c>
      <c r="H13" t="s" s="10">
        <v>100</v>
      </c>
      <c r="I13" t="s" s="10">
        <v>82</v>
      </c>
      <c r="J13" t="s" s="10">
        <v>82</v>
      </c>
      <c r="K13" t="s" s="10">
        <v>82</v>
      </c>
      <c r="L13" t="s" s="10">
        <v>76</v>
      </c>
      <c r="M13" t="s" s="10">
        <v>77</v>
      </c>
      <c r="N13" t="s" s="10">
        <v>100</v>
      </c>
      <c r="O13" t="s" s="10">
        <v>71</v>
      </c>
      <c r="P13" s="11"/>
      <c r="Q13" t="s" s="10">
        <v>78</v>
      </c>
      <c r="R13" t="s" s="10">
        <v>71</v>
      </c>
      <c r="S13" s="11"/>
      <c r="T13" s="11"/>
      <c r="U13" s="11"/>
      <c r="V13" t="s" s="10">
        <v>78</v>
      </c>
      <c r="W13" s="11"/>
      <c r="X13" t="s" s="10">
        <v>69</v>
      </c>
      <c r="Y13" s="11"/>
      <c r="Z13" t="s" s="10">
        <v>76</v>
      </c>
      <c r="AA13" s="11"/>
      <c r="AB13" t="s" s="10">
        <v>76</v>
      </c>
      <c r="AC13" s="11"/>
      <c r="AD13" s="11"/>
      <c r="AE13" s="11"/>
      <c r="AF13" s="11"/>
      <c r="AG13" s="11"/>
      <c r="AH13" s="11"/>
      <c r="AI13" t="s" s="10">
        <v>76</v>
      </c>
      <c r="AJ13" t="s" s="10">
        <v>76</v>
      </c>
      <c r="AK13" t="s" s="10">
        <v>79</v>
      </c>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2"/>
      <c r="BP13" s="8"/>
    </row>
    <row r="14" ht="9" customHeight="1" hidden="1">
      <c r="A14" t="s" s="13">
        <v>101</v>
      </c>
      <c r="B14" t="s" s="15">
        <v>69</v>
      </c>
      <c r="C14" t="str" s="14" cm="1">
        <f t="array" ref="C14">_xlfn.IFERROR((VLOOKUP(A14,#REF!,2,FALSE)),"")</f>
      </c>
      <c r="D14" t="s" s="15">
        <v>70</v>
      </c>
      <c r="E14" t="s" s="15">
        <v>71</v>
      </c>
      <c r="F14" s="14"/>
      <c r="G14" t="s" s="15">
        <v>102</v>
      </c>
      <c r="H14" t="s" s="15">
        <v>102</v>
      </c>
      <c r="I14" t="s" s="15">
        <v>82</v>
      </c>
      <c r="J14" t="s" s="15">
        <v>82</v>
      </c>
      <c r="K14" t="s" s="15">
        <v>82</v>
      </c>
      <c r="L14" t="s" s="15">
        <v>76</v>
      </c>
      <c r="M14" t="s" s="15">
        <v>77</v>
      </c>
      <c r="N14" t="s" s="15">
        <v>102</v>
      </c>
      <c r="O14" t="s" s="15">
        <v>71</v>
      </c>
      <c r="P14" s="14"/>
      <c r="Q14" t="s" s="15">
        <v>78</v>
      </c>
      <c r="R14" t="s" s="15">
        <v>71</v>
      </c>
      <c r="S14" s="14"/>
      <c r="T14" s="14"/>
      <c r="U14" s="14"/>
      <c r="V14" t="s" s="15">
        <v>78</v>
      </c>
      <c r="W14" s="14"/>
      <c r="X14" t="s" s="15">
        <v>69</v>
      </c>
      <c r="Y14" s="14"/>
      <c r="Z14" t="s" s="15">
        <v>76</v>
      </c>
      <c r="AA14" s="14"/>
      <c r="AB14" t="s" s="15">
        <v>76</v>
      </c>
      <c r="AC14" s="14"/>
      <c r="AD14" s="14"/>
      <c r="AE14" s="14"/>
      <c r="AF14" s="14"/>
      <c r="AG14" s="14"/>
      <c r="AH14" s="14"/>
      <c r="AI14" t="s" s="15">
        <v>76</v>
      </c>
      <c r="AJ14" t="s" s="15">
        <v>76</v>
      </c>
      <c r="AK14" t="s" s="15">
        <v>79</v>
      </c>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6"/>
      <c r="BP14" s="8"/>
    </row>
    <row r="15" ht="9" customHeight="1" hidden="1">
      <c r="A15" t="s" s="9">
        <v>103</v>
      </c>
      <c r="B15" t="s" s="10">
        <v>69</v>
      </c>
      <c r="C15" t="str" s="11" cm="1">
        <f t="array" ref="C15">_xlfn.IFERROR((VLOOKUP(A15,#REF!,2,FALSE)),"")</f>
      </c>
      <c r="D15" t="s" s="10">
        <v>70</v>
      </c>
      <c r="E15" t="s" s="10">
        <v>71</v>
      </c>
      <c r="F15" s="11"/>
      <c r="G15" t="s" s="10">
        <v>104</v>
      </c>
      <c r="H15" t="s" s="10">
        <v>104</v>
      </c>
      <c r="I15" t="s" s="10">
        <v>73</v>
      </c>
      <c r="J15" t="s" s="10">
        <v>74</v>
      </c>
      <c r="K15" t="s" s="10">
        <v>105</v>
      </c>
      <c r="L15" t="s" s="10">
        <v>76</v>
      </c>
      <c r="M15" t="s" s="10">
        <v>77</v>
      </c>
      <c r="N15" t="s" s="10">
        <v>104</v>
      </c>
      <c r="O15" t="s" s="10">
        <v>71</v>
      </c>
      <c r="P15" s="11"/>
      <c r="Q15" t="s" s="10">
        <v>78</v>
      </c>
      <c r="R15" t="s" s="10">
        <v>71</v>
      </c>
      <c r="S15" s="11"/>
      <c r="T15" s="11"/>
      <c r="U15" s="11"/>
      <c r="V15" t="s" s="10">
        <v>78</v>
      </c>
      <c r="W15" t="s" s="10">
        <v>103</v>
      </c>
      <c r="X15" t="s" s="10">
        <v>69</v>
      </c>
      <c r="Y15" s="11"/>
      <c r="Z15" t="s" s="10">
        <v>76</v>
      </c>
      <c r="AA15" s="11"/>
      <c r="AB15" t="s" s="10">
        <v>76</v>
      </c>
      <c r="AC15" s="11"/>
      <c r="AD15" s="11"/>
      <c r="AE15" s="11"/>
      <c r="AF15" s="11"/>
      <c r="AG15" s="11"/>
      <c r="AH15" t="s" s="10">
        <v>106</v>
      </c>
      <c r="AI15" t="s" s="10">
        <v>76</v>
      </c>
      <c r="AJ15" t="s" s="10">
        <v>76</v>
      </c>
      <c r="AK15" t="s" s="10">
        <v>79</v>
      </c>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2"/>
      <c r="BP15" s="8"/>
    </row>
    <row r="16" ht="9" customHeight="1" hidden="1">
      <c r="A16" t="s" s="13">
        <v>107</v>
      </c>
      <c r="B16" s="14"/>
      <c r="C16" t="str" s="14" cm="1">
        <f t="array" ref="C16">_xlfn.IFERROR((VLOOKUP(A16,#REF!,2,FALSE)),"")</f>
      </c>
      <c r="D16" t="s" s="15">
        <v>70</v>
      </c>
      <c r="E16" t="s" s="15">
        <v>108</v>
      </c>
      <c r="F16" s="14"/>
      <c r="G16" t="s" s="15">
        <v>109</v>
      </c>
      <c r="H16" t="s" s="15">
        <v>110</v>
      </c>
      <c r="I16" t="s" s="15">
        <v>111</v>
      </c>
      <c r="J16" t="s" s="15">
        <v>112</v>
      </c>
      <c r="K16" t="s" s="15">
        <v>113</v>
      </c>
      <c r="L16" t="s" s="15">
        <v>76</v>
      </c>
      <c r="M16" t="s" s="15">
        <v>77</v>
      </c>
      <c r="N16" t="s" s="15">
        <v>109</v>
      </c>
      <c r="O16" s="14"/>
      <c r="P16" s="14"/>
      <c r="Q16" t="s" s="15">
        <v>78</v>
      </c>
      <c r="R16" t="s" s="15">
        <v>83</v>
      </c>
      <c r="S16" s="14"/>
      <c r="T16" s="14"/>
      <c r="U16" s="14"/>
      <c r="V16" t="s" s="15">
        <v>69</v>
      </c>
      <c r="W16" s="14"/>
      <c r="X16" t="s" s="15">
        <v>69</v>
      </c>
      <c r="Y16" s="14"/>
      <c r="Z16" t="s" s="15">
        <v>76</v>
      </c>
      <c r="AA16" s="14"/>
      <c r="AB16" t="s" s="15">
        <v>76</v>
      </c>
      <c r="AC16" s="14"/>
      <c r="AD16" s="14"/>
      <c r="AE16" s="14"/>
      <c r="AF16" s="14"/>
      <c r="AG16" s="14"/>
      <c r="AH16" t="s" s="15">
        <v>114</v>
      </c>
      <c r="AI16" t="s" s="15">
        <v>76</v>
      </c>
      <c r="AJ16" t="s" s="15">
        <v>76</v>
      </c>
      <c r="AK16" t="s" s="15">
        <v>79</v>
      </c>
      <c r="AL16" t="s" s="15">
        <v>115</v>
      </c>
      <c r="AM16" s="14"/>
      <c r="AN16" t="s" s="15">
        <v>116</v>
      </c>
      <c r="AO16" s="14"/>
      <c r="AP16" s="14"/>
      <c r="AQ16" s="14"/>
      <c r="AR16" s="14"/>
      <c r="AS16" t="s" s="15">
        <v>117</v>
      </c>
      <c r="AT16" s="14"/>
      <c r="AU16" s="14"/>
      <c r="AV16" s="14"/>
      <c r="AW16" s="14"/>
      <c r="AX16" s="14"/>
      <c r="AY16" s="14"/>
      <c r="AZ16" s="14"/>
      <c r="BA16" s="14"/>
      <c r="BB16" s="14"/>
      <c r="BC16" s="14"/>
      <c r="BD16" t="s" s="15">
        <v>118</v>
      </c>
      <c r="BE16" s="14"/>
      <c r="BF16" s="14"/>
      <c r="BG16" s="14"/>
      <c r="BH16" s="14"/>
      <c r="BI16" s="14"/>
      <c r="BJ16" s="14"/>
      <c r="BK16" s="14"/>
      <c r="BL16" s="14"/>
      <c r="BM16" s="14"/>
      <c r="BN16" t="s" s="15">
        <v>78</v>
      </c>
      <c r="BO16" s="16"/>
      <c r="BP16" s="8"/>
    </row>
    <row r="17" ht="9" customHeight="1" hidden="1">
      <c r="A17" t="s" s="9">
        <v>119</v>
      </c>
      <c r="B17" s="11"/>
      <c r="C17" t="str" s="11" cm="1">
        <f t="array" ref="C17">_xlfn.IFERROR((VLOOKUP(A17,#REF!,2,FALSE)),"")</f>
      </c>
      <c r="D17" t="s" s="10">
        <v>70</v>
      </c>
      <c r="E17" t="s" s="10">
        <v>108</v>
      </c>
      <c r="F17" s="11"/>
      <c r="G17" t="s" s="10">
        <v>120</v>
      </c>
      <c r="H17" t="s" s="10">
        <v>121</v>
      </c>
      <c r="I17" t="s" s="10">
        <v>111</v>
      </c>
      <c r="J17" t="s" s="10">
        <v>122</v>
      </c>
      <c r="K17" t="s" s="10">
        <v>113</v>
      </c>
      <c r="L17" t="s" s="10">
        <v>76</v>
      </c>
      <c r="M17" t="s" s="10">
        <v>77</v>
      </c>
      <c r="N17" t="s" s="10">
        <v>120</v>
      </c>
      <c r="O17" s="11"/>
      <c r="P17" s="11"/>
      <c r="Q17" t="s" s="10">
        <v>78</v>
      </c>
      <c r="R17" t="s" s="10">
        <v>123</v>
      </c>
      <c r="S17" s="11"/>
      <c r="T17" s="11"/>
      <c r="U17" s="11"/>
      <c r="V17" t="s" s="10">
        <v>69</v>
      </c>
      <c r="W17" s="11"/>
      <c r="X17" t="s" s="10">
        <v>69</v>
      </c>
      <c r="Y17" s="11"/>
      <c r="Z17" t="s" s="10">
        <v>76</v>
      </c>
      <c r="AA17" s="11"/>
      <c r="AB17" t="s" s="10">
        <v>76</v>
      </c>
      <c r="AC17" s="11"/>
      <c r="AD17" s="11"/>
      <c r="AE17" s="11"/>
      <c r="AF17" s="11"/>
      <c r="AG17" s="11"/>
      <c r="AH17" t="s" s="10">
        <v>114</v>
      </c>
      <c r="AI17" t="s" s="10">
        <v>76</v>
      </c>
      <c r="AJ17" t="s" s="10">
        <v>76</v>
      </c>
      <c r="AK17" t="s" s="10">
        <v>79</v>
      </c>
      <c r="AL17" s="11"/>
      <c r="AM17" s="11"/>
      <c r="AN17" t="s" s="10">
        <v>116</v>
      </c>
      <c r="AO17" s="11"/>
      <c r="AP17" s="11"/>
      <c r="AQ17" s="11"/>
      <c r="AR17" s="11"/>
      <c r="AS17" t="s" s="10">
        <v>124</v>
      </c>
      <c r="AT17" s="11"/>
      <c r="AU17" s="11"/>
      <c r="AV17" s="11"/>
      <c r="AW17" s="11"/>
      <c r="AX17" s="11"/>
      <c r="AY17" s="11"/>
      <c r="AZ17" s="11"/>
      <c r="BA17" s="11"/>
      <c r="BB17" s="11"/>
      <c r="BC17" s="11"/>
      <c r="BD17" t="s" s="10">
        <v>118</v>
      </c>
      <c r="BE17" s="11"/>
      <c r="BF17" s="11"/>
      <c r="BG17" s="11"/>
      <c r="BH17" s="11"/>
      <c r="BI17" s="11"/>
      <c r="BJ17" s="11"/>
      <c r="BK17" s="11"/>
      <c r="BL17" s="11"/>
      <c r="BM17" s="11"/>
      <c r="BN17" t="s" s="10">
        <v>78</v>
      </c>
      <c r="BO17" s="12"/>
      <c r="BP17" s="8"/>
    </row>
    <row r="18" ht="9" customHeight="1" hidden="1">
      <c r="A18" t="s" s="13">
        <v>125</v>
      </c>
      <c r="B18" s="14"/>
      <c r="C18" t="str" s="14" cm="1">
        <f t="array" ref="C18">_xlfn.IFERROR((VLOOKUP(A18,#REF!,2,FALSE)),"")</f>
      </c>
      <c r="D18" t="s" s="15">
        <v>70</v>
      </c>
      <c r="E18" t="s" s="15">
        <v>126</v>
      </c>
      <c r="F18" s="14"/>
      <c r="G18" s="14"/>
      <c r="H18" s="14"/>
      <c r="I18" t="s" s="15">
        <v>111</v>
      </c>
      <c r="J18" t="s" s="15">
        <v>122</v>
      </c>
      <c r="K18" t="s" s="15">
        <v>127</v>
      </c>
      <c r="L18" t="s" s="15">
        <v>76</v>
      </c>
      <c r="M18" t="s" s="15">
        <v>77</v>
      </c>
      <c r="N18" s="14"/>
      <c r="O18" t="s" s="15">
        <v>71</v>
      </c>
      <c r="P18" s="14"/>
      <c r="Q18" t="s" s="15">
        <v>69</v>
      </c>
      <c r="R18" t="s" s="15">
        <v>83</v>
      </c>
      <c r="S18" s="14"/>
      <c r="T18" s="14"/>
      <c r="U18" s="14"/>
      <c r="V18" t="s" s="15">
        <v>69</v>
      </c>
      <c r="W18" t="s" s="15">
        <v>125</v>
      </c>
      <c r="X18" t="s" s="15">
        <v>78</v>
      </c>
      <c r="Y18" s="14"/>
      <c r="Z18" t="s" s="15">
        <v>76</v>
      </c>
      <c r="AA18" s="14"/>
      <c r="AB18" t="s" s="15">
        <v>76</v>
      </c>
      <c r="AC18" t="s" s="15">
        <v>125</v>
      </c>
      <c r="AD18" s="14"/>
      <c r="AE18" s="14"/>
      <c r="AF18" s="14"/>
      <c r="AG18" s="14"/>
      <c r="AH18" s="14"/>
      <c r="AI18" t="s" s="15">
        <v>76</v>
      </c>
      <c r="AJ18" t="s" s="15">
        <v>76</v>
      </c>
      <c r="AK18" t="s" s="15">
        <v>79</v>
      </c>
      <c r="AL18" s="14"/>
      <c r="AM18" s="14"/>
      <c r="AN18" t="s" s="15">
        <v>128</v>
      </c>
      <c r="AO18" s="14"/>
      <c r="AP18" s="14"/>
      <c r="AQ18" s="14"/>
      <c r="AR18" s="14"/>
      <c r="AS18" t="s" s="15">
        <v>129</v>
      </c>
      <c r="AT18" s="14"/>
      <c r="AU18" s="14"/>
      <c r="AV18" s="14"/>
      <c r="AW18" s="14"/>
      <c r="AX18" s="14"/>
      <c r="AY18" s="14"/>
      <c r="AZ18" s="14"/>
      <c r="BA18" s="14"/>
      <c r="BB18" s="14"/>
      <c r="BC18" s="14"/>
      <c r="BD18" s="14"/>
      <c r="BE18" s="14"/>
      <c r="BF18" s="14"/>
      <c r="BG18" s="14"/>
      <c r="BH18" s="14"/>
      <c r="BI18" s="14"/>
      <c r="BJ18" s="14"/>
      <c r="BK18" s="14"/>
      <c r="BL18" s="14"/>
      <c r="BM18" s="14"/>
      <c r="BN18" s="14"/>
      <c r="BO18" s="16"/>
      <c r="BP18" s="8"/>
    </row>
    <row r="19" ht="9" customHeight="1" hidden="1">
      <c r="A19" t="s" s="9">
        <v>130</v>
      </c>
      <c r="B19" s="11"/>
      <c r="C19" t="str" s="11" cm="1">
        <f t="array" ref="C19">_xlfn.IFERROR((VLOOKUP(A19,#REF!,2,FALSE)),"")</f>
      </c>
      <c r="D19" t="s" s="10">
        <v>70</v>
      </c>
      <c r="E19" t="s" s="10">
        <v>108</v>
      </c>
      <c r="F19" s="11"/>
      <c r="G19" t="s" s="10">
        <v>131</v>
      </c>
      <c r="H19" t="s" s="10">
        <v>132</v>
      </c>
      <c r="I19" t="s" s="10">
        <v>111</v>
      </c>
      <c r="J19" t="s" s="10">
        <v>112</v>
      </c>
      <c r="K19" t="s" s="10">
        <v>113</v>
      </c>
      <c r="L19" t="s" s="10">
        <v>76</v>
      </c>
      <c r="M19" t="s" s="10">
        <v>77</v>
      </c>
      <c r="N19" t="s" s="10">
        <v>131</v>
      </c>
      <c r="O19" s="11"/>
      <c r="P19" s="11"/>
      <c r="Q19" t="s" s="10">
        <v>78</v>
      </c>
      <c r="R19" t="s" s="10">
        <v>83</v>
      </c>
      <c r="S19" s="11"/>
      <c r="T19" s="11"/>
      <c r="U19" s="11"/>
      <c r="V19" t="s" s="10">
        <v>69</v>
      </c>
      <c r="W19" s="11"/>
      <c r="X19" t="s" s="10">
        <v>69</v>
      </c>
      <c r="Y19" s="11"/>
      <c r="Z19" t="s" s="10">
        <v>76</v>
      </c>
      <c r="AA19" s="11"/>
      <c r="AB19" t="s" s="10">
        <v>76</v>
      </c>
      <c r="AC19" s="11"/>
      <c r="AD19" s="11"/>
      <c r="AE19" s="11"/>
      <c r="AF19" s="11"/>
      <c r="AG19" s="11"/>
      <c r="AH19" t="s" s="10">
        <v>114</v>
      </c>
      <c r="AI19" t="s" s="10">
        <v>76</v>
      </c>
      <c r="AJ19" t="s" s="10">
        <v>76</v>
      </c>
      <c r="AK19" t="s" s="10">
        <v>79</v>
      </c>
      <c r="AL19" s="11"/>
      <c r="AM19" s="11"/>
      <c r="AN19" t="s" s="10">
        <v>133</v>
      </c>
      <c r="AO19" s="11"/>
      <c r="AP19" s="11"/>
      <c r="AQ19" s="11"/>
      <c r="AR19" s="11"/>
      <c r="AS19" t="s" s="10">
        <v>134</v>
      </c>
      <c r="AT19" s="11"/>
      <c r="AU19" s="11"/>
      <c r="AV19" s="11"/>
      <c r="AW19" s="11"/>
      <c r="AX19" s="11"/>
      <c r="AY19" s="11"/>
      <c r="AZ19" s="11"/>
      <c r="BA19" s="11"/>
      <c r="BB19" s="11"/>
      <c r="BC19" s="11"/>
      <c r="BD19" t="s" s="10">
        <v>118</v>
      </c>
      <c r="BE19" s="11"/>
      <c r="BF19" s="11"/>
      <c r="BG19" s="11"/>
      <c r="BH19" s="11"/>
      <c r="BI19" s="11"/>
      <c r="BJ19" s="11"/>
      <c r="BK19" s="11"/>
      <c r="BL19" s="11"/>
      <c r="BM19" s="11"/>
      <c r="BN19" t="s" s="10">
        <v>78</v>
      </c>
      <c r="BO19" s="12"/>
      <c r="BP19" s="8"/>
    </row>
    <row r="20" ht="9" customHeight="1" hidden="1">
      <c r="A20" t="s" s="13">
        <v>135</v>
      </c>
      <c r="B20" s="14"/>
      <c r="C20" t="str" s="14" cm="1">
        <f t="array" ref="C20">_xlfn.IFERROR((VLOOKUP(A20,#REF!,2,FALSE)),"")</f>
      </c>
      <c r="D20" t="s" s="15">
        <v>70</v>
      </c>
      <c r="E20" t="s" s="15">
        <v>126</v>
      </c>
      <c r="F20" s="14"/>
      <c r="G20" s="14"/>
      <c r="H20" s="14"/>
      <c r="I20" t="s" s="15">
        <v>111</v>
      </c>
      <c r="J20" t="s" s="15">
        <v>122</v>
      </c>
      <c r="K20" t="s" s="15">
        <v>127</v>
      </c>
      <c r="L20" t="s" s="15">
        <v>76</v>
      </c>
      <c r="M20" t="s" s="15">
        <v>77</v>
      </c>
      <c r="N20" s="14"/>
      <c r="O20" s="14"/>
      <c r="P20" s="14"/>
      <c r="Q20" t="s" s="15">
        <v>69</v>
      </c>
      <c r="R20" t="s" s="15">
        <v>83</v>
      </c>
      <c r="S20" s="14"/>
      <c r="T20" s="14"/>
      <c r="U20" s="14"/>
      <c r="V20" t="s" s="15">
        <v>69</v>
      </c>
      <c r="W20" s="14"/>
      <c r="X20" t="s" s="15">
        <v>78</v>
      </c>
      <c r="Y20" s="14"/>
      <c r="Z20" t="s" s="15">
        <v>76</v>
      </c>
      <c r="AA20" s="14"/>
      <c r="AB20" t="s" s="15">
        <v>76</v>
      </c>
      <c r="AC20" t="s" s="15">
        <v>135</v>
      </c>
      <c r="AD20" s="14"/>
      <c r="AE20" s="14"/>
      <c r="AF20" s="14"/>
      <c r="AG20" s="14"/>
      <c r="AH20" s="14"/>
      <c r="AI20" t="s" s="15">
        <v>76</v>
      </c>
      <c r="AJ20" t="s" s="15">
        <v>76</v>
      </c>
      <c r="AK20" t="s" s="15">
        <v>79</v>
      </c>
      <c r="AL20" s="14"/>
      <c r="AM20" s="14"/>
      <c r="AN20" t="s" s="15">
        <v>128</v>
      </c>
      <c r="AO20" s="14"/>
      <c r="AP20" s="14"/>
      <c r="AQ20" s="14"/>
      <c r="AR20" s="14"/>
      <c r="AS20" t="s" s="15">
        <v>136</v>
      </c>
      <c r="AT20" s="14"/>
      <c r="AU20" s="14"/>
      <c r="AV20" s="14"/>
      <c r="AW20" s="14"/>
      <c r="AX20" s="14"/>
      <c r="AY20" s="14"/>
      <c r="AZ20" s="14"/>
      <c r="BA20" s="14"/>
      <c r="BB20" s="14"/>
      <c r="BC20" s="14"/>
      <c r="BD20" s="14"/>
      <c r="BE20" s="14"/>
      <c r="BF20" s="14"/>
      <c r="BG20" s="14"/>
      <c r="BH20" s="14"/>
      <c r="BI20" s="14"/>
      <c r="BJ20" s="14"/>
      <c r="BK20" s="14"/>
      <c r="BL20" s="14"/>
      <c r="BM20" s="14"/>
      <c r="BN20" s="14"/>
      <c r="BO20" s="16"/>
      <c r="BP20" s="8"/>
    </row>
    <row r="21" ht="9" customHeight="1" hidden="1">
      <c r="A21" t="s" s="9">
        <v>137</v>
      </c>
      <c r="B21" t="s" s="10">
        <v>69</v>
      </c>
      <c r="C21" t="str" s="11" cm="1">
        <f t="array" ref="C21">_xlfn.IFERROR((VLOOKUP(A21,#REF!,2,FALSE)),"")</f>
      </c>
      <c r="D21" t="s" s="10">
        <v>70</v>
      </c>
      <c r="E21" t="s" s="10">
        <v>71</v>
      </c>
      <c r="F21" s="11"/>
      <c r="G21" t="s" s="10">
        <v>104</v>
      </c>
      <c r="H21" t="s" s="10">
        <v>104</v>
      </c>
      <c r="I21" t="s" s="10">
        <v>73</v>
      </c>
      <c r="J21" t="s" s="10">
        <v>74</v>
      </c>
      <c r="K21" t="s" s="10">
        <v>105</v>
      </c>
      <c r="L21" t="s" s="10">
        <v>76</v>
      </c>
      <c r="M21" t="s" s="10">
        <v>77</v>
      </c>
      <c r="N21" t="s" s="10">
        <v>104</v>
      </c>
      <c r="O21" t="s" s="10">
        <v>71</v>
      </c>
      <c r="P21" s="11"/>
      <c r="Q21" t="s" s="10">
        <v>78</v>
      </c>
      <c r="R21" t="s" s="10">
        <v>71</v>
      </c>
      <c r="S21" s="11"/>
      <c r="T21" s="11"/>
      <c r="U21" s="11"/>
      <c r="V21" t="s" s="10">
        <v>78</v>
      </c>
      <c r="W21" t="s" s="10">
        <v>137</v>
      </c>
      <c r="X21" t="s" s="10">
        <v>69</v>
      </c>
      <c r="Y21" s="11"/>
      <c r="Z21" t="s" s="10">
        <v>76</v>
      </c>
      <c r="AA21" s="11"/>
      <c r="AB21" t="s" s="10">
        <v>76</v>
      </c>
      <c r="AC21" s="11"/>
      <c r="AD21" s="11"/>
      <c r="AE21" s="11"/>
      <c r="AF21" s="11"/>
      <c r="AG21" s="11"/>
      <c r="AH21" t="s" s="10">
        <v>106</v>
      </c>
      <c r="AI21" t="s" s="10">
        <v>76</v>
      </c>
      <c r="AJ21" t="s" s="10">
        <v>76</v>
      </c>
      <c r="AK21" t="s" s="10">
        <v>79</v>
      </c>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2"/>
      <c r="BP21" s="8"/>
    </row>
    <row r="22" ht="9" customHeight="1" hidden="1">
      <c r="A22" t="s" s="13">
        <v>138</v>
      </c>
      <c r="B22" s="14"/>
      <c r="C22" t="str" s="14" cm="1">
        <f t="array" ref="C22">_xlfn.IFERROR((VLOOKUP(A22,#REF!,2,FALSE)),"")</f>
      </c>
      <c r="D22" t="s" s="15">
        <v>70</v>
      </c>
      <c r="E22" t="s" s="15">
        <v>71</v>
      </c>
      <c r="F22" s="14"/>
      <c r="G22" s="14"/>
      <c r="H22" s="14"/>
      <c r="I22" t="s" s="15">
        <v>73</v>
      </c>
      <c r="J22" t="s" s="15">
        <v>139</v>
      </c>
      <c r="K22" t="s" s="15">
        <v>140</v>
      </c>
      <c r="L22" t="s" s="15">
        <v>76</v>
      </c>
      <c r="M22" t="s" s="15">
        <v>77</v>
      </c>
      <c r="N22" s="14"/>
      <c r="O22" t="s" s="15">
        <v>71</v>
      </c>
      <c r="P22" s="14"/>
      <c r="Q22" t="s" s="15">
        <v>78</v>
      </c>
      <c r="R22" t="s" s="15">
        <v>71</v>
      </c>
      <c r="S22" s="14"/>
      <c r="T22" s="14"/>
      <c r="U22" s="14"/>
      <c r="V22" t="s" s="15">
        <v>78</v>
      </c>
      <c r="W22" t="s" s="15">
        <v>138</v>
      </c>
      <c r="X22" t="s" s="15">
        <v>78</v>
      </c>
      <c r="Y22" s="14"/>
      <c r="Z22" t="s" s="15">
        <v>76</v>
      </c>
      <c r="AA22" s="14"/>
      <c r="AB22" t="s" s="15">
        <v>76</v>
      </c>
      <c r="AC22" s="14"/>
      <c r="AD22" s="14"/>
      <c r="AE22" s="14"/>
      <c r="AF22" s="14"/>
      <c r="AG22" s="14"/>
      <c r="AH22" s="14"/>
      <c r="AI22" t="s" s="15">
        <v>76</v>
      </c>
      <c r="AJ22" t="s" s="15">
        <v>76</v>
      </c>
      <c r="AK22" t="s" s="15">
        <v>79</v>
      </c>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6"/>
      <c r="BP22" s="8"/>
    </row>
    <row r="23" ht="9" customHeight="1" hidden="1">
      <c r="A23" t="s" s="9">
        <v>141</v>
      </c>
      <c r="B23" s="11"/>
      <c r="C23" t="str" s="11" cm="1">
        <f t="array" ref="C23">_xlfn.IFERROR((VLOOKUP(A23,#REF!,2,FALSE)),"")</f>
      </c>
      <c r="D23" t="s" s="10">
        <v>70</v>
      </c>
      <c r="E23" t="s" s="10">
        <v>108</v>
      </c>
      <c r="F23" s="11"/>
      <c r="G23" t="s" s="10">
        <v>83</v>
      </c>
      <c r="H23" t="s" s="10">
        <v>83</v>
      </c>
      <c r="I23" t="s" s="10">
        <v>111</v>
      </c>
      <c r="J23" t="s" s="10">
        <v>122</v>
      </c>
      <c r="K23" t="s" s="10">
        <v>113</v>
      </c>
      <c r="L23" t="s" s="10">
        <v>76</v>
      </c>
      <c r="M23" t="s" s="10">
        <v>77</v>
      </c>
      <c r="N23" s="11"/>
      <c r="O23" s="11"/>
      <c r="P23" s="11"/>
      <c r="Q23" t="s" s="10">
        <v>78</v>
      </c>
      <c r="R23" t="s" s="10">
        <v>83</v>
      </c>
      <c r="S23" s="11"/>
      <c r="T23" s="11"/>
      <c r="U23" s="11"/>
      <c r="V23" t="s" s="10">
        <v>69</v>
      </c>
      <c r="W23" s="11"/>
      <c r="X23" t="s" s="10">
        <v>78</v>
      </c>
      <c r="Y23" s="11"/>
      <c r="Z23" t="s" s="10">
        <v>76</v>
      </c>
      <c r="AA23" s="11"/>
      <c r="AB23" t="s" s="10">
        <v>76</v>
      </c>
      <c r="AC23" s="11"/>
      <c r="AD23" s="11"/>
      <c r="AE23" s="11"/>
      <c r="AF23" s="11"/>
      <c r="AG23" s="11"/>
      <c r="AH23" s="11"/>
      <c r="AI23" t="s" s="10">
        <v>76</v>
      </c>
      <c r="AJ23" t="s" s="10">
        <v>76</v>
      </c>
      <c r="AK23" t="s" s="10">
        <v>79</v>
      </c>
      <c r="AL23" s="11"/>
      <c r="AM23" s="11"/>
      <c r="AN23" t="s" s="10">
        <v>142</v>
      </c>
      <c r="AO23" s="11"/>
      <c r="AP23" s="11"/>
      <c r="AQ23" s="11"/>
      <c r="AR23" s="11"/>
      <c r="AS23" t="s" s="10">
        <v>143</v>
      </c>
      <c r="AT23" s="11"/>
      <c r="AU23" s="11"/>
      <c r="AV23" s="11"/>
      <c r="AW23" s="11"/>
      <c r="AX23" s="11"/>
      <c r="AY23" s="11"/>
      <c r="AZ23" s="11"/>
      <c r="BA23" s="11"/>
      <c r="BB23" s="11"/>
      <c r="BC23" s="11"/>
      <c r="BD23" s="11"/>
      <c r="BE23" s="11"/>
      <c r="BF23" s="11"/>
      <c r="BG23" s="11"/>
      <c r="BH23" s="11"/>
      <c r="BI23" s="11"/>
      <c r="BJ23" s="11"/>
      <c r="BK23" s="11"/>
      <c r="BL23" s="11"/>
      <c r="BM23" s="11"/>
      <c r="BN23" t="s" s="10">
        <v>78</v>
      </c>
      <c r="BO23" s="12"/>
      <c r="BP23" s="8"/>
    </row>
    <row r="24" ht="9" customHeight="1" hidden="1">
      <c r="A24" t="s" s="13">
        <v>144</v>
      </c>
      <c r="B24" t="s" s="15">
        <v>69</v>
      </c>
      <c r="C24" t="str" s="14" cm="1">
        <f t="array" ref="C24">_xlfn.IFERROR((VLOOKUP(A24,#REF!,2,FALSE)),"")</f>
      </c>
      <c r="D24" t="s" s="15">
        <v>70</v>
      </c>
      <c r="E24" t="s" s="15">
        <v>71</v>
      </c>
      <c r="F24" s="14"/>
      <c r="G24" t="s" s="15">
        <v>145</v>
      </c>
      <c r="H24" t="s" s="15">
        <v>146</v>
      </c>
      <c r="I24" t="s" s="15">
        <v>73</v>
      </c>
      <c r="J24" t="s" s="15">
        <v>74</v>
      </c>
      <c r="K24" t="s" s="15">
        <v>113</v>
      </c>
      <c r="L24" t="s" s="15">
        <v>76</v>
      </c>
      <c r="M24" t="s" s="15">
        <v>77</v>
      </c>
      <c r="N24" t="s" s="15">
        <v>145</v>
      </c>
      <c r="O24" t="s" s="15">
        <v>71</v>
      </c>
      <c r="P24" s="14"/>
      <c r="Q24" t="s" s="15">
        <v>78</v>
      </c>
      <c r="R24" t="s" s="15">
        <v>71</v>
      </c>
      <c r="S24" s="14"/>
      <c r="T24" s="14"/>
      <c r="U24" s="14"/>
      <c r="V24" t="s" s="15">
        <v>78</v>
      </c>
      <c r="W24" t="s" s="15">
        <v>144</v>
      </c>
      <c r="X24" t="s" s="15">
        <v>69</v>
      </c>
      <c r="Y24" s="14"/>
      <c r="Z24" t="s" s="15">
        <v>76</v>
      </c>
      <c r="AA24" s="14"/>
      <c r="AB24" t="s" s="15">
        <v>76</v>
      </c>
      <c r="AC24" s="14"/>
      <c r="AD24" s="14"/>
      <c r="AE24" s="14"/>
      <c r="AF24" s="14"/>
      <c r="AG24" s="14"/>
      <c r="AH24" t="s" s="15">
        <v>106</v>
      </c>
      <c r="AI24" t="s" s="15">
        <v>76</v>
      </c>
      <c r="AJ24" t="s" s="15">
        <v>76</v>
      </c>
      <c r="AK24" t="s" s="15">
        <v>79</v>
      </c>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6"/>
      <c r="BP24" s="8"/>
    </row>
    <row r="25" ht="9" customHeight="1" hidden="1">
      <c r="A25" t="s" s="9">
        <v>147</v>
      </c>
      <c r="B25" t="s" s="10">
        <v>69</v>
      </c>
      <c r="C25" t="str" s="11" cm="1">
        <f t="array" ref="C25">_xlfn.IFERROR((VLOOKUP(A25,#REF!,2,FALSE)),"")</f>
      </c>
      <c r="D25" t="s" s="10">
        <v>70</v>
      </c>
      <c r="E25" t="s" s="10">
        <v>71</v>
      </c>
      <c r="F25" s="11"/>
      <c r="G25" t="s" s="10">
        <v>145</v>
      </c>
      <c r="H25" t="s" s="10">
        <v>146</v>
      </c>
      <c r="I25" t="s" s="10">
        <v>73</v>
      </c>
      <c r="J25" t="s" s="10">
        <v>74</v>
      </c>
      <c r="K25" t="s" s="10">
        <v>113</v>
      </c>
      <c r="L25" t="s" s="10">
        <v>76</v>
      </c>
      <c r="M25" t="s" s="10">
        <v>77</v>
      </c>
      <c r="N25" t="s" s="10">
        <v>145</v>
      </c>
      <c r="O25" t="s" s="10">
        <v>71</v>
      </c>
      <c r="P25" s="11"/>
      <c r="Q25" t="s" s="10">
        <v>78</v>
      </c>
      <c r="R25" t="s" s="10">
        <v>71</v>
      </c>
      <c r="S25" s="11"/>
      <c r="T25" s="11"/>
      <c r="U25" s="11"/>
      <c r="V25" t="s" s="10">
        <v>78</v>
      </c>
      <c r="W25" t="s" s="10">
        <v>147</v>
      </c>
      <c r="X25" t="s" s="10">
        <v>69</v>
      </c>
      <c r="Y25" s="11"/>
      <c r="Z25" t="s" s="10">
        <v>76</v>
      </c>
      <c r="AA25" s="11"/>
      <c r="AB25" t="s" s="10">
        <v>76</v>
      </c>
      <c r="AC25" s="11"/>
      <c r="AD25" s="11"/>
      <c r="AE25" s="11"/>
      <c r="AF25" s="11"/>
      <c r="AG25" s="11"/>
      <c r="AH25" t="s" s="10">
        <v>106</v>
      </c>
      <c r="AI25" t="s" s="10">
        <v>76</v>
      </c>
      <c r="AJ25" t="s" s="10">
        <v>76</v>
      </c>
      <c r="AK25" t="s" s="10">
        <v>79</v>
      </c>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2"/>
      <c r="BP25" s="8"/>
    </row>
    <row r="26" ht="9" customHeight="1" hidden="1">
      <c r="A26" t="s" s="13">
        <v>148</v>
      </c>
      <c r="B26" t="s" s="15">
        <v>69</v>
      </c>
      <c r="C26" t="str" s="14" cm="1">
        <f t="array" ref="C26">_xlfn.IFERROR((VLOOKUP(A26,#REF!,2,FALSE)),"")</f>
      </c>
      <c r="D26" t="s" s="15">
        <v>70</v>
      </c>
      <c r="E26" t="s" s="15">
        <v>71</v>
      </c>
      <c r="F26" s="14"/>
      <c r="G26" t="s" s="15">
        <v>145</v>
      </c>
      <c r="H26" t="s" s="15">
        <v>146</v>
      </c>
      <c r="I26" t="s" s="15">
        <v>73</v>
      </c>
      <c r="J26" t="s" s="15">
        <v>74</v>
      </c>
      <c r="K26" t="s" s="15">
        <v>113</v>
      </c>
      <c r="L26" t="s" s="15">
        <v>76</v>
      </c>
      <c r="M26" t="s" s="15">
        <v>77</v>
      </c>
      <c r="N26" t="s" s="15">
        <v>145</v>
      </c>
      <c r="O26" t="s" s="15">
        <v>71</v>
      </c>
      <c r="P26" s="14"/>
      <c r="Q26" t="s" s="15">
        <v>78</v>
      </c>
      <c r="R26" t="s" s="15">
        <v>71</v>
      </c>
      <c r="S26" s="14"/>
      <c r="T26" s="14"/>
      <c r="U26" s="14"/>
      <c r="V26" t="s" s="15">
        <v>78</v>
      </c>
      <c r="W26" t="s" s="15">
        <v>148</v>
      </c>
      <c r="X26" t="s" s="15">
        <v>69</v>
      </c>
      <c r="Y26" s="14"/>
      <c r="Z26" t="s" s="15">
        <v>76</v>
      </c>
      <c r="AA26" s="14"/>
      <c r="AB26" t="s" s="15">
        <v>76</v>
      </c>
      <c r="AC26" s="14"/>
      <c r="AD26" s="14"/>
      <c r="AE26" s="14"/>
      <c r="AF26" s="14"/>
      <c r="AG26" s="14"/>
      <c r="AH26" t="s" s="15">
        <v>106</v>
      </c>
      <c r="AI26" t="s" s="15">
        <v>76</v>
      </c>
      <c r="AJ26" t="s" s="15">
        <v>76</v>
      </c>
      <c r="AK26" t="s" s="15">
        <v>79</v>
      </c>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6"/>
      <c r="BP26" s="8"/>
    </row>
    <row r="27" ht="9" customHeight="1" hidden="1">
      <c r="A27" t="s" s="9">
        <v>149</v>
      </c>
      <c r="B27" t="s" s="10">
        <v>69</v>
      </c>
      <c r="C27" t="str" s="11" cm="1">
        <f t="array" ref="C27">_xlfn.IFERROR((VLOOKUP(A27,#REF!,2,FALSE)),"")</f>
      </c>
      <c r="D27" t="s" s="10">
        <v>70</v>
      </c>
      <c r="E27" t="s" s="10">
        <v>71</v>
      </c>
      <c r="F27" s="11"/>
      <c r="G27" t="s" s="10">
        <v>145</v>
      </c>
      <c r="H27" t="s" s="10">
        <v>146</v>
      </c>
      <c r="I27" t="s" s="10">
        <v>73</v>
      </c>
      <c r="J27" t="s" s="10">
        <v>74</v>
      </c>
      <c r="K27" t="s" s="10">
        <v>113</v>
      </c>
      <c r="L27" t="s" s="10">
        <v>76</v>
      </c>
      <c r="M27" t="s" s="10">
        <v>77</v>
      </c>
      <c r="N27" t="s" s="10">
        <v>145</v>
      </c>
      <c r="O27" t="s" s="10">
        <v>71</v>
      </c>
      <c r="P27" s="11"/>
      <c r="Q27" t="s" s="10">
        <v>78</v>
      </c>
      <c r="R27" t="s" s="10">
        <v>71</v>
      </c>
      <c r="S27" s="11"/>
      <c r="T27" s="11"/>
      <c r="U27" s="11"/>
      <c r="V27" t="s" s="10">
        <v>78</v>
      </c>
      <c r="W27" t="s" s="10">
        <v>149</v>
      </c>
      <c r="X27" t="s" s="10">
        <v>69</v>
      </c>
      <c r="Y27" s="11"/>
      <c r="Z27" t="s" s="10">
        <v>76</v>
      </c>
      <c r="AA27" s="11"/>
      <c r="AB27" t="s" s="10">
        <v>76</v>
      </c>
      <c r="AC27" s="11"/>
      <c r="AD27" s="11"/>
      <c r="AE27" s="11"/>
      <c r="AF27" s="11"/>
      <c r="AG27" s="11"/>
      <c r="AH27" t="s" s="10">
        <v>106</v>
      </c>
      <c r="AI27" t="s" s="10">
        <v>76</v>
      </c>
      <c r="AJ27" t="s" s="10">
        <v>76</v>
      </c>
      <c r="AK27" t="s" s="10">
        <v>79</v>
      </c>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2"/>
      <c r="BP27" s="8"/>
    </row>
    <row r="28" ht="9" customHeight="1" hidden="1">
      <c r="A28" t="s" s="13">
        <v>150</v>
      </c>
      <c r="B28" t="s" s="15">
        <v>69</v>
      </c>
      <c r="C28" t="str" s="14" cm="1">
        <f t="array" ref="C28">_xlfn.IFERROR((VLOOKUP(A28,#REF!,2,FALSE)),"")</f>
      </c>
      <c r="D28" t="s" s="15">
        <v>70</v>
      </c>
      <c r="E28" t="s" s="15">
        <v>71</v>
      </c>
      <c r="F28" s="14"/>
      <c r="G28" t="s" s="15">
        <v>145</v>
      </c>
      <c r="H28" t="s" s="15">
        <v>146</v>
      </c>
      <c r="I28" t="s" s="15">
        <v>73</v>
      </c>
      <c r="J28" t="s" s="15">
        <v>74</v>
      </c>
      <c r="K28" t="s" s="15">
        <v>113</v>
      </c>
      <c r="L28" t="s" s="15">
        <v>76</v>
      </c>
      <c r="M28" t="s" s="15">
        <v>77</v>
      </c>
      <c r="N28" t="s" s="15">
        <v>145</v>
      </c>
      <c r="O28" t="s" s="15">
        <v>71</v>
      </c>
      <c r="P28" s="14"/>
      <c r="Q28" t="s" s="15">
        <v>78</v>
      </c>
      <c r="R28" t="s" s="15">
        <v>71</v>
      </c>
      <c r="S28" s="14"/>
      <c r="T28" s="14"/>
      <c r="U28" s="14"/>
      <c r="V28" t="s" s="15">
        <v>78</v>
      </c>
      <c r="W28" t="s" s="15">
        <v>150</v>
      </c>
      <c r="X28" t="s" s="15">
        <v>69</v>
      </c>
      <c r="Y28" s="14"/>
      <c r="Z28" t="s" s="15">
        <v>76</v>
      </c>
      <c r="AA28" s="14"/>
      <c r="AB28" t="s" s="15">
        <v>76</v>
      </c>
      <c r="AC28" s="14"/>
      <c r="AD28" s="14"/>
      <c r="AE28" s="14"/>
      <c r="AF28" s="14"/>
      <c r="AG28" s="14"/>
      <c r="AH28" t="s" s="15">
        <v>106</v>
      </c>
      <c r="AI28" t="s" s="15">
        <v>76</v>
      </c>
      <c r="AJ28" t="s" s="15">
        <v>76</v>
      </c>
      <c r="AK28" t="s" s="15">
        <v>79</v>
      </c>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6"/>
      <c r="BP28" s="8"/>
    </row>
    <row r="29" ht="9" customHeight="1" hidden="1">
      <c r="A29" t="s" s="9">
        <v>151</v>
      </c>
      <c r="B29" t="s" s="10">
        <v>69</v>
      </c>
      <c r="C29" t="str" s="11" cm="1">
        <f t="array" ref="C29">_xlfn.IFERROR((VLOOKUP(A29,#REF!,2,FALSE)),"")</f>
      </c>
      <c r="D29" t="s" s="10">
        <v>70</v>
      </c>
      <c r="E29" t="s" s="10">
        <v>71</v>
      </c>
      <c r="F29" s="11"/>
      <c r="G29" t="s" s="10">
        <v>145</v>
      </c>
      <c r="H29" t="s" s="10">
        <v>146</v>
      </c>
      <c r="I29" t="s" s="10">
        <v>73</v>
      </c>
      <c r="J29" t="s" s="10">
        <v>74</v>
      </c>
      <c r="K29" t="s" s="10">
        <v>113</v>
      </c>
      <c r="L29" t="s" s="10">
        <v>76</v>
      </c>
      <c r="M29" t="s" s="10">
        <v>77</v>
      </c>
      <c r="N29" t="s" s="10">
        <v>145</v>
      </c>
      <c r="O29" t="s" s="10">
        <v>71</v>
      </c>
      <c r="P29" s="11"/>
      <c r="Q29" t="s" s="10">
        <v>78</v>
      </c>
      <c r="R29" t="s" s="10">
        <v>71</v>
      </c>
      <c r="S29" s="11"/>
      <c r="T29" s="11"/>
      <c r="U29" s="11"/>
      <c r="V29" t="s" s="10">
        <v>78</v>
      </c>
      <c r="W29" t="s" s="10">
        <v>151</v>
      </c>
      <c r="X29" t="s" s="10">
        <v>69</v>
      </c>
      <c r="Y29" s="11"/>
      <c r="Z29" t="s" s="10">
        <v>76</v>
      </c>
      <c r="AA29" s="11"/>
      <c r="AB29" t="s" s="10">
        <v>76</v>
      </c>
      <c r="AC29" s="11"/>
      <c r="AD29" s="11"/>
      <c r="AE29" s="11"/>
      <c r="AF29" s="11"/>
      <c r="AG29" s="11"/>
      <c r="AH29" t="s" s="10">
        <v>106</v>
      </c>
      <c r="AI29" t="s" s="10">
        <v>76</v>
      </c>
      <c r="AJ29" t="s" s="10">
        <v>76</v>
      </c>
      <c r="AK29" t="s" s="10">
        <v>79</v>
      </c>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2"/>
      <c r="BP29" s="8"/>
    </row>
    <row r="30" ht="9" customHeight="1" hidden="1">
      <c r="A30" t="s" s="13">
        <v>152</v>
      </c>
      <c r="B30" t="s" s="15">
        <v>69</v>
      </c>
      <c r="C30" t="str" s="14" cm="1">
        <f t="array" ref="C30">_xlfn.IFERROR((VLOOKUP(A30,#REF!,2,FALSE)),"")</f>
      </c>
      <c r="D30" t="s" s="15">
        <v>70</v>
      </c>
      <c r="E30" t="s" s="15">
        <v>71</v>
      </c>
      <c r="F30" s="14"/>
      <c r="G30" t="s" s="15">
        <v>145</v>
      </c>
      <c r="H30" t="s" s="15">
        <v>146</v>
      </c>
      <c r="I30" t="s" s="15">
        <v>73</v>
      </c>
      <c r="J30" t="s" s="15">
        <v>74</v>
      </c>
      <c r="K30" t="s" s="15">
        <v>113</v>
      </c>
      <c r="L30" t="s" s="15">
        <v>76</v>
      </c>
      <c r="M30" t="s" s="15">
        <v>77</v>
      </c>
      <c r="N30" t="s" s="15">
        <v>145</v>
      </c>
      <c r="O30" t="s" s="15">
        <v>71</v>
      </c>
      <c r="P30" s="14"/>
      <c r="Q30" t="s" s="15">
        <v>78</v>
      </c>
      <c r="R30" t="s" s="15">
        <v>71</v>
      </c>
      <c r="S30" s="14"/>
      <c r="T30" s="14"/>
      <c r="U30" s="14"/>
      <c r="V30" t="s" s="15">
        <v>78</v>
      </c>
      <c r="W30" t="s" s="15">
        <v>152</v>
      </c>
      <c r="X30" t="s" s="15">
        <v>69</v>
      </c>
      <c r="Y30" s="14"/>
      <c r="Z30" t="s" s="15">
        <v>76</v>
      </c>
      <c r="AA30" s="14"/>
      <c r="AB30" t="s" s="15">
        <v>76</v>
      </c>
      <c r="AC30" s="14"/>
      <c r="AD30" s="14"/>
      <c r="AE30" s="14"/>
      <c r="AF30" s="14"/>
      <c r="AG30" s="14"/>
      <c r="AH30" t="s" s="15">
        <v>106</v>
      </c>
      <c r="AI30" t="s" s="15">
        <v>76</v>
      </c>
      <c r="AJ30" t="s" s="15">
        <v>76</v>
      </c>
      <c r="AK30" t="s" s="15">
        <v>79</v>
      </c>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6"/>
      <c r="BP30" s="8"/>
    </row>
    <row r="31" ht="9" customHeight="1" hidden="1">
      <c r="A31" t="s" s="9">
        <v>153</v>
      </c>
      <c r="B31" t="s" s="10">
        <v>69</v>
      </c>
      <c r="C31" t="str" s="11" cm="1">
        <f t="array" ref="C31">_xlfn.IFERROR((VLOOKUP(A31,#REF!,2,FALSE)),"")</f>
      </c>
      <c r="D31" t="s" s="10">
        <v>70</v>
      </c>
      <c r="E31" t="s" s="10">
        <v>71</v>
      </c>
      <c r="F31" s="11"/>
      <c r="G31" t="s" s="10">
        <v>145</v>
      </c>
      <c r="H31" t="s" s="10">
        <v>146</v>
      </c>
      <c r="I31" t="s" s="10">
        <v>73</v>
      </c>
      <c r="J31" t="s" s="10">
        <v>74</v>
      </c>
      <c r="K31" t="s" s="10">
        <v>113</v>
      </c>
      <c r="L31" t="s" s="10">
        <v>76</v>
      </c>
      <c r="M31" t="s" s="10">
        <v>77</v>
      </c>
      <c r="N31" t="s" s="10">
        <v>145</v>
      </c>
      <c r="O31" t="s" s="10">
        <v>71</v>
      </c>
      <c r="P31" s="11"/>
      <c r="Q31" t="s" s="10">
        <v>78</v>
      </c>
      <c r="R31" t="s" s="10">
        <v>71</v>
      </c>
      <c r="S31" s="11"/>
      <c r="T31" s="11"/>
      <c r="U31" s="11"/>
      <c r="V31" t="s" s="10">
        <v>78</v>
      </c>
      <c r="W31" t="s" s="10">
        <v>153</v>
      </c>
      <c r="X31" t="s" s="10">
        <v>69</v>
      </c>
      <c r="Y31" s="11"/>
      <c r="Z31" t="s" s="10">
        <v>76</v>
      </c>
      <c r="AA31" s="11"/>
      <c r="AB31" t="s" s="10">
        <v>76</v>
      </c>
      <c r="AC31" s="11"/>
      <c r="AD31" s="11"/>
      <c r="AE31" s="11"/>
      <c r="AF31" s="11"/>
      <c r="AG31" s="11"/>
      <c r="AH31" t="s" s="10">
        <v>106</v>
      </c>
      <c r="AI31" t="s" s="10">
        <v>76</v>
      </c>
      <c r="AJ31" t="s" s="10">
        <v>76</v>
      </c>
      <c r="AK31" t="s" s="10">
        <v>79</v>
      </c>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2"/>
      <c r="BP31" s="8"/>
    </row>
    <row r="32" ht="9" customHeight="1" hidden="1">
      <c r="A32" t="s" s="13">
        <v>154</v>
      </c>
      <c r="B32" t="s" s="15">
        <v>69</v>
      </c>
      <c r="C32" t="str" s="14" cm="1">
        <f t="array" ref="C32">_xlfn.IFERROR((VLOOKUP(A32,#REF!,2,FALSE)),"")</f>
      </c>
      <c r="D32" t="s" s="15">
        <v>70</v>
      </c>
      <c r="E32" t="s" s="15">
        <v>71</v>
      </c>
      <c r="F32" s="14"/>
      <c r="G32" t="s" s="15">
        <v>145</v>
      </c>
      <c r="H32" t="s" s="15">
        <v>146</v>
      </c>
      <c r="I32" t="s" s="15">
        <v>73</v>
      </c>
      <c r="J32" t="s" s="15">
        <v>74</v>
      </c>
      <c r="K32" t="s" s="15">
        <v>113</v>
      </c>
      <c r="L32" t="s" s="15">
        <v>76</v>
      </c>
      <c r="M32" t="s" s="15">
        <v>77</v>
      </c>
      <c r="N32" t="s" s="15">
        <v>145</v>
      </c>
      <c r="O32" t="s" s="15">
        <v>71</v>
      </c>
      <c r="P32" s="14"/>
      <c r="Q32" t="s" s="15">
        <v>78</v>
      </c>
      <c r="R32" t="s" s="15">
        <v>71</v>
      </c>
      <c r="S32" s="14"/>
      <c r="T32" s="14"/>
      <c r="U32" s="14"/>
      <c r="V32" t="s" s="15">
        <v>78</v>
      </c>
      <c r="W32" t="s" s="15">
        <v>154</v>
      </c>
      <c r="X32" t="s" s="15">
        <v>69</v>
      </c>
      <c r="Y32" s="14"/>
      <c r="Z32" t="s" s="15">
        <v>76</v>
      </c>
      <c r="AA32" s="14"/>
      <c r="AB32" t="s" s="15">
        <v>76</v>
      </c>
      <c r="AC32" s="14"/>
      <c r="AD32" s="14"/>
      <c r="AE32" s="14"/>
      <c r="AF32" s="14"/>
      <c r="AG32" s="14"/>
      <c r="AH32" t="s" s="15">
        <v>106</v>
      </c>
      <c r="AI32" t="s" s="15">
        <v>76</v>
      </c>
      <c r="AJ32" t="s" s="15">
        <v>76</v>
      </c>
      <c r="AK32" t="s" s="15">
        <v>79</v>
      </c>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6"/>
      <c r="BP32" s="8"/>
    </row>
    <row r="33" ht="9" customHeight="1" hidden="1">
      <c r="A33" t="s" s="9">
        <v>155</v>
      </c>
      <c r="B33" t="s" s="10">
        <v>69</v>
      </c>
      <c r="C33" t="str" s="11" cm="1">
        <f t="array" ref="C33">_xlfn.IFERROR((VLOOKUP(A33,#REF!,2,FALSE)),"")</f>
      </c>
      <c r="D33" t="s" s="10">
        <v>70</v>
      </c>
      <c r="E33" t="s" s="10">
        <v>71</v>
      </c>
      <c r="F33" s="11"/>
      <c r="G33" t="s" s="10">
        <v>145</v>
      </c>
      <c r="H33" t="s" s="10">
        <v>146</v>
      </c>
      <c r="I33" t="s" s="10">
        <v>73</v>
      </c>
      <c r="J33" t="s" s="10">
        <v>74</v>
      </c>
      <c r="K33" t="s" s="10">
        <v>113</v>
      </c>
      <c r="L33" t="s" s="10">
        <v>76</v>
      </c>
      <c r="M33" t="s" s="10">
        <v>77</v>
      </c>
      <c r="N33" t="s" s="10">
        <v>145</v>
      </c>
      <c r="O33" t="s" s="10">
        <v>71</v>
      </c>
      <c r="P33" s="11"/>
      <c r="Q33" t="s" s="10">
        <v>78</v>
      </c>
      <c r="R33" t="s" s="10">
        <v>71</v>
      </c>
      <c r="S33" s="11"/>
      <c r="T33" s="11"/>
      <c r="U33" s="11"/>
      <c r="V33" t="s" s="10">
        <v>78</v>
      </c>
      <c r="W33" t="s" s="10">
        <v>155</v>
      </c>
      <c r="X33" t="s" s="10">
        <v>69</v>
      </c>
      <c r="Y33" s="11"/>
      <c r="Z33" t="s" s="10">
        <v>76</v>
      </c>
      <c r="AA33" s="11"/>
      <c r="AB33" t="s" s="10">
        <v>76</v>
      </c>
      <c r="AC33" s="11"/>
      <c r="AD33" s="11"/>
      <c r="AE33" s="11"/>
      <c r="AF33" s="11"/>
      <c r="AG33" s="11"/>
      <c r="AH33" t="s" s="10">
        <v>106</v>
      </c>
      <c r="AI33" t="s" s="10">
        <v>76</v>
      </c>
      <c r="AJ33" t="s" s="10">
        <v>76</v>
      </c>
      <c r="AK33" t="s" s="10">
        <v>79</v>
      </c>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2"/>
      <c r="BP33" s="8"/>
    </row>
    <row r="34" ht="9" customHeight="1" hidden="1">
      <c r="A34" t="s" s="13">
        <v>156</v>
      </c>
      <c r="B34" t="s" s="15">
        <v>69</v>
      </c>
      <c r="C34" t="str" s="14" cm="1">
        <f t="array" ref="C34">_xlfn.IFERROR((VLOOKUP(A34,#REF!,2,FALSE)),"")</f>
      </c>
      <c r="D34" t="s" s="15">
        <v>70</v>
      </c>
      <c r="E34" t="s" s="15">
        <v>71</v>
      </c>
      <c r="F34" s="14"/>
      <c r="G34" t="s" s="15">
        <v>145</v>
      </c>
      <c r="H34" t="s" s="15">
        <v>146</v>
      </c>
      <c r="I34" t="s" s="15">
        <v>73</v>
      </c>
      <c r="J34" t="s" s="15">
        <v>74</v>
      </c>
      <c r="K34" t="s" s="15">
        <v>113</v>
      </c>
      <c r="L34" t="s" s="15">
        <v>76</v>
      </c>
      <c r="M34" t="s" s="15">
        <v>77</v>
      </c>
      <c r="N34" t="s" s="15">
        <v>145</v>
      </c>
      <c r="O34" t="s" s="15">
        <v>71</v>
      </c>
      <c r="P34" s="14"/>
      <c r="Q34" t="s" s="15">
        <v>78</v>
      </c>
      <c r="R34" t="s" s="15">
        <v>71</v>
      </c>
      <c r="S34" s="14"/>
      <c r="T34" s="14"/>
      <c r="U34" s="14"/>
      <c r="V34" t="s" s="15">
        <v>78</v>
      </c>
      <c r="W34" t="s" s="15">
        <v>156</v>
      </c>
      <c r="X34" t="s" s="15">
        <v>69</v>
      </c>
      <c r="Y34" s="14"/>
      <c r="Z34" t="s" s="15">
        <v>76</v>
      </c>
      <c r="AA34" s="14"/>
      <c r="AB34" t="s" s="15">
        <v>76</v>
      </c>
      <c r="AC34" s="14"/>
      <c r="AD34" s="14"/>
      <c r="AE34" s="14"/>
      <c r="AF34" s="14"/>
      <c r="AG34" s="14"/>
      <c r="AH34" t="s" s="15">
        <v>106</v>
      </c>
      <c r="AI34" t="s" s="15">
        <v>76</v>
      </c>
      <c r="AJ34" t="s" s="15">
        <v>76</v>
      </c>
      <c r="AK34" t="s" s="15">
        <v>79</v>
      </c>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6"/>
      <c r="BP34" s="8"/>
    </row>
    <row r="35" ht="9" customHeight="1" hidden="1">
      <c r="A35" t="s" s="9">
        <v>157</v>
      </c>
      <c r="B35" s="11"/>
      <c r="C35" t="str" s="11" cm="1">
        <f t="array" ref="C35">_xlfn.IFERROR((VLOOKUP(A35,#REF!,2,FALSE)),"")</f>
      </c>
      <c r="D35" t="s" s="10">
        <v>70</v>
      </c>
      <c r="E35" t="s" s="10">
        <v>126</v>
      </c>
      <c r="F35" s="11"/>
      <c r="G35" s="11"/>
      <c r="H35" s="11"/>
      <c r="I35" t="s" s="10">
        <v>111</v>
      </c>
      <c r="J35" t="s" s="10">
        <v>122</v>
      </c>
      <c r="K35" t="s" s="10">
        <v>127</v>
      </c>
      <c r="L35" t="s" s="10">
        <v>76</v>
      </c>
      <c r="M35" t="s" s="10">
        <v>77</v>
      </c>
      <c r="N35" s="11"/>
      <c r="O35" s="11"/>
      <c r="P35" s="11"/>
      <c r="Q35" t="s" s="10">
        <v>69</v>
      </c>
      <c r="R35" t="s" s="10">
        <v>83</v>
      </c>
      <c r="S35" s="11"/>
      <c r="T35" s="11"/>
      <c r="U35" s="11"/>
      <c r="V35" t="s" s="10">
        <v>69</v>
      </c>
      <c r="W35" s="11"/>
      <c r="X35" t="s" s="10">
        <v>78</v>
      </c>
      <c r="Y35" s="11"/>
      <c r="Z35" t="s" s="10">
        <v>76</v>
      </c>
      <c r="AA35" s="11"/>
      <c r="AB35" t="s" s="10">
        <v>76</v>
      </c>
      <c r="AC35" t="s" s="10">
        <v>157</v>
      </c>
      <c r="AD35" s="11"/>
      <c r="AE35" s="11"/>
      <c r="AF35" s="11"/>
      <c r="AG35" s="11"/>
      <c r="AH35" s="11"/>
      <c r="AI35" t="s" s="10">
        <v>76</v>
      </c>
      <c r="AJ35" t="s" s="10">
        <v>76</v>
      </c>
      <c r="AK35" t="s" s="10">
        <v>79</v>
      </c>
      <c r="AL35" s="11"/>
      <c r="AM35" s="11"/>
      <c r="AN35" t="s" s="10">
        <v>128</v>
      </c>
      <c r="AO35" s="11"/>
      <c r="AP35" s="11"/>
      <c r="AQ35" s="11"/>
      <c r="AR35" s="11"/>
      <c r="AS35" t="s" s="10">
        <v>158</v>
      </c>
      <c r="AT35" s="11"/>
      <c r="AU35" s="11"/>
      <c r="AV35" s="11"/>
      <c r="AW35" s="11"/>
      <c r="AX35" s="11"/>
      <c r="AY35" s="11"/>
      <c r="AZ35" s="11"/>
      <c r="BA35" s="11"/>
      <c r="BB35" s="11"/>
      <c r="BC35" s="11"/>
      <c r="BD35" s="11"/>
      <c r="BE35" s="11"/>
      <c r="BF35" s="11"/>
      <c r="BG35" s="11"/>
      <c r="BH35" s="11"/>
      <c r="BI35" s="11"/>
      <c r="BJ35" s="11"/>
      <c r="BK35" s="11"/>
      <c r="BL35" s="11"/>
      <c r="BM35" s="11"/>
      <c r="BN35" s="11"/>
      <c r="BO35" s="12"/>
      <c r="BP35" s="8"/>
    </row>
    <row r="36" ht="9" customHeight="1" hidden="1">
      <c r="A36" t="s" s="13">
        <v>159</v>
      </c>
      <c r="B36" t="s" s="15">
        <v>69</v>
      </c>
      <c r="C36" t="str" s="14" cm="1">
        <f t="array" ref="C36">_xlfn.IFERROR((VLOOKUP(A36,#REF!,2,FALSE)),"")</f>
      </c>
      <c r="D36" t="s" s="15">
        <v>70</v>
      </c>
      <c r="E36" t="s" s="15">
        <v>71</v>
      </c>
      <c r="F36" s="14"/>
      <c r="G36" t="s" s="15">
        <v>160</v>
      </c>
      <c r="H36" t="s" s="15">
        <v>98</v>
      </c>
      <c r="I36" t="s" s="15">
        <v>73</v>
      </c>
      <c r="J36" t="s" s="15">
        <v>74</v>
      </c>
      <c r="K36" t="s" s="15">
        <v>75</v>
      </c>
      <c r="L36" t="s" s="15">
        <v>76</v>
      </c>
      <c r="M36" t="s" s="15">
        <v>77</v>
      </c>
      <c r="N36" t="s" s="15">
        <v>160</v>
      </c>
      <c r="O36" t="s" s="15">
        <v>71</v>
      </c>
      <c r="P36" s="14"/>
      <c r="Q36" t="s" s="15">
        <v>78</v>
      </c>
      <c r="R36" t="s" s="15">
        <v>71</v>
      </c>
      <c r="S36" s="14"/>
      <c r="T36" s="14"/>
      <c r="U36" s="14"/>
      <c r="V36" t="s" s="15">
        <v>78</v>
      </c>
      <c r="W36" t="s" s="15">
        <v>159</v>
      </c>
      <c r="X36" t="s" s="15">
        <v>69</v>
      </c>
      <c r="Y36" s="14"/>
      <c r="Z36" t="s" s="15">
        <v>76</v>
      </c>
      <c r="AA36" s="14"/>
      <c r="AB36" t="s" s="15">
        <v>76</v>
      </c>
      <c r="AC36" s="14"/>
      <c r="AD36" s="14"/>
      <c r="AE36" s="14"/>
      <c r="AF36" s="14"/>
      <c r="AG36" s="14"/>
      <c r="AH36" s="14"/>
      <c r="AI36" t="s" s="15">
        <v>76</v>
      </c>
      <c r="AJ36" t="s" s="15">
        <v>76</v>
      </c>
      <c r="AK36" t="s" s="15">
        <v>79</v>
      </c>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6"/>
      <c r="BP36" s="8"/>
    </row>
    <row r="37" ht="9" customHeight="1" hidden="1">
      <c r="A37" t="s" s="9">
        <v>161</v>
      </c>
      <c r="B37" t="s" s="10">
        <v>69</v>
      </c>
      <c r="C37" t="str" s="11" cm="1">
        <f t="array" ref="C37">_xlfn.IFERROR((VLOOKUP(A37,#REF!,2,FALSE)),"")</f>
      </c>
      <c r="D37" t="s" s="10">
        <v>70</v>
      </c>
      <c r="E37" t="s" s="10">
        <v>71</v>
      </c>
      <c r="F37" s="11"/>
      <c r="G37" t="s" s="10">
        <v>160</v>
      </c>
      <c r="H37" t="s" s="10">
        <v>98</v>
      </c>
      <c r="I37" t="s" s="10">
        <v>73</v>
      </c>
      <c r="J37" t="s" s="10">
        <v>74</v>
      </c>
      <c r="K37" t="s" s="10">
        <v>75</v>
      </c>
      <c r="L37" t="s" s="10">
        <v>76</v>
      </c>
      <c r="M37" t="s" s="10">
        <v>77</v>
      </c>
      <c r="N37" t="s" s="10">
        <v>160</v>
      </c>
      <c r="O37" t="s" s="10">
        <v>71</v>
      </c>
      <c r="P37" s="11"/>
      <c r="Q37" t="s" s="10">
        <v>78</v>
      </c>
      <c r="R37" t="s" s="10">
        <v>71</v>
      </c>
      <c r="S37" s="11"/>
      <c r="T37" s="11"/>
      <c r="U37" s="11"/>
      <c r="V37" t="s" s="10">
        <v>78</v>
      </c>
      <c r="W37" t="s" s="10">
        <v>161</v>
      </c>
      <c r="X37" t="s" s="10">
        <v>69</v>
      </c>
      <c r="Y37" s="11"/>
      <c r="Z37" t="s" s="10">
        <v>76</v>
      </c>
      <c r="AA37" s="11"/>
      <c r="AB37" t="s" s="10">
        <v>76</v>
      </c>
      <c r="AC37" s="11"/>
      <c r="AD37" s="11"/>
      <c r="AE37" s="11"/>
      <c r="AF37" s="11"/>
      <c r="AG37" s="11"/>
      <c r="AH37" s="11"/>
      <c r="AI37" t="s" s="10">
        <v>76</v>
      </c>
      <c r="AJ37" t="s" s="10">
        <v>76</v>
      </c>
      <c r="AK37" t="s" s="10">
        <v>79</v>
      </c>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2"/>
      <c r="BP37" s="8"/>
    </row>
    <row r="38" ht="9" customHeight="1" hidden="1">
      <c r="A38" t="s" s="13">
        <v>162</v>
      </c>
      <c r="B38" t="s" s="15">
        <v>69</v>
      </c>
      <c r="C38" t="str" s="14" cm="1">
        <f t="array" ref="C38">_xlfn.IFERROR((VLOOKUP(A38,#REF!,2,FALSE)),"")</f>
      </c>
      <c r="D38" t="s" s="15">
        <v>70</v>
      </c>
      <c r="E38" t="s" s="15">
        <v>71</v>
      </c>
      <c r="F38" s="14"/>
      <c r="G38" t="s" s="15">
        <v>160</v>
      </c>
      <c r="H38" t="s" s="15">
        <v>98</v>
      </c>
      <c r="I38" t="s" s="15">
        <v>73</v>
      </c>
      <c r="J38" t="s" s="15">
        <v>74</v>
      </c>
      <c r="K38" t="s" s="15">
        <v>75</v>
      </c>
      <c r="L38" t="s" s="15">
        <v>76</v>
      </c>
      <c r="M38" t="s" s="15">
        <v>77</v>
      </c>
      <c r="N38" t="s" s="15">
        <v>160</v>
      </c>
      <c r="O38" t="s" s="15">
        <v>71</v>
      </c>
      <c r="P38" s="14"/>
      <c r="Q38" t="s" s="15">
        <v>78</v>
      </c>
      <c r="R38" t="s" s="15">
        <v>71</v>
      </c>
      <c r="S38" s="14"/>
      <c r="T38" s="14"/>
      <c r="U38" s="14"/>
      <c r="V38" t="s" s="15">
        <v>78</v>
      </c>
      <c r="W38" t="s" s="15">
        <v>162</v>
      </c>
      <c r="X38" t="s" s="15">
        <v>69</v>
      </c>
      <c r="Y38" s="14"/>
      <c r="Z38" t="s" s="15">
        <v>76</v>
      </c>
      <c r="AA38" s="14"/>
      <c r="AB38" t="s" s="15">
        <v>76</v>
      </c>
      <c r="AC38" s="14"/>
      <c r="AD38" s="14"/>
      <c r="AE38" s="14"/>
      <c r="AF38" s="14"/>
      <c r="AG38" s="14"/>
      <c r="AH38" s="14"/>
      <c r="AI38" t="s" s="15">
        <v>76</v>
      </c>
      <c r="AJ38" t="s" s="15">
        <v>76</v>
      </c>
      <c r="AK38" t="s" s="15">
        <v>79</v>
      </c>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6"/>
      <c r="BP38" s="8"/>
    </row>
    <row r="39" ht="9" customHeight="1" hidden="1">
      <c r="A39" t="s" s="9">
        <v>163</v>
      </c>
      <c r="B39" t="s" s="10">
        <v>69</v>
      </c>
      <c r="C39" t="str" s="11" cm="1">
        <f t="array" ref="C39">_xlfn.IFERROR((VLOOKUP(A39,#REF!,2,FALSE)),"")</f>
      </c>
      <c r="D39" t="s" s="10">
        <v>70</v>
      </c>
      <c r="E39" t="s" s="10">
        <v>71</v>
      </c>
      <c r="F39" s="11"/>
      <c r="G39" t="s" s="10">
        <v>160</v>
      </c>
      <c r="H39" t="s" s="10">
        <v>98</v>
      </c>
      <c r="I39" t="s" s="10">
        <v>73</v>
      </c>
      <c r="J39" t="s" s="10">
        <v>74</v>
      </c>
      <c r="K39" t="s" s="10">
        <v>75</v>
      </c>
      <c r="L39" t="s" s="10">
        <v>76</v>
      </c>
      <c r="M39" t="s" s="10">
        <v>77</v>
      </c>
      <c r="N39" t="s" s="10">
        <v>160</v>
      </c>
      <c r="O39" t="s" s="10">
        <v>71</v>
      </c>
      <c r="P39" s="11"/>
      <c r="Q39" t="s" s="10">
        <v>78</v>
      </c>
      <c r="R39" t="s" s="10">
        <v>71</v>
      </c>
      <c r="S39" s="11"/>
      <c r="T39" s="11"/>
      <c r="U39" s="11"/>
      <c r="V39" t="s" s="10">
        <v>78</v>
      </c>
      <c r="W39" t="s" s="10">
        <v>163</v>
      </c>
      <c r="X39" t="s" s="10">
        <v>69</v>
      </c>
      <c r="Y39" s="11"/>
      <c r="Z39" t="s" s="10">
        <v>76</v>
      </c>
      <c r="AA39" s="11"/>
      <c r="AB39" t="s" s="10">
        <v>76</v>
      </c>
      <c r="AC39" s="11"/>
      <c r="AD39" s="11"/>
      <c r="AE39" s="11"/>
      <c r="AF39" s="11"/>
      <c r="AG39" s="11"/>
      <c r="AH39" s="11"/>
      <c r="AI39" t="s" s="10">
        <v>76</v>
      </c>
      <c r="AJ39" t="s" s="10">
        <v>76</v>
      </c>
      <c r="AK39" t="s" s="10">
        <v>79</v>
      </c>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2"/>
      <c r="BP39" s="8"/>
    </row>
    <row r="40" ht="9" customHeight="1" hidden="1">
      <c r="A40" t="s" s="13">
        <v>164</v>
      </c>
      <c r="B40" t="s" s="15">
        <v>69</v>
      </c>
      <c r="C40" t="str" s="14" cm="1">
        <f t="array" ref="C40">_xlfn.IFERROR((VLOOKUP(A40,#REF!,2,FALSE)),"")</f>
      </c>
      <c r="D40" t="s" s="15">
        <v>70</v>
      </c>
      <c r="E40" t="s" s="15">
        <v>71</v>
      </c>
      <c r="F40" s="14"/>
      <c r="G40" t="s" s="15">
        <v>160</v>
      </c>
      <c r="H40" t="s" s="15">
        <v>98</v>
      </c>
      <c r="I40" t="s" s="15">
        <v>73</v>
      </c>
      <c r="J40" t="s" s="15">
        <v>74</v>
      </c>
      <c r="K40" t="s" s="15">
        <v>75</v>
      </c>
      <c r="L40" t="s" s="15">
        <v>76</v>
      </c>
      <c r="M40" t="s" s="15">
        <v>77</v>
      </c>
      <c r="N40" t="s" s="15">
        <v>160</v>
      </c>
      <c r="O40" t="s" s="15">
        <v>71</v>
      </c>
      <c r="P40" s="14"/>
      <c r="Q40" t="s" s="15">
        <v>78</v>
      </c>
      <c r="R40" t="s" s="15">
        <v>71</v>
      </c>
      <c r="S40" s="14"/>
      <c r="T40" s="14"/>
      <c r="U40" s="14"/>
      <c r="V40" t="s" s="15">
        <v>78</v>
      </c>
      <c r="W40" t="s" s="15">
        <v>164</v>
      </c>
      <c r="X40" t="s" s="15">
        <v>69</v>
      </c>
      <c r="Y40" s="14"/>
      <c r="Z40" t="s" s="15">
        <v>76</v>
      </c>
      <c r="AA40" s="14"/>
      <c r="AB40" t="s" s="15">
        <v>76</v>
      </c>
      <c r="AC40" s="14"/>
      <c r="AD40" s="14"/>
      <c r="AE40" s="14"/>
      <c r="AF40" s="14"/>
      <c r="AG40" s="14"/>
      <c r="AH40" s="14"/>
      <c r="AI40" t="s" s="15">
        <v>76</v>
      </c>
      <c r="AJ40" t="s" s="15">
        <v>76</v>
      </c>
      <c r="AK40" t="s" s="15">
        <v>79</v>
      </c>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6"/>
      <c r="BP40" s="8"/>
    </row>
    <row r="41" ht="9" customHeight="1" hidden="1">
      <c r="A41" t="s" s="9">
        <v>165</v>
      </c>
      <c r="B41" t="s" s="10">
        <v>69</v>
      </c>
      <c r="C41" t="str" s="11" cm="1">
        <f t="array" ref="C41">_xlfn.IFERROR((VLOOKUP(A41,#REF!,2,FALSE)),"")</f>
      </c>
      <c r="D41" t="s" s="10">
        <v>70</v>
      </c>
      <c r="E41" t="s" s="10">
        <v>71</v>
      </c>
      <c r="F41" s="11"/>
      <c r="G41" t="s" s="10">
        <v>160</v>
      </c>
      <c r="H41" t="s" s="10">
        <v>98</v>
      </c>
      <c r="I41" t="s" s="10">
        <v>73</v>
      </c>
      <c r="J41" t="s" s="10">
        <v>74</v>
      </c>
      <c r="K41" t="s" s="10">
        <v>75</v>
      </c>
      <c r="L41" t="s" s="10">
        <v>76</v>
      </c>
      <c r="M41" t="s" s="10">
        <v>77</v>
      </c>
      <c r="N41" t="s" s="10">
        <v>160</v>
      </c>
      <c r="O41" t="s" s="10">
        <v>71</v>
      </c>
      <c r="P41" s="11"/>
      <c r="Q41" t="s" s="10">
        <v>78</v>
      </c>
      <c r="R41" t="s" s="10">
        <v>71</v>
      </c>
      <c r="S41" s="11"/>
      <c r="T41" s="11"/>
      <c r="U41" s="11"/>
      <c r="V41" t="s" s="10">
        <v>78</v>
      </c>
      <c r="W41" t="s" s="10">
        <v>165</v>
      </c>
      <c r="X41" t="s" s="10">
        <v>69</v>
      </c>
      <c r="Y41" s="11"/>
      <c r="Z41" t="s" s="10">
        <v>76</v>
      </c>
      <c r="AA41" s="11"/>
      <c r="AB41" t="s" s="10">
        <v>76</v>
      </c>
      <c r="AC41" s="11"/>
      <c r="AD41" s="11"/>
      <c r="AE41" s="11"/>
      <c r="AF41" s="11"/>
      <c r="AG41" s="11"/>
      <c r="AH41" s="11"/>
      <c r="AI41" t="s" s="10">
        <v>76</v>
      </c>
      <c r="AJ41" t="s" s="10">
        <v>76</v>
      </c>
      <c r="AK41" t="s" s="10">
        <v>79</v>
      </c>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2"/>
      <c r="BP41" s="8"/>
    </row>
    <row r="42" ht="9" customHeight="1" hidden="1">
      <c r="A42" t="s" s="13">
        <v>166</v>
      </c>
      <c r="B42" t="s" s="15">
        <v>69</v>
      </c>
      <c r="C42" t="str" s="14" cm="1">
        <f t="array" ref="C42">_xlfn.IFERROR((VLOOKUP(A42,#REF!,2,FALSE)),"")</f>
      </c>
      <c r="D42" t="s" s="15">
        <v>70</v>
      </c>
      <c r="E42" t="s" s="15">
        <v>71</v>
      </c>
      <c r="F42" s="14"/>
      <c r="G42" t="s" s="15">
        <v>160</v>
      </c>
      <c r="H42" t="s" s="15">
        <v>98</v>
      </c>
      <c r="I42" t="s" s="15">
        <v>73</v>
      </c>
      <c r="J42" t="s" s="15">
        <v>74</v>
      </c>
      <c r="K42" t="s" s="15">
        <v>75</v>
      </c>
      <c r="L42" t="s" s="15">
        <v>76</v>
      </c>
      <c r="M42" t="s" s="15">
        <v>77</v>
      </c>
      <c r="N42" t="s" s="15">
        <v>160</v>
      </c>
      <c r="O42" t="s" s="15">
        <v>71</v>
      </c>
      <c r="P42" s="14"/>
      <c r="Q42" t="s" s="15">
        <v>78</v>
      </c>
      <c r="R42" t="s" s="15">
        <v>71</v>
      </c>
      <c r="S42" s="14"/>
      <c r="T42" s="14"/>
      <c r="U42" s="14"/>
      <c r="V42" t="s" s="15">
        <v>78</v>
      </c>
      <c r="W42" t="s" s="15">
        <v>166</v>
      </c>
      <c r="X42" t="s" s="15">
        <v>69</v>
      </c>
      <c r="Y42" s="14"/>
      <c r="Z42" t="s" s="15">
        <v>76</v>
      </c>
      <c r="AA42" s="14"/>
      <c r="AB42" t="s" s="15">
        <v>76</v>
      </c>
      <c r="AC42" s="14"/>
      <c r="AD42" s="14"/>
      <c r="AE42" s="14"/>
      <c r="AF42" s="14"/>
      <c r="AG42" s="14"/>
      <c r="AH42" s="14"/>
      <c r="AI42" t="s" s="15">
        <v>76</v>
      </c>
      <c r="AJ42" t="s" s="15">
        <v>76</v>
      </c>
      <c r="AK42" t="s" s="15">
        <v>79</v>
      </c>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6"/>
      <c r="BP42" s="8"/>
    </row>
    <row r="43" ht="9" customHeight="1" hidden="1">
      <c r="A43" t="s" s="9">
        <v>167</v>
      </c>
      <c r="B43" t="s" s="10">
        <v>69</v>
      </c>
      <c r="C43" t="str" s="11" cm="1">
        <f t="array" ref="C43">_xlfn.IFERROR((VLOOKUP(A43,#REF!,2,FALSE)),"")</f>
      </c>
      <c r="D43" t="s" s="10">
        <v>70</v>
      </c>
      <c r="E43" t="s" s="10">
        <v>71</v>
      </c>
      <c r="F43" s="11"/>
      <c r="G43" t="s" s="10">
        <v>160</v>
      </c>
      <c r="H43" t="s" s="10">
        <v>98</v>
      </c>
      <c r="I43" t="s" s="10">
        <v>73</v>
      </c>
      <c r="J43" t="s" s="10">
        <v>74</v>
      </c>
      <c r="K43" t="s" s="10">
        <v>75</v>
      </c>
      <c r="L43" t="s" s="10">
        <v>76</v>
      </c>
      <c r="M43" t="s" s="10">
        <v>77</v>
      </c>
      <c r="N43" t="s" s="10">
        <v>160</v>
      </c>
      <c r="O43" t="s" s="10">
        <v>71</v>
      </c>
      <c r="P43" s="11"/>
      <c r="Q43" t="s" s="10">
        <v>78</v>
      </c>
      <c r="R43" t="s" s="10">
        <v>71</v>
      </c>
      <c r="S43" s="11"/>
      <c r="T43" s="11"/>
      <c r="U43" s="11"/>
      <c r="V43" t="s" s="10">
        <v>78</v>
      </c>
      <c r="W43" t="s" s="10">
        <v>167</v>
      </c>
      <c r="X43" t="s" s="10">
        <v>69</v>
      </c>
      <c r="Y43" s="11"/>
      <c r="Z43" t="s" s="10">
        <v>76</v>
      </c>
      <c r="AA43" s="11"/>
      <c r="AB43" t="s" s="10">
        <v>76</v>
      </c>
      <c r="AC43" s="11"/>
      <c r="AD43" s="11"/>
      <c r="AE43" s="11"/>
      <c r="AF43" s="11"/>
      <c r="AG43" s="11"/>
      <c r="AH43" s="11"/>
      <c r="AI43" t="s" s="10">
        <v>76</v>
      </c>
      <c r="AJ43" t="s" s="10">
        <v>76</v>
      </c>
      <c r="AK43" t="s" s="10">
        <v>79</v>
      </c>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2"/>
      <c r="BP43" s="8"/>
    </row>
    <row r="44" ht="9" customHeight="1" hidden="1">
      <c r="A44" t="s" s="13">
        <v>168</v>
      </c>
      <c r="B44" t="s" s="15">
        <v>69</v>
      </c>
      <c r="C44" t="str" s="14" cm="1">
        <f t="array" ref="C44">_xlfn.IFERROR((VLOOKUP(A44,#REF!,2,FALSE)),"")</f>
      </c>
      <c r="D44" t="s" s="15">
        <v>70</v>
      </c>
      <c r="E44" t="s" s="15">
        <v>71</v>
      </c>
      <c r="F44" s="14"/>
      <c r="G44" t="s" s="15">
        <v>160</v>
      </c>
      <c r="H44" t="s" s="15">
        <v>98</v>
      </c>
      <c r="I44" t="s" s="15">
        <v>73</v>
      </c>
      <c r="J44" t="s" s="15">
        <v>74</v>
      </c>
      <c r="K44" t="s" s="15">
        <v>75</v>
      </c>
      <c r="L44" t="s" s="15">
        <v>76</v>
      </c>
      <c r="M44" t="s" s="15">
        <v>77</v>
      </c>
      <c r="N44" t="s" s="15">
        <v>160</v>
      </c>
      <c r="O44" t="s" s="15">
        <v>71</v>
      </c>
      <c r="P44" s="14"/>
      <c r="Q44" t="s" s="15">
        <v>78</v>
      </c>
      <c r="R44" t="s" s="15">
        <v>71</v>
      </c>
      <c r="S44" s="14"/>
      <c r="T44" s="14"/>
      <c r="U44" s="14"/>
      <c r="V44" t="s" s="15">
        <v>78</v>
      </c>
      <c r="W44" t="s" s="15">
        <v>168</v>
      </c>
      <c r="X44" t="s" s="15">
        <v>69</v>
      </c>
      <c r="Y44" s="14"/>
      <c r="Z44" t="s" s="15">
        <v>76</v>
      </c>
      <c r="AA44" s="14"/>
      <c r="AB44" t="s" s="15">
        <v>76</v>
      </c>
      <c r="AC44" s="14"/>
      <c r="AD44" s="14"/>
      <c r="AE44" s="14"/>
      <c r="AF44" s="14"/>
      <c r="AG44" s="14"/>
      <c r="AH44" s="14"/>
      <c r="AI44" t="s" s="15">
        <v>76</v>
      </c>
      <c r="AJ44" t="s" s="15">
        <v>76</v>
      </c>
      <c r="AK44" t="s" s="15">
        <v>79</v>
      </c>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6"/>
      <c r="BP44" s="8"/>
    </row>
    <row r="45" ht="9" customHeight="1" hidden="1">
      <c r="A45" t="s" s="9">
        <v>169</v>
      </c>
      <c r="B45" t="s" s="10">
        <v>69</v>
      </c>
      <c r="C45" t="str" s="11" cm="1">
        <f t="array" ref="C45">_xlfn.IFERROR((VLOOKUP(A45,#REF!,2,FALSE)),"")</f>
      </c>
      <c r="D45" t="s" s="10">
        <v>70</v>
      </c>
      <c r="E45" t="s" s="10">
        <v>71</v>
      </c>
      <c r="F45" s="11"/>
      <c r="G45" t="s" s="10">
        <v>170</v>
      </c>
      <c r="H45" t="s" s="10">
        <v>98</v>
      </c>
      <c r="I45" t="s" s="10">
        <v>73</v>
      </c>
      <c r="J45" t="s" s="10">
        <v>74</v>
      </c>
      <c r="K45" t="s" s="10">
        <v>75</v>
      </c>
      <c r="L45" t="s" s="10">
        <v>76</v>
      </c>
      <c r="M45" t="s" s="10">
        <v>77</v>
      </c>
      <c r="N45" t="s" s="10">
        <v>170</v>
      </c>
      <c r="O45" t="s" s="10">
        <v>71</v>
      </c>
      <c r="P45" s="11"/>
      <c r="Q45" t="s" s="10">
        <v>78</v>
      </c>
      <c r="R45" t="s" s="10">
        <v>71</v>
      </c>
      <c r="S45" s="11"/>
      <c r="T45" s="11"/>
      <c r="U45" s="11"/>
      <c r="V45" t="s" s="10">
        <v>78</v>
      </c>
      <c r="W45" t="s" s="10">
        <v>169</v>
      </c>
      <c r="X45" t="s" s="10">
        <v>69</v>
      </c>
      <c r="Y45" s="11"/>
      <c r="Z45" t="s" s="10">
        <v>76</v>
      </c>
      <c r="AA45" s="11"/>
      <c r="AB45" t="s" s="10">
        <v>76</v>
      </c>
      <c r="AC45" s="11"/>
      <c r="AD45" s="11"/>
      <c r="AE45" s="11"/>
      <c r="AF45" s="11"/>
      <c r="AG45" s="11"/>
      <c r="AH45" s="11"/>
      <c r="AI45" t="s" s="10">
        <v>76</v>
      </c>
      <c r="AJ45" t="s" s="10">
        <v>76</v>
      </c>
      <c r="AK45" t="s" s="10">
        <v>79</v>
      </c>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2"/>
      <c r="BP45" s="8"/>
    </row>
    <row r="46" ht="9" customHeight="1" hidden="1">
      <c r="A46" t="s" s="13">
        <v>171</v>
      </c>
      <c r="B46" t="s" s="15">
        <v>69</v>
      </c>
      <c r="C46" t="str" s="14" cm="1">
        <f t="array" ref="C46">_xlfn.IFERROR((VLOOKUP(A46,#REF!,2,FALSE)),"")</f>
      </c>
      <c r="D46" t="s" s="15">
        <v>70</v>
      </c>
      <c r="E46" t="s" s="15">
        <v>71</v>
      </c>
      <c r="F46" s="14"/>
      <c r="G46" t="s" s="15">
        <v>170</v>
      </c>
      <c r="H46" t="s" s="15">
        <v>98</v>
      </c>
      <c r="I46" t="s" s="15">
        <v>73</v>
      </c>
      <c r="J46" t="s" s="15">
        <v>74</v>
      </c>
      <c r="K46" t="s" s="15">
        <v>75</v>
      </c>
      <c r="L46" t="s" s="15">
        <v>76</v>
      </c>
      <c r="M46" t="s" s="15">
        <v>77</v>
      </c>
      <c r="N46" t="s" s="15">
        <v>170</v>
      </c>
      <c r="O46" t="s" s="15">
        <v>71</v>
      </c>
      <c r="P46" s="14"/>
      <c r="Q46" t="s" s="15">
        <v>78</v>
      </c>
      <c r="R46" t="s" s="15">
        <v>71</v>
      </c>
      <c r="S46" s="14"/>
      <c r="T46" s="14"/>
      <c r="U46" s="14"/>
      <c r="V46" t="s" s="15">
        <v>78</v>
      </c>
      <c r="W46" t="s" s="15">
        <v>171</v>
      </c>
      <c r="X46" t="s" s="15">
        <v>69</v>
      </c>
      <c r="Y46" s="14"/>
      <c r="Z46" t="s" s="15">
        <v>76</v>
      </c>
      <c r="AA46" s="14"/>
      <c r="AB46" t="s" s="15">
        <v>76</v>
      </c>
      <c r="AC46" s="14"/>
      <c r="AD46" s="14"/>
      <c r="AE46" s="14"/>
      <c r="AF46" s="14"/>
      <c r="AG46" s="14"/>
      <c r="AH46" s="14"/>
      <c r="AI46" t="s" s="15">
        <v>76</v>
      </c>
      <c r="AJ46" t="s" s="15">
        <v>76</v>
      </c>
      <c r="AK46" t="s" s="15">
        <v>79</v>
      </c>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6"/>
      <c r="BP46" s="8"/>
    </row>
    <row r="47" ht="9" customHeight="1" hidden="1">
      <c r="A47" t="s" s="9">
        <v>172</v>
      </c>
      <c r="B47" t="s" s="10">
        <v>69</v>
      </c>
      <c r="C47" t="str" s="11" cm="1">
        <f t="array" ref="C47">_xlfn.IFERROR((VLOOKUP(A47,#REF!,2,FALSE)),"")</f>
      </c>
      <c r="D47" t="s" s="10">
        <v>70</v>
      </c>
      <c r="E47" t="s" s="10">
        <v>71</v>
      </c>
      <c r="F47" s="11"/>
      <c r="G47" t="s" s="10">
        <v>170</v>
      </c>
      <c r="H47" t="s" s="10">
        <v>98</v>
      </c>
      <c r="I47" t="s" s="10">
        <v>73</v>
      </c>
      <c r="J47" t="s" s="10">
        <v>74</v>
      </c>
      <c r="K47" t="s" s="10">
        <v>75</v>
      </c>
      <c r="L47" t="s" s="10">
        <v>76</v>
      </c>
      <c r="M47" t="s" s="10">
        <v>77</v>
      </c>
      <c r="N47" t="s" s="10">
        <v>170</v>
      </c>
      <c r="O47" t="s" s="10">
        <v>71</v>
      </c>
      <c r="P47" s="11"/>
      <c r="Q47" t="s" s="10">
        <v>78</v>
      </c>
      <c r="R47" t="s" s="10">
        <v>71</v>
      </c>
      <c r="S47" s="11"/>
      <c r="T47" s="11"/>
      <c r="U47" s="11"/>
      <c r="V47" t="s" s="10">
        <v>78</v>
      </c>
      <c r="W47" t="s" s="10">
        <v>172</v>
      </c>
      <c r="X47" t="s" s="10">
        <v>69</v>
      </c>
      <c r="Y47" s="11"/>
      <c r="Z47" t="s" s="10">
        <v>76</v>
      </c>
      <c r="AA47" s="11"/>
      <c r="AB47" t="s" s="10">
        <v>76</v>
      </c>
      <c r="AC47" s="11"/>
      <c r="AD47" s="11"/>
      <c r="AE47" s="11"/>
      <c r="AF47" s="11"/>
      <c r="AG47" s="11"/>
      <c r="AH47" s="11"/>
      <c r="AI47" t="s" s="10">
        <v>76</v>
      </c>
      <c r="AJ47" t="s" s="10">
        <v>76</v>
      </c>
      <c r="AK47" t="s" s="10">
        <v>79</v>
      </c>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2"/>
      <c r="BP47" s="8"/>
    </row>
    <row r="48" ht="9" customHeight="1" hidden="1">
      <c r="A48" t="s" s="13">
        <v>173</v>
      </c>
      <c r="B48" t="s" s="15">
        <v>69</v>
      </c>
      <c r="C48" t="str" s="14" cm="1">
        <f t="array" ref="C48">_xlfn.IFERROR((VLOOKUP(A48,#REF!,2,FALSE)),"")</f>
      </c>
      <c r="D48" t="s" s="15">
        <v>70</v>
      </c>
      <c r="E48" t="s" s="15">
        <v>71</v>
      </c>
      <c r="F48" s="14"/>
      <c r="G48" t="s" s="15">
        <v>170</v>
      </c>
      <c r="H48" t="s" s="15">
        <v>98</v>
      </c>
      <c r="I48" t="s" s="15">
        <v>73</v>
      </c>
      <c r="J48" t="s" s="15">
        <v>74</v>
      </c>
      <c r="K48" t="s" s="15">
        <v>75</v>
      </c>
      <c r="L48" t="s" s="15">
        <v>76</v>
      </c>
      <c r="M48" t="s" s="15">
        <v>77</v>
      </c>
      <c r="N48" t="s" s="15">
        <v>170</v>
      </c>
      <c r="O48" t="s" s="15">
        <v>71</v>
      </c>
      <c r="P48" s="14"/>
      <c r="Q48" t="s" s="15">
        <v>78</v>
      </c>
      <c r="R48" t="s" s="15">
        <v>71</v>
      </c>
      <c r="S48" s="14"/>
      <c r="T48" s="14"/>
      <c r="U48" s="14"/>
      <c r="V48" t="s" s="15">
        <v>78</v>
      </c>
      <c r="W48" t="s" s="15">
        <v>173</v>
      </c>
      <c r="X48" t="s" s="15">
        <v>69</v>
      </c>
      <c r="Y48" s="14"/>
      <c r="Z48" t="s" s="15">
        <v>76</v>
      </c>
      <c r="AA48" s="14"/>
      <c r="AB48" t="s" s="15">
        <v>76</v>
      </c>
      <c r="AC48" s="14"/>
      <c r="AD48" s="14"/>
      <c r="AE48" s="14"/>
      <c r="AF48" s="14"/>
      <c r="AG48" s="14"/>
      <c r="AH48" s="14"/>
      <c r="AI48" t="s" s="15">
        <v>76</v>
      </c>
      <c r="AJ48" t="s" s="15">
        <v>76</v>
      </c>
      <c r="AK48" t="s" s="15">
        <v>79</v>
      </c>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6"/>
      <c r="BP48" s="8"/>
    </row>
    <row r="49" ht="9" customHeight="1" hidden="1">
      <c r="A49" t="s" s="9">
        <v>174</v>
      </c>
      <c r="B49" t="s" s="10">
        <v>69</v>
      </c>
      <c r="C49" t="str" s="11" cm="1">
        <f t="array" ref="C49">_xlfn.IFERROR((VLOOKUP(A49,#REF!,2,FALSE)),"")</f>
      </c>
      <c r="D49" t="s" s="10">
        <v>70</v>
      </c>
      <c r="E49" t="s" s="10">
        <v>71</v>
      </c>
      <c r="F49" s="11"/>
      <c r="G49" t="s" s="10">
        <v>170</v>
      </c>
      <c r="H49" t="s" s="10">
        <v>98</v>
      </c>
      <c r="I49" t="s" s="10">
        <v>73</v>
      </c>
      <c r="J49" t="s" s="10">
        <v>74</v>
      </c>
      <c r="K49" t="s" s="10">
        <v>75</v>
      </c>
      <c r="L49" t="s" s="10">
        <v>76</v>
      </c>
      <c r="M49" t="s" s="10">
        <v>77</v>
      </c>
      <c r="N49" t="s" s="10">
        <v>170</v>
      </c>
      <c r="O49" t="s" s="10">
        <v>71</v>
      </c>
      <c r="P49" s="11"/>
      <c r="Q49" t="s" s="10">
        <v>78</v>
      </c>
      <c r="R49" t="s" s="10">
        <v>71</v>
      </c>
      <c r="S49" s="11"/>
      <c r="T49" s="11"/>
      <c r="U49" s="11"/>
      <c r="V49" t="s" s="10">
        <v>78</v>
      </c>
      <c r="W49" t="s" s="10">
        <v>174</v>
      </c>
      <c r="X49" t="s" s="10">
        <v>69</v>
      </c>
      <c r="Y49" s="11"/>
      <c r="Z49" t="s" s="10">
        <v>76</v>
      </c>
      <c r="AA49" s="11"/>
      <c r="AB49" t="s" s="10">
        <v>76</v>
      </c>
      <c r="AC49" s="11"/>
      <c r="AD49" s="11"/>
      <c r="AE49" s="11"/>
      <c r="AF49" s="11"/>
      <c r="AG49" s="11"/>
      <c r="AH49" s="11"/>
      <c r="AI49" t="s" s="10">
        <v>76</v>
      </c>
      <c r="AJ49" t="s" s="10">
        <v>76</v>
      </c>
      <c r="AK49" t="s" s="10">
        <v>79</v>
      </c>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2"/>
      <c r="BP49" s="8"/>
    </row>
    <row r="50" ht="9" customHeight="1" hidden="1">
      <c r="A50" t="s" s="13">
        <v>175</v>
      </c>
      <c r="B50" t="s" s="15">
        <v>69</v>
      </c>
      <c r="C50" t="str" s="14" cm="1">
        <f t="array" ref="C50">_xlfn.IFERROR((VLOOKUP(A50,#REF!,2,FALSE)),"")</f>
      </c>
      <c r="D50" t="s" s="15">
        <v>70</v>
      </c>
      <c r="E50" t="s" s="15">
        <v>71</v>
      </c>
      <c r="F50" s="14"/>
      <c r="G50" t="s" s="15">
        <v>170</v>
      </c>
      <c r="H50" t="s" s="15">
        <v>98</v>
      </c>
      <c r="I50" t="s" s="15">
        <v>73</v>
      </c>
      <c r="J50" t="s" s="15">
        <v>74</v>
      </c>
      <c r="K50" t="s" s="15">
        <v>75</v>
      </c>
      <c r="L50" t="s" s="15">
        <v>76</v>
      </c>
      <c r="M50" t="s" s="15">
        <v>77</v>
      </c>
      <c r="N50" t="s" s="15">
        <v>170</v>
      </c>
      <c r="O50" t="s" s="15">
        <v>71</v>
      </c>
      <c r="P50" s="14"/>
      <c r="Q50" t="s" s="15">
        <v>78</v>
      </c>
      <c r="R50" t="s" s="15">
        <v>71</v>
      </c>
      <c r="S50" s="14"/>
      <c r="T50" s="14"/>
      <c r="U50" s="14"/>
      <c r="V50" t="s" s="15">
        <v>78</v>
      </c>
      <c r="W50" t="s" s="15">
        <v>175</v>
      </c>
      <c r="X50" t="s" s="15">
        <v>69</v>
      </c>
      <c r="Y50" s="14"/>
      <c r="Z50" t="s" s="15">
        <v>76</v>
      </c>
      <c r="AA50" s="14"/>
      <c r="AB50" t="s" s="15">
        <v>76</v>
      </c>
      <c r="AC50" s="14"/>
      <c r="AD50" s="14"/>
      <c r="AE50" s="14"/>
      <c r="AF50" s="14"/>
      <c r="AG50" s="14"/>
      <c r="AH50" s="14"/>
      <c r="AI50" t="s" s="15">
        <v>76</v>
      </c>
      <c r="AJ50" t="s" s="15">
        <v>76</v>
      </c>
      <c r="AK50" t="s" s="15">
        <v>79</v>
      </c>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6"/>
      <c r="BP50" s="8"/>
    </row>
    <row r="51" ht="9" customHeight="1" hidden="1">
      <c r="A51" t="s" s="9">
        <v>176</v>
      </c>
      <c r="B51" t="s" s="10">
        <v>69</v>
      </c>
      <c r="C51" t="str" s="11" cm="1">
        <f t="array" ref="C51">_xlfn.IFERROR((VLOOKUP(A51,#REF!,2,FALSE)),"")</f>
      </c>
      <c r="D51" t="s" s="10">
        <v>70</v>
      </c>
      <c r="E51" t="s" s="10">
        <v>71</v>
      </c>
      <c r="F51" s="11"/>
      <c r="G51" t="s" s="10">
        <v>170</v>
      </c>
      <c r="H51" t="s" s="10">
        <v>98</v>
      </c>
      <c r="I51" t="s" s="10">
        <v>73</v>
      </c>
      <c r="J51" t="s" s="10">
        <v>74</v>
      </c>
      <c r="K51" t="s" s="10">
        <v>75</v>
      </c>
      <c r="L51" t="s" s="10">
        <v>76</v>
      </c>
      <c r="M51" t="s" s="10">
        <v>77</v>
      </c>
      <c r="N51" t="s" s="10">
        <v>170</v>
      </c>
      <c r="O51" t="s" s="10">
        <v>71</v>
      </c>
      <c r="P51" s="11"/>
      <c r="Q51" t="s" s="10">
        <v>78</v>
      </c>
      <c r="R51" t="s" s="10">
        <v>71</v>
      </c>
      <c r="S51" s="11"/>
      <c r="T51" s="11"/>
      <c r="U51" s="11"/>
      <c r="V51" t="s" s="10">
        <v>78</v>
      </c>
      <c r="W51" t="s" s="10">
        <v>176</v>
      </c>
      <c r="X51" t="s" s="10">
        <v>69</v>
      </c>
      <c r="Y51" s="11"/>
      <c r="Z51" t="s" s="10">
        <v>76</v>
      </c>
      <c r="AA51" s="11"/>
      <c r="AB51" t="s" s="10">
        <v>76</v>
      </c>
      <c r="AC51" s="11"/>
      <c r="AD51" s="11"/>
      <c r="AE51" s="11"/>
      <c r="AF51" s="11"/>
      <c r="AG51" s="11"/>
      <c r="AH51" s="11"/>
      <c r="AI51" t="s" s="10">
        <v>76</v>
      </c>
      <c r="AJ51" t="s" s="10">
        <v>76</v>
      </c>
      <c r="AK51" t="s" s="10">
        <v>79</v>
      </c>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2"/>
      <c r="BP51" s="8"/>
    </row>
    <row r="52" ht="9" customHeight="1" hidden="1">
      <c r="A52" t="s" s="13">
        <v>177</v>
      </c>
      <c r="B52" t="s" s="15">
        <v>69</v>
      </c>
      <c r="C52" t="str" s="14" cm="1">
        <f t="array" ref="C52">_xlfn.IFERROR((VLOOKUP(A52,#REF!,2,FALSE)),"")</f>
      </c>
      <c r="D52" t="s" s="15">
        <v>70</v>
      </c>
      <c r="E52" t="s" s="15">
        <v>71</v>
      </c>
      <c r="F52" s="14"/>
      <c r="G52" t="s" s="15">
        <v>170</v>
      </c>
      <c r="H52" t="s" s="15">
        <v>98</v>
      </c>
      <c r="I52" t="s" s="15">
        <v>73</v>
      </c>
      <c r="J52" t="s" s="15">
        <v>74</v>
      </c>
      <c r="K52" t="s" s="15">
        <v>75</v>
      </c>
      <c r="L52" t="s" s="15">
        <v>76</v>
      </c>
      <c r="M52" t="s" s="15">
        <v>77</v>
      </c>
      <c r="N52" t="s" s="15">
        <v>170</v>
      </c>
      <c r="O52" t="s" s="15">
        <v>71</v>
      </c>
      <c r="P52" s="14"/>
      <c r="Q52" t="s" s="15">
        <v>78</v>
      </c>
      <c r="R52" t="s" s="15">
        <v>71</v>
      </c>
      <c r="S52" s="14"/>
      <c r="T52" s="14"/>
      <c r="U52" s="14"/>
      <c r="V52" t="s" s="15">
        <v>78</v>
      </c>
      <c r="W52" t="s" s="15">
        <v>177</v>
      </c>
      <c r="X52" t="s" s="15">
        <v>69</v>
      </c>
      <c r="Y52" s="14"/>
      <c r="Z52" t="s" s="15">
        <v>76</v>
      </c>
      <c r="AA52" s="14"/>
      <c r="AB52" t="s" s="15">
        <v>76</v>
      </c>
      <c r="AC52" s="14"/>
      <c r="AD52" s="14"/>
      <c r="AE52" s="14"/>
      <c r="AF52" s="14"/>
      <c r="AG52" s="14"/>
      <c r="AH52" s="14"/>
      <c r="AI52" t="s" s="15">
        <v>76</v>
      </c>
      <c r="AJ52" t="s" s="15">
        <v>76</v>
      </c>
      <c r="AK52" t="s" s="15">
        <v>79</v>
      </c>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6"/>
      <c r="BP52" s="8"/>
    </row>
    <row r="53" ht="9" customHeight="1" hidden="1">
      <c r="A53" t="s" s="9">
        <v>178</v>
      </c>
      <c r="B53" t="s" s="10">
        <v>69</v>
      </c>
      <c r="C53" t="str" s="11" cm="1">
        <f t="array" ref="C53">_xlfn.IFERROR((VLOOKUP(A53,#REF!,2,FALSE)),"")</f>
      </c>
      <c r="D53" t="s" s="10">
        <v>70</v>
      </c>
      <c r="E53" t="s" s="10">
        <v>71</v>
      </c>
      <c r="F53" s="11"/>
      <c r="G53" t="s" s="10">
        <v>170</v>
      </c>
      <c r="H53" t="s" s="10">
        <v>98</v>
      </c>
      <c r="I53" t="s" s="10">
        <v>73</v>
      </c>
      <c r="J53" t="s" s="10">
        <v>74</v>
      </c>
      <c r="K53" t="s" s="10">
        <v>75</v>
      </c>
      <c r="L53" t="s" s="10">
        <v>76</v>
      </c>
      <c r="M53" t="s" s="10">
        <v>77</v>
      </c>
      <c r="N53" t="s" s="10">
        <v>170</v>
      </c>
      <c r="O53" t="s" s="10">
        <v>71</v>
      </c>
      <c r="P53" s="11"/>
      <c r="Q53" t="s" s="10">
        <v>78</v>
      </c>
      <c r="R53" t="s" s="10">
        <v>71</v>
      </c>
      <c r="S53" s="11"/>
      <c r="T53" s="11"/>
      <c r="U53" s="11"/>
      <c r="V53" t="s" s="10">
        <v>78</v>
      </c>
      <c r="W53" t="s" s="10">
        <v>178</v>
      </c>
      <c r="X53" t="s" s="10">
        <v>69</v>
      </c>
      <c r="Y53" s="11"/>
      <c r="Z53" t="s" s="10">
        <v>76</v>
      </c>
      <c r="AA53" s="11"/>
      <c r="AB53" t="s" s="10">
        <v>76</v>
      </c>
      <c r="AC53" s="11"/>
      <c r="AD53" s="11"/>
      <c r="AE53" s="11"/>
      <c r="AF53" s="11"/>
      <c r="AG53" s="11"/>
      <c r="AH53" s="11"/>
      <c r="AI53" t="s" s="10">
        <v>76</v>
      </c>
      <c r="AJ53" t="s" s="10">
        <v>76</v>
      </c>
      <c r="AK53" t="s" s="10">
        <v>79</v>
      </c>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2"/>
      <c r="BP53" s="8"/>
    </row>
    <row r="54" ht="9" customHeight="1" hidden="1">
      <c r="A54" t="s" s="13">
        <v>179</v>
      </c>
      <c r="B54" s="14"/>
      <c r="C54" t="str" s="14" cm="1">
        <f t="array" ref="C54">_xlfn.IFERROR((VLOOKUP(A54,#REF!,2,FALSE)),"")</f>
      </c>
      <c r="D54" t="s" s="15">
        <v>70</v>
      </c>
      <c r="E54" t="s" s="15">
        <v>126</v>
      </c>
      <c r="F54" s="14"/>
      <c r="G54" s="14"/>
      <c r="H54" s="14"/>
      <c r="I54" t="s" s="15">
        <v>73</v>
      </c>
      <c r="J54" t="s" s="15">
        <v>74</v>
      </c>
      <c r="K54" t="s" s="15">
        <v>127</v>
      </c>
      <c r="L54" t="s" s="15">
        <v>76</v>
      </c>
      <c r="M54" t="s" s="15">
        <v>77</v>
      </c>
      <c r="N54" s="14"/>
      <c r="O54" t="s" s="15">
        <v>71</v>
      </c>
      <c r="P54" s="14"/>
      <c r="Q54" t="s" s="15">
        <v>69</v>
      </c>
      <c r="R54" t="s" s="15">
        <v>71</v>
      </c>
      <c r="S54" s="14"/>
      <c r="T54" s="14"/>
      <c r="U54" s="14"/>
      <c r="V54" t="s" s="15">
        <v>69</v>
      </c>
      <c r="W54" t="s" s="15">
        <v>179</v>
      </c>
      <c r="X54" t="s" s="15">
        <v>78</v>
      </c>
      <c r="Y54" s="14"/>
      <c r="Z54" t="s" s="15">
        <v>76</v>
      </c>
      <c r="AA54" s="14"/>
      <c r="AB54" t="s" s="15">
        <v>76</v>
      </c>
      <c r="AC54" t="s" s="15">
        <v>179</v>
      </c>
      <c r="AD54" s="14"/>
      <c r="AE54" s="14"/>
      <c r="AF54" s="14"/>
      <c r="AG54" s="14"/>
      <c r="AH54" s="14"/>
      <c r="AI54" t="s" s="15">
        <v>76</v>
      </c>
      <c r="AJ54" t="s" s="15">
        <v>76</v>
      </c>
      <c r="AK54" t="s" s="15">
        <v>79</v>
      </c>
      <c r="AL54" s="14"/>
      <c r="AM54" s="14"/>
      <c r="AN54" t="s" s="15">
        <v>128</v>
      </c>
      <c r="AO54" s="14"/>
      <c r="AP54" s="14"/>
      <c r="AQ54" s="14"/>
      <c r="AR54" s="14"/>
      <c r="AS54" t="s" s="15">
        <v>180</v>
      </c>
      <c r="AT54" s="14"/>
      <c r="AU54" s="14"/>
      <c r="AV54" s="14"/>
      <c r="AW54" s="14"/>
      <c r="AX54" s="14"/>
      <c r="AY54" s="14"/>
      <c r="AZ54" s="14"/>
      <c r="BA54" s="14"/>
      <c r="BB54" s="14"/>
      <c r="BC54" s="14"/>
      <c r="BD54" s="14"/>
      <c r="BE54" s="14"/>
      <c r="BF54" s="14"/>
      <c r="BG54" s="14"/>
      <c r="BH54" s="14"/>
      <c r="BI54" s="14"/>
      <c r="BJ54" s="14"/>
      <c r="BK54" s="14"/>
      <c r="BL54" s="14"/>
      <c r="BM54" s="14"/>
      <c r="BN54" s="14"/>
      <c r="BO54" s="16"/>
      <c r="BP54" s="8"/>
    </row>
    <row r="55" ht="9" customHeight="1" hidden="1">
      <c r="A55" t="s" s="9">
        <v>181</v>
      </c>
      <c r="B55" s="11"/>
      <c r="C55" t="str" s="11" cm="1">
        <f t="array" ref="C55">_xlfn.IFERROR((VLOOKUP(A55,#REF!,2,FALSE)),"")</f>
      </c>
      <c r="D55" t="s" s="10">
        <v>70</v>
      </c>
      <c r="E55" t="s" s="10">
        <v>126</v>
      </c>
      <c r="F55" s="11"/>
      <c r="G55" s="11"/>
      <c r="H55" s="11"/>
      <c r="I55" t="s" s="10">
        <v>82</v>
      </c>
      <c r="J55" t="s" s="10">
        <v>82</v>
      </c>
      <c r="K55" t="s" s="10">
        <v>82</v>
      </c>
      <c r="L55" t="s" s="10">
        <v>76</v>
      </c>
      <c r="M55" t="s" s="10">
        <v>77</v>
      </c>
      <c r="N55" s="11"/>
      <c r="O55" s="11"/>
      <c r="P55" s="11"/>
      <c r="Q55" t="s" s="10">
        <v>69</v>
      </c>
      <c r="R55" t="s" s="10">
        <v>83</v>
      </c>
      <c r="S55" s="11"/>
      <c r="T55" s="11"/>
      <c r="U55" s="11"/>
      <c r="V55" t="s" s="10">
        <v>78</v>
      </c>
      <c r="W55" s="11"/>
      <c r="X55" t="s" s="10">
        <v>78</v>
      </c>
      <c r="Y55" s="11"/>
      <c r="Z55" t="s" s="10">
        <v>76</v>
      </c>
      <c r="AA55" s="11"/>
      <c r="AB55" t="s" s="10">
        <v>76</v>
      </c>
      <c r="AC55" s="11"/>
      <c r="AD55" s="11"/>
      <c r="AE55" s="11"/>
      <c r="AF55" s="11"/>
      <c r="AG55" s="11"/>
      <c r="AH55" s="11"/>
      <c r="AI55" t="s" s="10">
        <v>76</v>
      </c>
      <c r="AJ55" t="s" s="10">
        <v>76</v>
      </c>
      <c r="AK55" t="s" s="10">
        <v>79</v>
      </c>
      <c r="AL55" s="11"/>
      <c r="AM55" s="11"/>
      <c r="AN55" s="11"/>
      <c r="AO55" s="11"/>
      <c r="AP55" s="11"/>
      <c r="AQ55" s="11"/>
      <c r="AR55" s="11"/>
      <c r="AS55" t="s" s="10">
        <v>182</v>
      </c>
      <c r="AT55" s="11"/>
      <c r="AU55" s="11"/>
      <c r="AV55" s="11"/>
      <c r="AW55" s="11"/>
      <c r="AX55" s="11"/>
      <c r="AY55" s="11"/>
      <c r="AZ55" s="11"/>
      <c r="BA55" s="11"/>
      <c r="BB55" s="11"/>
      <c r="BC55" s="11"/>
      <c r="BD55" s="11"/>
      <c r="BE55" s="11"/>
      <c r="BF55" s="11"/>
      <c r="BG55" s="11"/>
      <c r="BH55" s="11"/>
      <c r="BI55" s="11"/>
      <c r="BJ55" s="11"/>
      <c r="BK55" s="11"/>
      <c r="BL55" s="11"/>
      <c r="BM55" s="11"/>
      <c r="BN55" s="11"/>
      <c r="BO55" s="12"/>
      <c r="BP55" s="8"/>
    </row>
    <row r="56" ht="9" customHeight="1" hidden="1">
      <c r="A56" t="s" s="13">
        <v>183</v>
      </c>
      <c r="B56" s="14"/>
      <c r="C56" t="str" s="14" cm="1">
        <f t="array" ref="C56">_xlfn.IFERROR((VLOOKUP(A56,#REF!,2,FALSE)),"")</f>
      </c>
      <c r="D56" t="s" s="15">
        <v>70</v>
      </c>
      <c r="E56" t="s" s="15">
        <v>126</v>
      </c>
      <c r="F56" s="14"/>
      <c r="G56" s="14"/>
      <c r="H56" s="14"/>
      <c r="I56" t="s" s="15">
        <v>111</v>
      </c>
      <c r="J56" t="s" s="15">
        <v>122</v>
      </c>
      <c r="K56" t="s" s="15">
        <v>140</v>
      </c>
      <c r="L56" t="s" s="15">
        <v>76</v>
      </c>
      <c r="M56" t="s" s="15">
        <v>77</v>
      </c>
      <c r="N56" s="14"/>
      <c r="O56" s="14"/>
      <c r="P56" s="14"/>
      <c r="Q56" t="s" s="15">
        <v>69</v>
      </c>
      <c r="R56" t="s" s="15">
        <v>83</v>
      </c>
      <c r="S56" s="14"/>
      <c r="T56" s="14"/>
      <c r="U56" s="14"/>
      <c r="V56" t="s" s="15">
        <v>69</v>
      </c>
      <c r="W56" s="14"/>
      <c r="X56" t="s" s="15">
        <v>78</v>
      </c>
      <c r="Y56" s="14"/>
      <c r="Z56" t="s" s="15">
        <v>76</v>
      </c>
      <c r="AA56" s="14"/>
      <c r="AB56" t="s" s="15">
        <v>76</v>
      </c>
      <c r="AC56" t="s" s="15">
        <v>183</v>
      </c>
      <c r="AD56" s="14"/>
      <c r="AE56" s="14"/>
      <c r="AF56" s="14"/>
      <c r="AG56" s="14"/>
      <c r="AH56" s="14"/>
      <c r="AI56" t="s" s="15">
        <v>76</v>
      </c>
      <c r="AJ56" t="s" s="15">
        <v>76</v>
      </c>
      <c r="AK56" t="s" s="15">
        <v>79</v>
      </c>
      <c r="AL56" s="14"/>
      <c r="AM56" s="14"/>
      <c r="AN56" t="s" s="15">
        <v>128</v>
      </c>
      <c r="AO56" s="14"/>
      <c r="AP56" s="14"/>
      <c r="AQ56" s="14"/>
      <c r="AR56" s="14"/>
      <c r="AS56" t="s" s="15">
        <v>184</v>
      </c>
      <c r="AT56" s="14"/>
      <c r="AU56" s="14"/>
      <c r="AV56" s="14"/>
      <c r="AW56" s="14"/>
      <c r="AX56" s="14"/>
      <c r="AY56" s="14"/>
      <c r="AZ56" s="14"/>
      <c r="BA56" s="14"/>
      <c r="BB56" s="14"/>
      <c r="BC56" s="14"/>
      <c r="BD56" s="14"/>
      <c r="BE56" s="14"/>
      <c r="BF56" s="14"/>
      <c r="BG56" s="14"/>
      <c r="BH56" s="14"/>
      <c r="BI56" s="14"/>
      <c r="BJ56" s="14"/>
      <c r="BK56" s="14"/>
      <c r="BL56" s="14"/>
      <c r="BM56" s="14"/>
      <c r="BN56" s="14"/>
      <c r="BO56" s="16"/>
      <c r="BP56" s="8"/>
    </row>
    <row r="57" ht="9" customHeight="1" hidden="1">
      <c r="A57" t="s" s="9">
        <v>185</v>
      </c>
      <c r="B57" s="11"/>
      <c r="C57" t="str" s="11" cm="1">
        <f t="array" ref="C57">_xlfn.IFERROR((VLOOKUP(A57,#REF!,2,FALSE)),"")</f>
      </c>
      <c r="D57" t="s" s="10">
        <v>70</v>
      </c>
      <c r="E57" t="s" s="10">
        <v>186</v>
      </c>
      <c r="F57" s="11"/>
      <c r="G57" s="11"/>
      <c r="H57" s="11"/>
      <c r="I57" t="s" s="10">
        <v>111</v>
      </c>
      <c r="J57" t="s" s="10">
        <v>122</v>
      </c>
      <c r="K57" t="s" s="10">
        <v>82</v>
      </c>
      <c r="L57" t="s" s="10">
        <v>76</v>
      </c>
      <c r="M57" t="s" s="10">
        <v>77</v>
      </c>
      <c r="N57" s="11"/>
      <c r="O57" s="11"/>
      <c r="P57" s="11"/>
      <c r="Q57" t="s" s="10">
        <v>69</v>
      </c>
      <c r="R57" t="s" s="10">
        <v>83</v>
      </c>
      <c r="S57" s="11"/>
      <c r="T57" s="11"/>
      <c r="U57" s="11"/>
      <c r="V57" t="s" s="10">
        <v>69</v>
      </c>
      <c r="W57" s="11"/>
      <c r="X57" t="s" s="10">
        <v>78</v>
      </c>
      <c r="Y57" s="11"/>
      <c r="Z57" t="s" s="10">
        <v>76</v>
      </c>
      <c r="AA57" s="11"/>
      <c r="AB57" t="s" s="10">
        <v>76</v>
      </c>
      <c r="AC57" t="s" s="10">
        <v>185</v>
      </c>
      <c r="AD57" s="11"/>
      <c r="AE57" s="11"/>
      <c r="AF57" s="11"/>
      <c r="AG57" s="11"/>
      <c r="AH57" s="11"/>
      <c r="AI57" t="s" s="10">
        <v>76</v>
      </c>
      <c r="AJ57" t="s" s="10">
        <v>76</v>
      </c>
      <c r="AK57" t="s" s="10">
        <v>79</v>
      </c>
      <c r="AL57" s="11"/>
      <c r="AM57" s="11"/>
      <c r="AN57" t="s" s="10">
        <v>187</v>
      </c>
      <c r="AO57" s="11"/>
      <c r="AP57" s="11"/>
      <c r="AQ57" s="11"/>
      <c r="AR57" s="11"/>
      <c r="AS57" t="s" s="10">
        <v>188</v>
      </c>
      <c r="AT57" s="11"/>
      <c r="AU57" s="11"/>
      <c r="AV57" s="11"/>
      <c r="AW57" s="11"/>
      <c r="AX57" s="11"/>
      <c r="AY57" s="11"/>
      <c r="AZ57" s="11"/>
      <c r="BA57" s="11"/>
      <c r="BB57" s="11"/>
      <c r="BC57" s="11"/>
      <c r="BD57" s="11"/>
      <c r="BE57" s="11"/>
      <c r="BF57" s="11"/>
      <c r="BG57" s="11"/>
      <c r="BH57" s="11"/>
      <c r="BI57" s="11"/>
      <c r="BJ57" s="11"/>
      <c r="BK57" s="11"/>
      <c r="BL57" s="11"/>
      <c r="BM57" s="11"/>
      <c r="BN57" t="s" s="10">
        <v>78</v>
      </c>
      <c r="BO57" s="12"/>
      <c r="BP57" s="8"/>
    </row>
    <row r="58" ht="9" customHeight="1" hidden="1">
      <c r="A58" t="s" s="13">
        <v>189</v>
      </c>
      <c r="B58" s="14"/>
      <c r="C58" t="str" s="14" cm="1">
        <f t="array" ref="C58">_xlfn.IFERROR((VLOOKUP(A58,#REF!,2,FALSE)),"")</f>
      </c>
      <c r="D58" t="s" s="15">
        <v>70</v>
      </c>
      <c r="E58" t="s" s="15">
        <v>126</v>
      </c>
      <c r="F58" s="14"/>
      <c r="G58" s="14"/>
      <c r="H58" s="14"/>
      <c r="I58" t="s" s="15">
        <v>82</v>
      </c>
      <c r="J58" t="s" s="15">
        <v>82</v>
      </c>
      <c r="K58" t="s" s="15">
        <v>82</v>
      </c>
      <c r="L58" t="s" s="15">
        <v>76</v>
      </c>
      <c r="M58" t="s" s="15">
        <v>77</v>
      </c>
      <c r="N58" s="14"/>
      <c r="O58" s="14"/>
      <c r="P58" s="14"/>
      <c r="Q58" t="s" s="15">
        <v>69</v>
      </c>
      <c r="R58" t="s" s="15">
        <v>83</v>
      </c>
      <c r="S58" s="14"/>
      <c r="T58" s="14"/>
      <c r="U58" s="14"/>
      <c r="V58" t="s" s="15">
        <v>69</v>
      </c>
      <c r="W58" s="14"/>
      <c r="X58" t="s" s="15">
        <v>78</v>
      </c>
      <c r="Y58" s="14"/>
      <c r="Z58" t="s" s="15">
        <v>76</v>
      </c>
      <c r="AA58" s="14"/>
      <c r="AB58" t="s" s="15">
        <v>76</v>
      </c>
      <c r="AC58" t="s" s="15">
        <v>189</v>
      </c>
      <c r="AD58" s="14"/>
      <c r="AE58" s="14"/>
      <c r="AF58" s="14"/>
      <c r="AG58" s="14"/>
      <c r="AH58" s="14"/>
      <c r="AI58" t="s" s="15">
        <v>76</v>
      </c>
      <c r="AJ58" t="s" s="15">
        <v>76</v>
      </c>
      <c r="AK58" t="s" s="15">
        <v>79</v>
      </c>
      <c r="AL58" s="14"/>
      <c r="AM58" s="14"/>
      <c r="AN58" t="s" s="15">
        <v>190</v>
      </c>
      <c r="AO58" s="14"/>
      <c r="AP58" s="14"/>
      <c r="AQ58" s="14"/>
      <c r="AR58" s="14"/>
      <c r="AS58" t="s" s="15">
        <v>191</v>
      </c>
      <c r="AT58" s="14"/>
      <c r="AU58" s="14"/>
      <c r="AV58" s="14"/>
      <c r="AW58" s="14"/>
      <c r="AX58" s="14"/>
      <c r="AY58" s="14"/>
      <c r="AZ58" s="14"/>
      <c r="BA58" s="14"/>
      <c r="BB58" s="14"/>
      <c r="BC58" s="14"/>
      <c r="BD58" s="14"/>
      <c r="BE58" s="14"/>
      <c r="BF58" s="14"/>
      <c r="BG58" s="14"/>
      <c r="BH58" s="14"/>
      <c r="BI58" s="14"/>
      <c r="BJ58" s="14"/>
      <c r="BK58" s="14"/>
      <c r="BL58" s="14"/>
      <c r="BM58" s="14"/>
      <c r="BN58" s="14"/>
      <c r="BO58" s="16"/>
      <c r="BP58" s="8"/>
    </row>
    <row r="59" ht="9" customHeight="1" hidden="1">
      <c r="A59" t="s" s="9">
        <v>192</v>
      </c>
      <c r="B59" s="11"/>
      <c r="C59" t="str" s="11" cm="1">
        <f t="array" ref="C59">_xlfn.IFERROR((VLOOKUP(A59,#REF!,2,FALSE)),"")</f>
      </c>
      <c r="D59" t="s" s="10">
        <v>70</v>
      </c>
      <c r="E59" t="s" s="10">
        <v>126</v>
      </c>
      <c r="F59" s="11"/>
      <c r="G59" s="11"/>
      <c r="H59" s="11"/>
      <c r="I59" t="s" s="10">
        <v>111</v>
      </c>
      <c r="J59" t="s" s="10">
        <v>112</v>
      </c>
      <c r="K59" t="s" s="10">
        <v>113</v>
      </c>
      <c r="L59" t="s" s="10">
        <v>76</v>
      </c>
      <c r="M59" t="s" s="10">
        <v>77</v>
      </c>
      <c r="N59" s="11"/>
      <c r="O59" s="11"/>
      <c r="P59" s="11"/>
      <c r="Q59" t="s" s="10">
        <v>69</v>
      </c>
      <c r="R59" t="s" s="10">
        <v>83</v>
      </c>
      <c r="S59" s="11"/>
      <c r="T59" s="11"/>
      <c r="U59" s="11"/>
      <c r="V59" t="s" s="10">
        <v>69</v>
      </c>
      <c r="W59" s="11"/>
      <c r="X59" t="s" s="10">
        <v>78</v>
      </c>
      <c r="Y59" s="11"/>
      <c r="Z59" t="s" s="10">
        <v>76</v>
      </c>
      <c r="AA59" s="11"/>
      <c r="AB59" t="s" s="10">
        <v>76</v>
      </c>
      <c r="AC59" t="s" s="10">
        <v>192</v>
      </c>
      <c r="AD59" s="11"/>
      <c r="AE59" s="11"/>
      <c r="AF59" s="11"/>
      <c r="AG59" s="11"/>
      <c r="AH59" s="11"/>
      <c r="AI59" t="s" s="10">
        <v>76</v>
      </c>
      <c r="AJ59" t="s" s="10">
        <v>76</v>
      </c>
      <c r="AK59" t="s" s="10">
        <v>79</v>
      </c>
      <c r="AL59" s="11"/>
      <c r="AM59" s="11"/>
      <c r="AN59" t="s" s="10">
        <v>187</v>
      </c>
      <c r="AO59" s="11"/>
      <c r="AP59" s="11"/>
      <c r="AQ59" s="11"/>
      <c r="AR59" s="11"/>
      <c r="AS59" t="s" s="10">
        <v>193</v>
      </c>
      <c r="AT59" s="11"/>
      <c r="AU59" s="11"/>
      <c r="AV59" s="11"/>
      <c r="AW59" s="11"/>
      <c r="AX59" s="11"/>
      <c r="AY59" s="11"/>
      <c r="AZ59" s="11"/>
      <c r="BA59" s="11"/>
      <c r="BB59" s="11"/>
      <c r="BC59" s="11"/>
      <c r="BD59" s="11"/>
      <c r="BE59" s="11"/>
      <c r="BF59" s="11"/>
      <c r="BG59" s="11"/>
      <c r="BH59" s="11"/>
      <c r="BI59" s="11"/>
      <c r="BJ59" s="11"/>
      <c r="BK59" s="11"/>
      <c r="BL59" s="11"/>
      <c r="BM59" s="11"/>
      <c r="BN59" t="s" s="10">
        <v>78</v>
      </c>
      <c r="BO59" s="12"/>
      <c r="BP59" s="8"/>
    </row>
    <row r="60" ht="9" customHeight="1" hidden="1">
      <c r="A60" t="s" s="13">
        <v>194</v>
      </c>
      <c r="B60" s="14"/>
      <c r="C60" t="str" s="14" cm="1">
        <f t="array" ref="C60">_xlfn.IFERROR((VLOOKUP(A60,#REF!,2,FALSE)),"")</f>
      </c>
      <c r="D60" t="s" s="15">
        <v>70</v>
      </c>
      <c r="E60" t="s" s="15">
        <v>195</v>
      </c>
      <c r="F60" s="14"/>
      <c r="G60" s="14"/>
      <c r="H60" s="14"/>
      <c r="I60" t="s" s="15">
        <v>73</v>
      </c>
      <c r="J60" t="s" s="15">
        <v>74</v>
      </c>
      <c r="K60" t="s" s="15">
        <v>113</v>
      </c>
      <c r="L60" t="s" s="15">
        <v>76</v>
      </c>
      <c r="M60" t="s" s="15">
        <v>77</v>
      </c>
      <c r="N60" s="14"/>
      <c r="O60" t="s" s="15">
        <v>71</v>
      </c>
      <c r="P60" s="14"/>
      <c r="Q60" t="s" s="15">
        <v>69</v>
      </c>
      <c r="R60" t="s" s="15">
        <v>71</v>
      </c>
      <c r="S60" s="14"/>
      <c r="T60" s="14"/>
      <c r="U60" s="14"/>
      <c r="V60" t="s" s="15">
        <v>69</v>
      </c>
      <c r="W60" s="14"/>
      <c r="X60" t="s" s="15">
        <v>78</v>
      </c>
      <c r="Y60" s="14"/>
      <c r="Z60" t="s" s="15">
        <v>76</v>
      </c>
      <c r="AA60" s="14"/>
      <c r="AB60" t="s" s="15">
        <v>76</v>
      </c>
      <c r="AC60" t="s" s="15">
        <v>194</v>
      </c>
      <c r="AD60" s="14"/>
      <c r="AE60" s="14"/>
      <c r="AF60" s="14"/>
      <c r="AG60" s="14"/>
      <c r="AH60" s="14"/>
      <c r="AI60" t="s" s="15">
        <v>76</v>
      </c>
      <c r="AJ60" t="s" s="15">
        <v>76</v>
      </c>
      <c r="AK60" t="s" s="15">
        <v>79</v>
      </c>
      <c r="AL60" s="14"/>
      <c r="AM60" t="s" s="15">
        <v>196</v>
      </c>
      <c r="AN60" t="s" s="15">
        <v>128</v>
      </c>
      <c r="AO60" s="14"/>
      <c r="AP60" s="14"/>
      <c r="AQ60" s="14"/>
      <c r="AR60" s="14"/>
      <c r="AS60" t="s" s="15">
        <v>197</v>
      </c>
      <c r="AT60" s="14"/>
      <c r="AU60" s="14"/>
      <c r="AV60" s="14"/>
      <c r="AW60" s="14"/>
      <c r="AX60" s="14"/>
      <c r="AY60" s="14"/>
      <c r="AZ60" s="14"/>
      <c r="BA60" s="14"/>
      <c r="BB60" s="14"/>
      <c r="BC60" s="14"/>
      <c r="BD60" s="14"/>
      <c r="BE60" s="14"/>
      <c r="BF60" s="14"/>
      <c r="BG60" s="14"/>
      <c r="BH60" s="14"/>
      <c r="BI60" s="14"/>
      <c r="BJ60" s="14"/>
      <c r="BK60" s="14"/>
      <c r="BL60" s="14"/>
      <c r="BM60" s="14"/>
      <c r="BN60" s="14"/>
      <c r="BO60" s="16"/>
      <c r="BP60" s="8"/>
    </row>
    <row r="61" ht="9" customHeight="1" hidden="1">
      <c r="A61" t="s" s="9">
        <v>198</v>
      </c>
      <c r="B61" t="s" s="10">
        <v>69</v>
      </c>
      <c r="C61" t="str" s="11" cm="1">
        <f t="array" ref="C61">_xlfn.IFERROR((VLOOKUP(A61,#REF!,2,FALSE)),"")</f>
      </c>
      <c r="D61" t="s" s="10">
        <v>70</v>
      </c>
      <c r="E61" t="s" s="10">
        <v>71</v>
      </c>
      <c r="F61" s="11"/>
      <c r="G61" t="s" s="10">
        <v>199</v>
      </c>
      <c r="H61" t="s" s="10">
        <v>199</v>
      </c>
      <c r="I61" t="s" s="10">
        <v>73</v>
      </c>
      <c r="J61" t="s" s="10">
        <v>74</v>
      </c>
      <c r="K61" t="s" s="10">
        <v>75</v>
      </c>
      <c r="L61" t="s" s="10">
        <v>76</v>
      </c>
      <c r="M61" t="s" s="10">
        <v>77</v>
      </c>
      <c r="N61" t="s" s="10">
        <v>199</v>
      </c>
      <c r="O61" t="s" s="10">
        <v>71</v>
      </c>
      <c r="P61" s="11"/>
      <c r="Q61" t="s" s="10">
        <v>78</v>
      </c>
      <c r="R61" t="s" s="10">
        <v>71</v>
      </c>
      <c r="S61" s="11"/>
      <c r="T61" s="11"/>
      <c r="U61" s="11"/>
      <c r="V61" t="s" s="10">
        <v>78</v>
      </c>
      <c r="W61" t="s" s="10">
        <v>198</v>
      </c>
      <c r="X61" t="s" s="10">
        <v>69</v>
      </c>
      <c r="Y61" s="11"/>
      <c r="Z61" t="s" s="10">
        <v>76</v>
      </c>
      <c r="AA61" s="11"/>
      <c r="AB61" t="s" s="10">
        <v>76</v>
      </c>
      <c r="AC61" s="11"/>
      <c r="AD61" s="11"/>
      <c r="AE61" s="11"/>
      <c r="AF61" s="11"/>
      <c r="AG61" s="11"/>
      <c r="AH61" s="11"/>
      <c r="AI61" t="s" s="10">
        <v>76</v>
      </c>
      <c r="AJ61" t="s" s="10">
        <v>76</v>
      </c>
      <c r="AK61" t="s" s="10">
        <v>79</v>
      </c>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2"/>
      <c r="BP61" s="8"/>
    </row>
    <row r="62" ht="9" customHeight="1" hidden="1">
      <c r="A62" t="s" s="13">
        <v>200</v>
      </c>
      <c r="B62" s="14"/>
      <c r="C62" t="str" s="14" cm="1">
        <f t="array" ref="C62">_xlfn.IFERROR((VLOOKUP(A62,#REF!,2,FALSE)),"")</f>
      </c>
      <c r="D62" t="s" s="15">
        <v>70</v>
      </c>
      <c r="E62" t="s" s="15">
        <v>126</v>
      </c>
      <c r="F62" s="14"/>
      <c r="G62" s="14"/>
      <c r="H62" s="14"/>
      <c r="I62" t="s" s="15">
        <v>111</v>
      </c>
      <c r="J62" t="s" s="15">
        <v>122</v>
      </c>
      <c r="K62" t="s" s="15">
        <v>105</v>
      </c>
      <c r="L62" t="s" s="15">
        <v>76</v>
      </c>
      <c r="M62" t="s" s="15">
        <v>77</v>
      </c>
      <c r="N62" s="14"/>
      <c r="O62" s="14"/>
      <c r="P62" s="14"/>
      <c r="Q62" t="s" s="15">
        <v>69</v>
      </c>
      <c r="R62" t="s" s="15">
        <v>83</v>
      </c>
      <c r="S62" s="14"/>
      <c r="T62" s="14"/>
      <c r="U62" s="14"/>
      <c r="V62" t="s" s="15">
        <v>69</v>
      </c>
      <c r="W62" s="14"/>
      <c r="X62" t="s" s="15">
        <v>78</v>
      </c>
      <c r="Y62" s="14"/>
      <c r="Z62" t="s" s="15">
        <v>76</v>
      </c>
      <c r="AA62" s="14"/>
      <c r="AB62" t="s" s="15">
        <v>76</v>
      </c>
      <c r="AC62" t="s" s="15">
        <v>200</v>
      </c>
      <c r="AD62" s="14"/>
      <c r="AE62" s="14"/>
      <c r="AF62" s="14"/>
      <c r="AG62" s="14"/>
      <c r="AH62" s="14"/>
      <c r="AI62" t="s" s="15">
        <v>76</v>
      </c>
      <c r="AJ62" t="s" s="15">
        <v>76</v>
      </c>
      <c r="AK62" t="s" s="15">
        <v>79</v>
      </c>
      <c r="AL62" s="14"/>
      <c r="AM62" s="14"/>
      <c r="AN62" t="s" s="15">
        <v>201</v>
      </c>
      <c r="AO62" s="14"/>
      <c r="AP62" s="14"/>
      <c r="AQ62" s="14"/>
      <c r="AR62" s="14"/>
      <c r="AS62" t="s" s="15">
        <v>182</v>
      </c>
      <c r="AT62" s="14"/>
      <c r="AU62" s="14"/>
      <c r="AV62" s="14"/>
      <c r="AW62" s="14"/>
      <c r="AX62" s="14"/>
      <c r="AY62" s="14"/>
      <c r="AZ62" s="14"/>
      <c r="BA62" s="14"/>
      <c r="BB62" s="14"/>
      <c r="BC62" s="14"/>
      <c r="BD62" s="14"/>
      <c r="BE62" s="14"/>
      <c r="BF62" s="14"/>
      <c r="BG62" s="14"/>
      <c r="BH62" s="14"/>
      <c r="BI62" s="14"/>
      <c r="BJ62" s="14"/>
      <c r="BK62" s="14"/>
      <c r="BL62" s="14"/>
      <c r="BM62" s="14"/>
      <c r="BN62" t="s" s="15">
        <v>78</v>
      </c>
      <c r="BO62" s="16"/>
      <c r="BP62" s="8"/>
    </row>
    <row r="63" ht="9" customHeight="1" hidden="1">
      <c r="A63" t="s" s="9">
        <v>202</v>
      </c>
      <c r="B63" t="s" s="10">
        <v>69</v>
      </c>
      <c r="C63" t="str" s="11" cm="1">
        <f t="array" ref="C63">_xlfn.IFERROR((VLOOKUP(A63,#REF!,2,FALSE)),"")</f>
      </c>
      <c r="D63" t="s" s="10">
        <v>70</v>
      </c>
      <c r="E63" t="s" s="10">
        <v>71</v>
      </c>
      <c r="F63" s="11"/>
      <c r="G63" t="s" s="10">
        <v>203</v>
      </c>
      <c r="H63" t="s" s="10">
        <v>203</v>
      </c>
      <c r="I63" t="s" s="10">
        <v>73</v>
      </c>
      <c r="J63" t="s" s="10">
        <v>122</v>
      </c>
      <c r="K63" t="s" s="10">
        <v>203</v>
      </c>
      <c r="L63" t="s" s="10">
        <v>204</v>
      </c>
      <c r="M63" t="s" s="10">
        <v>77</v>
      </c>
      <c r="N63" t="s" s="10">
        <v>203</v>
      </c>
      <c r="O63" t="s" s="10">
        <v>71</v>
      </c>
      <c r="P63" s="11"/>
      <c r="Q63" t="s" s="10">
        <v>78</v>
      </c>
      <c r="R63" t="s" s="10">
        <v>71</v>
      </c>
      <c r="S63" s="11"/>
      <c r="T63" s="11"/>
      <c r="U63" s="11"/>
      <c r="V63" t="s" s="10">
        <v>78</v>
      </c>
      <c r="W63" t="s" s="10">
        <v>202</v>
      </c>
      <c r="X63" t="s" s="10">
        <v>69</v>
      </c>
      <c r="Y63" s="11"/>
      <c r="Z63" t="s" s="10">
        <v>205</v>
      </c>
      <c r="AA63" s="11"/>
      <c r="AB63" t="s" s="10">
        <v>206</v>
      </c>
      <c r="AC63" s="11"/>
      <c r="AD63" s="11"/>
      <c r="AE63" s="11"/>
      <c r="AF63" s="11"/>
      <c r="AG63" s="11"/>
      <c r="AH63" t="s" s="10">
        <v>106</v>
      </c>
      <c r="AI63" t="s" s="10">
        <v>76</v>
      </c>
      <c r="AJ63" t="s" s="10">
        <v>76</v>
      </c>
      <c r="AK63" t="s" s="10">
        <v>79</v>
      </c>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2"/>
      <c r="BP63" s="8"/>
    </row>
    <row r="64" ht="9" customHeight="1" hidden="1">
      <c r="A64" t="s" s="13">
        <v>207</v>
      </c>
      <c r="B64" s="14"/>
      <c r="C64" t="str" s="14" cm="1">
        <f t="array" ref="C64">_xlfn.IFERROR((VLOOKUP(A64,#REF!,2,FALSE)),"")</f>
      </c>
      <c r="D64" t="s" s="15">
        <v>70</v>
      </c>
      <c r="E64" t="s" s="15">
        <v>195</v>
      </c>
      <c r="F64" s="14"/>
      <c r="G64" s="14"/>
      <c r="H64" s="14"/>
      <c r="I64" t="s" s="15">
        <v>73</v>
      </c>
      <c r="J64" t="s" s="15">
        <v>74</v>
      </c>
      <c r="K64" t="s" s="15">
        <v>127</v>
      </c>
      <c r="L64" t="s" s="15">
        <v>76</v>
      </c>
      <c r="M64" t="s" s="15">
        <v>77</v>
      </c>
      <c r="N64" s="14"/>
      <c r="O64" t="s" s="15">
        <v>71</v>
      </c>
      <c r="P64" s="14"/>
      <c r="Q64" t="s" s="15">
        <v>69</v>
      </c>
      <c r="R64" t="s" s="15">
        <v>71</v>
      </c>
      <c r="S64" s="14"/>
      <c r="T64" s="14"/>
      <c r="U64" s="14"/>
      <c r="V64" t="s" s="15">
        <v>69</v>
      </c>
      <c r="W64" s="14"/>
      <c r="X64" t="s" s="15">
        <v>78</v>
      </c>
      <c r="Y64" s="14"/>
      <c r="Z64" t="s" s="15">
        <v>76</v>
      </c>
      <c r="AA64" s="14"/>
      <c r="AB64" t="s" s="15">
        <v>76</v>
      </c>
      <c r="AC64" t="s" s="15">
        <v>207</v>
      </c>
      <c r="AD64" s="14"/>
      <c r="AE64" s="14"/>
      <c r="AF64" s="14"/>
      <c r="AG64" s="14"/>
      <c r="AH64" s="14"/>
      <c r="AI64" t="s" s="15">
        <v>76</v>
      </c>
      <c r="AJ64" t="s" s="15">
        <v>76</v>
      </c>
      <c r="AK64" t="s" s="15">
        <v>79</v>
      </c>
      <c r="AL64" s="14"/>
      <c r="AM64" t="s" s="15">
        <v>196</v>
      </c>
      <c r="AN64" t="s" s="15">
        <v>187</v>
      </c>
      <c r="AO64" s="14"/>
      <c r="AP64" s="14"/>
      <c r="AQ64" s="14"/>
      <c r="AR64" s="14"/>
      <c r="AS64" t="s" s="15">
        <v>208</v>
      </c>
      <c r="AT64" s="14"/>
      <c r="AU64" s="14"/>
      <c r="AV64" s="14"/>
      <c r="AW64" s="14"/>
      <c r="AX64" s="14"/>
      <c r="AY64" s="14"/>
      <c r="AZ64" s="14"/>
      <c r="BA64" s="14"/>
      <c r="BB64" s="14"/>
      <c r="BC64" s="14"/>
      <c r="BD64" s="14"/>
      <c r="BE64" s="14"/>
      <c r="BF64" s="14"/>
      <c r="BG64" s="14"/>
      <c r="BH64" s="14"/>
      <c r="BI64" s="14"/>
      <c r="BJ64" s="14"/>
      <c r="BK64" s="14"/>
      <c r="BL64" s="14"/>
      <c r="BM64" s="14"/>
      <c r="BN64" s="14"/>
      <c r="BO64" s="16"/>
      <c r="BP64" s="8"/>
    </row>
    <row r="65" ht="9" customHeight="1" hidden="1">
      <c r="A65" t="s" s="9">
        <v>209</v>
      </c>
      <c r="B65" s="11"/>
      <c r="C65" t="str" s="11" cm="1">
        <f t="array" ref="C65">_xlfn.IFERROR((VLOOKUP(A65,#REF!,2,FALSE)),"")</f>
      </c>
      <c r="D65" t="s" s="10">
        <v>70</v>
      </c>
      <c r="E65" t="s" s="10">
        <v>126</v>
      </c>
      <c r="F65" s="11"/>
      <c r="G65" s="11"/>
      <c r="H65" s="11"/>
      <c r="I65" t="s" s="10">
        <v>111</v>
      </c>
      <c r="J65" t="s" s="10">
        <v>122</v>
      </c>
      <c r="K65" t="s" s="10">
        <v>210</v>
      </c>
      <c r="L65" t="s" s="10">
        <v>76</v>
      </c>
      <c r="M65" t="s" s="10">
        <v>77</v>
      </c>
      <c r="N65" s="11"/>
      <c r="O65" s="11"/>
      <c r="P65" s="11"/>
      <c r="Q65" t="s" s="10">
        <v>69</v>
      </c>
      <c r="R65" t="s" s="10">
        <v>83</v>
      </c>
      <c r="S65" s="11"/>
      <c r="T65" s="11"/>
      <c r="U65" s="11"/>
      <c r="V65" t="s" s="10">
        <v>69</v>
      </c>
      <c r="W65" s="11"/>
      <c r="X65" t="s" s="10">
        <v>78</v>
      </c>
      <c r="Y65" s="11"/>
      <c r="Z65" t="s" s="10">
        <v>76</v>
      </c>
      <c r="AA65" s="11"/>
      <c r="AB65" t="s" s="10">
        <v>76</v>
      </c>
      <c r="AC65" t="s" s="10">
        <v>209</v>
      </c>
      <c r="AD65" s="11"/>
      <c r="AE65" s="11"/>
      <c r="AF65" s="11"/>
      <c r="AG65" s="11"/>
      <c r="AH65" s="11"/>
      <c r="AI65" t="s" s="10">
        <v>76</v>
      </c>
      <c r="AJ65" t="s" s="10">
        <v>76</v>
      </c>
      <c r="AK65" t="s" s="10">
        <v>79</v>
      </c>
      <c r="AL65" s="11"/>
      <c r="AM65" s="11"/>
      <c r="AN65" t="s" s="10">
        <v>128</v>
      </c>
      <c r="AO65" s="11"/>
      <c r="AP65" s="11"/>
      <c r="AQ65" s="11"/>
      <c r="AR65" s="11"/>
      <c r="AS65" t="s" s="10">
        <v>211</v>
      </c>
      <c r="AT65" s="11"/>
      <c r="AU65" s="11"/>
      <c r="AV65" s="11"/>
      <c r="AW65" s="11"/>
      <c r="AX65" s="11"/>
      <c r="AY65" s="11"/>
      <c r="AZ65" s="11"/>
      <c r="BA65" s="11"/>
      <c r="BB65" s="11"/>
      <c r="BC65" s="11"/>
      <c r="BD65" s="11"/>
      <c r="BE65" s="11"/>
      <c r="BF65" s="11"/>
      <c r="BG65" s="11"/>
      <c r="BH65" s="11"/>
      <c r="BI65" s="11"/>
      <c r="BJ65" s="11"/>
      <c r="BK65" s="11"/>
      <c r="BL65" s="11"/>
      <c r="BM65" s="11"/>
      <c r="BN65" t="s" s="10">
        <v>78</v>
      </c>
      <c r="BO65" s="12"/>
      <c r="BP65" s="8"/>
    </row>
    <row r="66" ht="9" customHeight="1" hidden="1">
      <c r="A66" t="s" s="13">
        <v>212</v>
      </c>
      <c r="B66" s="14"/>
      <c r="C66" t="str" s="14" cm="1">
        <f t="array" ref="C66">_xlfn.IFERROR((VLOOKUP(A66,#REF!,2,FALSE)),"")</f>
      </c>
      <c r="D66" t="s" s="15">
        <v>70</v>
      </c>
      <c r="E66" t="s" s="15">
        <v>126</v>
      </c>
      <c r="F66" s="14"/>
      <c r="G66" s="14"/>
      <c r="H66" s="14"/>
      <c r="I66" t="s" s="15">
        <v>111</v>
      </c>
      <c r="J66" t="s" s="15">
        <v>122</v>
      </c>
      <c r="K66" t="s" s="15">
        <v>127</v>
      </c>
      <c r="L66" t="s" s="15">
        <v>76</v>
      </c>
      <c r="M66" t="s" s="15">
        <v>77</v>
      </c>
      <c r="N66" s="14"/>
      <c r="O66" s="14"/>
      <c r="P66" s="14"/>
      <c r="Q66" t="s" s="15">
        <v>69</v>
      </c>
      <c r="R66" t="s" s="15">
        <v>83</v>
      </c>
      <c r="S66" s="14"/>
      <c r="T66" s="14"/>
      <c r="U66" s="14"/>
      <c r="V66" t="s" s="15">
        <v>69</v>
      </c>
      <c r="W66" s="14"/>
      <c r="X66" t="s" s="15">
        <v>78</v>
      </c>
      <c r="Y66" s="14"/>
      <c r="Z66" t="s" s="15">
        <v>76</v>
      </c>
      <c r="AA66" s="14"/>
      <c r="AB66" t="s" s="15">
        <v>76</v>
      </c>
      <c r="AC66" t="s" s="15">
        <v>212</v>
      </c>
      <c r="AD66" s="14"/>
      <c r="AE66" s="14"/>
      <c r="AF66" s="14"/>
      <c r="AG66" s="14"/>
      <c r="AH66" s="14"/>
      <c r="AI66" t="s" s="15">
        <v>76</v>
      </c>
      <c r="AJ66" t="s" s="15">
        <v>76</v>
      </c>
      <c r="AK66" t="s" s="15">
        <v>79</v>
      </c>
      <c r="AL66" s="14"/>
      <c r="AM66" s="14"/>
      <c r="AN66" t="s" s="15">
        <v>187</v>
      </c>
      <c r="AO66" s="14"/>
      <c r="AP66" s="14"/>
      <c r="AQ66" s="14"/>
      <c r="AR66" s="14"/>
      <c r="AS66" t="s" s="15">
        <v>213</v>
      </c>
      <c r="AT66" s="14"/>
      <c r="AU66" s="14"/>
      <c r="AV66" s="14"/>
      <c r="AW66" s="14"/>
      <c r="AX66" s="14"/>
      <c r="AY66" s="14"/>
      <c r="AZ66" s="14"/>
      <c r="BA66" s="14"/>
      <c r="BB66" s="14"/>
      <c r="BC66" s="14"/>
      <c r="BD66" s="14"/>
      <c r="BE66" s="14"/>
      <c r="BF66" s="14"/>
      <c r="BG66" s="14"/>
      <c r="BH66" s="14"/>
      <c r="BI66" s="14"/>
      <c r="BJ66" s="14"/>
      <c r="BK66" s="14"/>
      <c r="BL66" s="14"/>
      <c r="BM66" s="14"/>
      <c r="BN66" t="s" s="15">
        <v>78</v>
      </c>
      <c r="BO66" s="16"/>
      <c r="BP66" s="8"/>
    </row>
    <row r="67" ht="9" customHeight="1" hidden="1">
      <c r="A67" t="s" s="9">
        <v>214</v>
      </c>
      <c r="B67" s="11"/>
      <c r="C67" t="str" s="11" cm="1">
        <f t="array" ref="C67">_xlfn.IFERROR((VLOOKUP(A67,#REF!,2,FALSE)),"")</f>
      </c>
      <c r="D67" t="s" s="10">
        <v>70</v>
      </c>
      <c r="E67" t="s" s="10">
        <v>195</v>
      </c>
      <c r="F67" s="11"/>
      <c r="G67" s="11"/>
      <c r="H67" s="11"/>
      <c r="I67" t="s" s="10">
        <v>73</v>
      </c>
      <c r="J67" t="s" s="10">
        <v>74</v>
      </c>
      <c r="K67" t="s" s="10">
        <v>127</v>
      </c>
      <c r="L67" t="s" s="10">
        <v>76</v>
      </c>
      <c r="M67" t="s" s="10">
        <v>77</v>
      </c>
      <c r="N67" s="11"/>
      <c r="O67" t="s" s="10">
        <v>71</v>
      </c>
      <c r="P67" s="11"/>
      <c r="Q67" t="s" s="10">
        <v>69</v>
      </c>
      <c r="R67" t="s" s="10">
        <v>71</v>
      </c>
      <c r="S67" s="11"/>
      <c r="T67" s="11"/>
      <c r="U67" s="11"/>
      <c r="V67" t="s" s="10">
        <v>69</v>
      </c>
      <c r="W67" s="11"/>
      <c r="X67" t="s" s="10">
        <v>78</v>
      </c>
      <c r="Y67" s="11"/>
      <c r="Z67" t="s" s="10">
        <v>76</v>
      </c>
      <c r="AA67" s="11"/>
      <c r="AB67" t="s" s="10">
        <v>76</v>
      </c>
      <c r="AC67" t="s" s="10">
        <v>214</v>
      </c>
      <c r="AD67" s="11"/>
      <c r="AE67" s="11"/>
      <c r="AF67" s="11"/>
      <c r="AG67" s="11"/>
      <c r="AH67" s="11"/>
      <c r="AI67" t="s" s="10">
        <v>76</v>
      </c>
      <c r="AJ67" t="s" s="10">
        <v>76</v>
      </c>
      <c r="AK67" t="s" s="10">
        <v>79</v>
      </c>
      <c r="AL67" s="11"/>
      <c r="AM67" t="s" s="10">
        <v>196</v>
      </c>
      <c r="AN67" t="s" s="10">
        <v>187</v>
      </c>
      <c r="AO67" s="11"/>
      <c r="AP67" s="11"/>
      <c r="AQ67" s="11"/>
      <c r="AR67" s="11"/>
      <c r="AS67" t="s" s="10">
        <v>215</v>
      </c>
      <c r="AT67" s="11"/>
      <c r="AU67" s="11"/>
      <c r="AV67" s="11"/>
      <c r="AW67" s="11"/>
      <c r="AX67" s="11"/>
      <c r="AY67" s="11"/>
      <c r="AZ67" s="11"/>
      <c r="BA67" s="11"/>
      <c r="BB67" s="11"/>
      <c r="BC67" s="11"/>
      <c r="BD67" s="11"/>
      <c r="BE67" s="11"/>
      <c r="BF67" s="11"/>
      <c r="BG67" s="11"/>
      <c r="BH67" s="11"/>
      <c r="BI67" s="11"/>
      <c r="BJ67" s="11"/>
      <c r="BK67" s="11"/>
      <c r="BL67" s="11"/>
      <c r="BM67" s="11"/>
      <c r="BN67" s="11"/>
      <c r="BO67" s="12"/>
      <c r="BP67" s="8"/>
    </row>
    <row r="68" ht="9" customHeight="1" hidden="1">
      <c r="A68" t="s" s="13">
        <v>216</v>
      </c>
      <c r="B68" s="14"/>
      <c r="C68" t="str" s="14" cm="1">
        <f t="array" ref="C68">_xlfn.IFERROR((VLOOKUP(A68,#REF!,2,FALSE)),"")</f>
      </c>
      <c r="D68" t="s" s="15">
        <v>70</v>
      </c>
      <c r="E68" t="s" s="15">
        <v>126</v>
      </c>
      <c r="F68" s="14"/>
      <c r="G68" s="14"/>
      <c r="H68" s="14"/>
      <c r="I68" t="s" s="15">
        <v>111</v>
      </c>
      <c r="J68" t="s" s="15">
        <v>122</v>
      </c>
      <c r="K68" t="s" s="15">
        <v>127</v>
      </c>
      <c r="L68" t="s" s="15">
        <v>76</v>
      </c>
      <c r="M68" t="s" s="15">
        <v>77</v>
      </c>
      <c r="N68" s="14"/>
      <c r="O68" s="14"/>
      <c r="P68" s="14"/>
      <c r="Q68" t="s" s="15">
        <v>69</v>
      </c>
      <c r="R68" t="s" s="15">
        <v>83</v>
      </c>
      <c r="S68" s="14"/>
      <c r="T68" s="14"/>
      <c r="U68" s="14"/>
      <c r="V68" t="s" s="15">
        <v>69</v>
      </c>
      <c r="W68" s="14"/>
      <c r="X68" t="s" s="15">
        <v>78</v>
      </c>
      <c r="Y68" s="14"/>
      <c r="Z68" t="s" s="15">
        <v>76</v>
      </c>
      <c r="AA68" s="14"/>
      <c r="AB68" t="s" s="15">
        <v>76</v>
      </c>
      <c r="AC68" t="s" s="15">
        <v>216</v>
      </c>
      <c r="AD68" s="14"/>
      <c r="AE68" s="14"/>
      <c r="AF68" s="14"/>
      <c r="AG68" s="14"/>
      <c r="AH68" s="14"/>
      <c r="AI68" t="s" s="15">
        <v>76</v>
      </c>
      <c r="AJ68" t="s" s="15">
        <v>76</v>
      </c>
      <c r="AK68" t="s" s="15">
        <v>79</v>
      </c>
      <c r="AL68" s="14"/>
      <c r="AM68" s="14"/>
      <c r="AN68" t="s" s="15">
        <v>128</v>
      </c>
      <c r="AO68" s="14"/>
      <c r="AP68" s="14"/>
      <c r="AQ68" s="14"/>
      <c r="AR68" s="14"/>
      <c r="AS68" t="s" s="15">
        <v>217</v>
      </c>
      <c r="AT68" s="14"/>
      <c r="AU68" s="14"/>
      <c r="AV68" s="14"/>
      <c r="AW68" s="14"/>
      <c r="AX68" s="14"/>
      <c r="AY68" s="14"/>
      <c r="AZ68" s="14"/>
      <c r="BA68" s="14"/>
      <c r="BB68" s="14"/>
      <c r="BC68" s="14"/>
      <c r="BD68" s="14"/>
      <c r="BE68" s="14"/>
      <c r="BF68" s="14"/>
      <c r="BG68" s="14"/>
      <c r="BH68" s="14"/>
      <c r="BI68" s="14"/>
      <c r="BJ68" s="14"/>
      <c r="BK68" s="14"/>
      <c r="BL68" s="14"/>
      <c r="BM68" s="14"/>
      <c r="BN68" t="s" s="15">
        <v>78</v>
      </c>
      <c r="BO68" s="16"/>
      <c r="BP68" s="8"/>
    </row>
    <row r="69" ht="9" customHeight="1" hidden="1">
      <c r="A69" t="s" s="9">
        <v>218</v>
      </c>
      <c r="B69" s="11"/>
      <c r="C69" t="str" s="11" cm="1">
        <f t="array" ref="C69">_xlfn.IFERROR((VLOOKUP(A69,#REF!,2,FALSE)),"")</f>
      </c>
      <c r="D69" t="s" s="10">
        <v>70</v>
      </c>
      <c r="E69" t="s" s="10">
        <v>126</v>
      </c>
      <c r="F69" s="11"/>
      <c r="G69" s="11"/>
      <c r="H69" s="11"/>
      <c r="I69" t="s" s="10">
        <v>73</v>
      </c>
      <c r="J69" t="s" s="10">
        <v>122</v>
      </c>
      <c r="K69" t="s" s="10">
        <v>105</v>
      </c>
      <c r="L69" t="s" s="10">
        <v>76</v>
      </c>
      <c r="M69" t="s" s="10">
        <v>77</v>
      </c>
      <c r="N69" s="11"/>
      <c r="O69" t="s" s="10">
        <v>71</v>
      </c>
      <c r="P69" s="11"/>
      <c r="Q69" t="s" s="10">
        <v>69</v>
      </c>
      <c r="R69" t="s" s="10">
        <v>71</v>
      </c>
      <c r="S69" s="11"/>
      <c r="T69" s="11"/>
      <c r="U69" s="11"/>
      <c r="V69" t="s" s="10">
        <v>69</v>
      </c>
      <c r="W69" t="s" s="10">
        <v>218</v>
      </c>
      <c r="X69" t="s" s="10">
        <v>78</v>
      </c>
      <c r="Y69" s="11"/>
      <c r="Z69" t="s" s="10">
        <v>76</v>
      </c>
      <c r="AA69" s="11"/>
      <c r="AB69" t="s" s="10">
        <v>76</v>
      </c>
      <c r="AC69" t="s" s="10">
        <v>218</v>
      </c>
      <c r="AD69" s="11"/>
      <c r="AE69" s="11"/>
      <c r="AF69" s="11"/>
      <c r="AG69" s="11"/>
      <c r="AH69" s="11"/>
      <c r="AI69" t="s" s="10">
        <v>76</v>
      </c>
      <c r="AJ69" t="s" s="10">
        <v>76</v>
      </c>
      <c r="AK69" t="s" s="10">
        <v>79</v>
      </c>
      <c r="AL69" s="11"/>
      <c r="AM69" s="11"/>
      <c r="AN69" t="s" s="10">
        <v>128</v>
      </c>
      <c r="AO69" s="11"/>
      <c r="AP69" s="11"/>
      <c r="AQ69" s="11"/>
      <c r="AR69" s="11"/>
      <c r="AS69" t="s" s="10">
        <v>219</v>
      </c>
      <c r="AT69" s="11"/>
      <c r="AU69" s="11"/>
      <c r="AV69" s="11"/>
      <c r="AW69" s="11"/>
      <c r="AX69" s="11"/>
      <c r="AY69" s="11"/>
      <c r="AZ69" s="11"/>
      <c r="BA69" s="11"/>
      <c r="BB69" s="11"/>
      <c r="BC69" s="11"/>
      <c r="BD69" s="11"/>
      <c r="BE69" s="11"/>
      <c r="BF69" s="11"/>
      <c r="BG69" s="11"/>
      <c r="BH69" s="11"/>
      <c r="BI69" s="11"/>
      <c r="BJ69" s="11"/>
      <c r="BK69" s="11"/>
      <c r="BL69" s="11"/>
      <c r="BM69" s="11"/>
      <c r="BN69" s="11"/>
      <c r="BO69" s="12"/>
      <c r="BP69" s="8"/>
    </row>
    <row r="70" ht="9" customHeight="1" hidden="1">
      <c r="A70" t="s" s="13">
        <v>220</v>
      </c>
      <c r="B70" s="14"/>
      <c r="C70" t="str" s="14" cm="1">
        <f t="array" ref="C70">_xlfn.IFERROR((VLOOKUP(A70,#REF!,2,FALSE)),"")</f>
      </c>
      <c r="D70" t="s" s="15">
        <v>70</v>
      </c>
      <c r="E70" t="s" s="15">
        <v>126</v>
      </c>
      <c r="F70" s="14"/>
      <c r="G70" s="14"/>
      <c r="H70" s="14"/>
      <c r="I70" t="s" s="15">
        <v>73</v>
      </c>
      <c r="J70" t="s" s="15">
        <v>74</v>
      </c>
      <c r="K70" t="s" s="15">
        <v>113</v>
      </c>
      <c r="L70" t="s" s="15">
        <v>76</v>
      </c>
      <c r="M70" t="s" s="15">
        <v>77</v>
      </c>
      <c r="N70" s="14"/>
      <c r="O70" t="s" s="15">
        <v>71</v>
      </c>
      <c r="P70" s="14"/>
      <c r="Q70" t="s" s="15">
        <v>69</v>
      </c>
      <c r="R70" t="s" s="15">
        <v>71</v>
      </c>
      <c r="S70" s="14"/>
      <c r="T70" s="14"/>
      <c r="U70" s="14"/>
      <c r="V70" t="s" s="15">
        <v>78</v>
      </c>
      <c r="W70" t="s" s="15">
        <v>220</v>
      </c>
      <c r="X70" t="s" s="15">
        <v>78</v>
      </c>
      <c r="Y70" s="14"/>
      <c r="Z70" t="s" s="15">
        <v>76</v>
      </c>
      <c r="AA70" s="14"/>
      <c r="AB70" t="s" s="15">
        <v>76</v>
      </c>
      <c r="AC70" t="s" s="15">
        <v>220</v>
      </c>
      <c r="AD70" s="14"/>
      <c r="AE70" s="14"/>
      <c r="AF70" s="14"/>
      <c r="AG70" s="14"/>
      <c r="AH70" s="14"/>
      <c r="AI70" t="s" s="15">
        <v>76</v>
      </c>
      <c r="AJ70" t="s" s="15">
        <v>76</v>
      </c>
      <c r="AK70" t="s" s="15">
        <v>79</v>
      </c>
      <c r="AL70" s="14"/>
      <c r="AM70" s="14"/>
      <c r="AN70" s="14"/>
      <c r="AO70" s="14"/>
      <c r="AP70" s="14"/>
      <c r="AQ70" s="14"/>
      <c r="AR70" s="14"/>
      <c r="AS70" t="s" s="15">
        <v>221</v>
      </c>
      <c r="AT70" s="14"/>
      <c r="AU70" s="14"/>
      <c r="AV70" s="14"/>
      <c r="AW70" s="14"/>
      <c r="AX70" s="14"/>
      <c r="AY70" s="14"/>
      <c r="AZ70" s="14"/>
      <c r="BA70" s="14"/>
      <c r="BB70" s="14"/>
      <c r="BC70" s="14"/>
      <c r="BD70" s="14"/>
      <c r="BE70" s="14"/>
      <c r="BF70" s="14"/>
      <c r="BG70" s="14"/>
      <c r="BH70" s="14"/>
      <c r="BI70" s="14"/>
      <c r="BJ70" s="14"/>
      <c r="BK70" s="14"/>
      <c r="BL70" s="14"/>
      <c r="BM70" s="14"/>
      <c r="BN70" s="14"/>
      <c r="BO70" s="16"/>
      <c r="BP70" s="8"/>
    </row>
    <row r="71" ht="9" customHeight="1" hidden="1">
      <c r="A71" t="s" s="9">
        <v>222</v>
      </c>
      <c r="B71" s="11"/>
      <c r="C71" t="str" s="11" cm="1">
        <f t="array" ref="C71">_xlfn.IFERROR((VLOOKUP(A71,#REF!,2,FALSE)),"")</f>
      </c>
      <c r="D71" t="s" s="10">
        <v>70</v>
      </c>
      <c r="E71" t="s" s="10">
        <v>126</v>
      </c>
      <c r="F71" s="11"/>
      <c r="G71" s="11"/>
      <c r="H71" s="11"/>
      <c r="I71" t="s" s="10">
        <v>111</v>
      </c>
      <c r="J71" t="s" s="10">
        <v>122</v>
      </c>
      <c r="K71" t="s" s="10">
        <v>210</v>
      </c>
      <c r="L71" t="s" s="10">
        <v>76</v>
      </c>
      <c r="M71" t="s" s="10">
        <v>77</v>
      </c>
      <c r="N71" s="11"/>
      <c r="O71" s="11"/>
      <c r="P71" s="11"/>
      <c r="Q71" t="s" s="10">
        <v>69</v>
      </c>
      <c r="R71" t="s" s="10">
        <v>223</v>
      </c>
      <c r="S71" s="11"/>
      <c r="T71" s="11"/>
      <c r="U71" s="11"/>
      <c r="V71" t="s" s="10">
        <v>69</v>
      </c>
      <c r="W71" s="11"/>
      <c r="X71" t="s" s="10">
        <v>78</v>
      </c>
      <c r="Y71" s="11"/>
      <c r="Z71" t="s" s="10">
        <v>76</v>
      </c>
      <c r="AA71" s="11"/>
      <c r="AB71" t="s" s="10">
        <v>76</v>
      </c>
      <c r="AC71" t="s" s="10">
        <v>222</v>
      </c>
      <c r="AD71" s="11"/>
      <c r="AE71" s="11"/>
      <c r="AF71" s="11"/>
      <c r="AG71" s="11"/>
      <c r="AH71" s="11"/>
      <c r="AI71" t="s" s="10">
        <v>76</v>
      </c>
      <c r="AJ71" t="s" s="10">
        <v>76</v>
      </c>
      <c r="AK71" t="s" s="10">
        <v>79</v>
      </c>
      <c r="AL71" s="11"/>
      <c r="AM71" s="11"/>
      <c r="AN71" t="s" s="10">
        <v>116</v>
      </c>
      <c r="AO71" s="11"/>
      <c r="AP71" s="11"/>
      <c r="AQ71" s="11"/>
      <c r="AR71" s="11"/>
      <c r="AS71" t="s" s="10">
        <v>224</v>
      </c>
      <c r="AT71" s="11"/>
      <c r="AU71" s="11"/>
      <c r="AV71" s="11"/>
      <c r="AW71" s="11"/>
      <c r="AX71" s="11"/>
      <c r="AY71" s="11"/>
      <c r="AZ71" s="11"/>
      <c r="BA71" s="11"/>
      <c r="BB71" s="11"/>
      <c r="BC71" s="11"/>
      <c r="BD71" s="11"/>
      <c r="BE71" s="11"/>
      <c r="BF71" s="11"/>
      <c r="BG71" s="11"/>
      <c r="BH71" s="11"/>
      <c r="BI71" s="11"/>
      <c r="BJ71" s="11"/>
      <c r="BK71" s="11"/>
      <c r="BL71" s="11"/>
      <c r="BM71" s="11"/>
      <c r="BN71" t="s" s="10">
        <v>78</v>
      </c>
      <c r="BO71" s="12"/>
      <c r="BP71" s="8"/>
    </row>
    <row r="72" ht="9" customHeight="1" hidden="1">
      <c r="A72" t="s" s="13">
        <v>225</v>
      </c>
      <c r="B72" s="14"/>
      <c r="C72" t="str" s="14" cm="1">
        <f t="array" ref="C72">_xlfn.IFERROR((VLOOKUP(A72,#REF!,2,FALSE)),"")</f>
      </c>
      <c r="D72" t="s" s="15">
        <v>70</v>
      </c>
      <c r="E72" t="s" s="15">
        <v>195</v>
      </c>
      <c r="F72" s="14"/>
      <c r="G72" t="s" s="15">
        <v>226</v>
      </c>
      <c r="H72" t="s" s="15">
        <v>226</v>
      </c>
      <c r="I72" t="s" s="15">
        <v>73</v>
      </c>
      <c r="J72" t="s" s="15">
        <v>74</v>
      </c>
      <c r="K72" t="s" s="15">
        <v>127</v>
      </c>
      <c r="L72" t="s" s="15">
        <v>76</v>
      </c>
      <c r="M72" t="s" s="15">
        <v>77</v>
      </c>
      <c r="N72" t="s" s="15">
        <v>226</v>
      </c>
      <c r="O72" t="s" s="15">
        <v>71</v>
      </c>
      <c r="P72" s="14"/>
      <c r="Q72" t="s" s="15">
        <v>69</v>
      </c>
      <c r="R72" t="s" s="15">
        <v>71</v>
      </c>
      <c r="S72" s="14"/>
      <c r="T72" s="14"/>
      <c r="U72" s="14"/>
      <c r="V72" t="s" s="15">
        <v>78</v>
      </c>
      <c r="W72" s="14"/>
      <c r="X72" t="s" s="15">
        <v>69</v>
      </c>
      <c r="Y72" s="14"/>
      <c r="Z72" t="s" s="15">
        <v>76</v>
      </c>
      <c r="AA72" s="14"/>
      <c r="AB72" t="s" s="15">
        <v>76</v>
      </c>
      <c r="AC72" s="14"/>
      <c r="AD72" s="14"/>
      <c r="AE72" s="14"/>
      <c r="AF72" s="14"/>
      <c r="AG72" s="14"/>
      <c r="AH72" t="s" s="15">
        <v>114</v>
      </c>
      <c r="AI72" t="s" s="15">
        <v>76</v>
      </c>
      <c r="AJ72" t="s" s="15">
        <v>76</v>
      </c>
      <c r="AK72" t="s" s="15">
        <v>79</v>
      </c>
      <c r="AL72" s="14"/>
      <c r="AM72" t="s" s="15">
        <v>196</v>
      </c>
      <c r="AN72" s="14"/>
      <c r="AO72" s="14"/>
      <c r="AP72" s="14"/>
      <c r="AQ72" s="14"/>
      <c r="AR72" s="14"/>
      <c r="AS72" t="s" s="15">
        <v>227</v>
      </c>
      <c r="AT72" s="14"/>
      <c r="AU72" s="14"/>
      <c r="AV72" s="14"/>
      <c r="AW72" s="14"/>
      <c r="AX72" s="14"/>
      <c r="AY72" s="14"/>
      <c r="AZ72" s="14"/>
      <c r="BA72" s="14"/>
      <c r="BB72" s="14"/>
      <c r="BC72" s="14"/>
      <c r="BD72" t="s" s="15">
        <v>118</v>
      </c>
      <c r="BE72" s="14"/>
      <c r="BF72" s="14"/>
      <c r="BG72" s="14"/>
      <c r="BH72" s="14"/>
      <c r="BI72" s="14"/>
      <c r="BJ72" s="14"/>
      <c r="BK72" s="14"/>
      <c r="BL72" s="14"/>
      <c r="BM72" s="14"/>
      <c r="BN72" s="14"/>
      <c r="BO72" s="16"/>
      <c r="BP72" s="8"/>
    </row>
    <row r="73" ht="9" customHeight="1" hidden="1">
      <c r="A73" t="s" s="9">
        <v>228</v>
      </c>
      <c r="B73" s="11"/>
      <c r="C73" t="str" s="11" cm="1">
        <f t="array" ref="C73">_xlfn.IFERROR((VLOOKUP(A73,#REF!,2,FALSE)),"")</f>
      </c>
      <c r="D73" t="s" s="10">
        <v>70</v>
      </c>
      <c r="E73" t="s" s="10">
        <v>126</v>
      </c>
      <c r="F73" s="11"/>
      <c r="G73" s="11"/>
      <c r="H73" s="11"/>
      <c r="I73" t="s" s="10">
        <v>111</v>
      </c>
      <c r="J73" t="s" s="10">
        <v>112</v>
      </c>
      <c r="K73" t="s" s="10">
        <v>113</v>
      </c>
      <c r="L73" t="s" s="10">
        <v>76</v>
      </c>
      <c r="M73" t="s" s="10">
        <v>77</v>
      </c>
      <c r="N73" s="11"/>
      <c r="O73" s="11"/>
      <c r="P73" s="11"/>
      <c r="Q73" t="s" s="10">
        <v>69</v>
      </c>
      <c r="R73" t="s" s="10">
        <v>83</v>
      </c>
      <c r="S73" s="11"/>
      <c r="T73" s="11"/>
      <c r="U73" s="11"/>
      <c r="V73" t="s" s="10">
        <v>69</v>
      </c>
      <c r="W73" s="11"/>
      <c r="X73" t="s" s="10">
        <v>78</v>
      </c>
      <c r="Y73" s="11"/>
      <c r="Z73" t="s" s="10">
        <v>76</v>
      </c>
      <c r="AA73" s="11"/>
      <c r="AB73" t="s" s="10">
        <v>76</v>
      </c>
      <c r="AC73" t="s" s="10">
        <v>228</v>
      </c>
      <c r="AD73" s="11"/>
      <c r="AE73" s="11"/>
      <c r="AF73" s="11"/>
      <c r="AG73" s="11"/>
      <c r="AH73" s="11"/>
      <c r="AI73" t="s" s="10">
        <v>76</v>
      </c>
      <c r="AJ73" t="s" s="10">
        <v>76</v>
      </c>
      <c r="AK73" t="s" s="10">
        <v>79</v>
      </c>
      <c r="AL73" s="11"/>
      <c r="AM73" s="11"/>
      <c r="AN73" t="s" s="10">
        <v>187</v>
      </c>
      <c r="AO73" s="11"/>
      <c r="AP73" s="11"/>
      <c r="AQ73" s="11"/>
      <c r="AR73" s="11"/>
      <c r="AS73" t="s" s="10">
        <v>229</v>
      </c>
      <c r="AT73" s="11"/>
      <c r="AU73" s="11"/>
      <c r="AV73" s="11"/>
      <c r="AW73" s="11"/>
      <c r="AX73" s="11"/>
      <c r="AY73" s="11"/>
      <c r="AZ73" s="11"/>
      <c r="BA73" s="11"/>
      <c r="BB73" s="11"/>
      <c r="BC73" s="11"/>
      <c r="BD73" s="11"/>
      <c r="BE73" s="11"/>
      <c r="BF73" s="11"/>
      <c r="BG73" s="11"/>
      <c r="BH73" s="11"/>
      <c r="BI73" s="11"/>
      <c r="BJ73" s="11"/>
      <c r="BK73" s="11"/>
      <c r="BL73" s="11"/>
      <c r="BM73" s="11"/>
      <c r="BN73" t="s" s="10">
        <v>78</v>
      </c>
      <c r="BO73" s="12"/>
      <c r="BP73" s="8"/>
    </row>
    <row r="74" ht="9" customHeight="1" hidden="1">
      <c r="A74" t="s" s="13">
        <v>230</v>
      </c>
      <c r="B74" s="14"/>
      <c r="C74" t="str" s="14" cm="1">
        <f t="array" ref="C74">_xlfn.IFERROR((VLOOKUP(A74,#REF!,2,FALSE)),"")</f>
      </c>
      <c r="D74" t="s" s="15">
        <v>70</v>
      </c>
      <c r="E74" t="s" s="15">
        <v>126</v>
      </c>
      <c r="F74" s="14"/>
      <c r="G74" s="14"/>
      <c r="H74" s="14"/>
      <c r="I74" t="s" s="15">
        <v>111</v>
      </c>
      <c r="J74" t="s" s="15">
        <v>122</v>
      </c>
      <c r="K74" t="s" s="15">
        <v>127</v>
      </c>
      <c r="L74" t="s" s="15">
        <v>76</v>
      </c>
      <c r="M74" t="s" s="15">
        <v>77</v>
      </c>
      <c r="N74" s="14"/>
      <c r="O74" s="14"/>
      <c r="P74" s="14"/>
      <c r="Q74" t="s" s="15">
        <v>69</v>
      </c>
      <c r="R74" t="s" s="15">
        <v>83</v>
      </c>
      <c r="S74" s="14"/>
      <c r="T74" s="14"/>
      <c r="U74" s="14"/>
      <c r="V74" t="s" s="15">
        <v>69</v>
      </c>
      <c r="W74" s="14"/>
      <c r="X74" t="s" s="15">
        <v>78</v>
      </c>
      <c r="Y74" s="14"/>
      <c r="Z74" t="s" s="15">
        <v>76</v>
      </c>
      <c r="AA74" s="14"/>
      <c r="AB74" t="s" s="15">
        <v>76</v>
      </c>
      <c r="AC74" t="s" s="15">
        <v>230</v>
      </c>
      <c r="AD74" s="14"/>
      <c r="AE74" s="14"/>
      <c r="AF74" s="14"/>
      <c r="AG74" s="14"/>
      <c r="AH74" s="14"/>
      <c r="AI74" t="s" s="15">
        <v>76</v>
      </c>
      <c r="AJ74" t="s" s="15">
        <v>76</v>
      </c>
      <c r="AK74" t="s" s="15">
        <v>79</v>
      </c>
      <c r="AL74" s="14"/>
      <c r="AM74" s="14"/>
      <c r="AN74" t="s" s="15">
        <v>187</v>
      </c>
      <c r="AO74" s="14"/>
      <c r="AP74" s="14"/>
      <c r="AQ74" s="14"/>
      <c r="AR74" s="14"/>
      <c r="AS74" t="s" s="15">
        <v>231</v>
      </c>
      <c r="AT74" s="14"/>
      <c r="AU74" s="14"/>
      <c r="AV74" s="14"/>
      <c r="AW74" s="14"/>
      <c r="AX74" s="14"/>
      <c r="AY74" s="14"/>
      <c r="AZ74" s="14"/>
      <c r="BA74" s="14"/>
      <c r="BB74" s="14"/>
      <c r="BC74" s="14"/>
      <c r="BD74" s="14"/>
      <c r="BE74" s="14"/>
      <c r="BF74" s="14"/>
      <c r="BG74" s="14"/>
      <c r="BH74" s="14"/>
      <c r="BI74" s="14"/>
      <c r="BJ74" s="14"/>
      <c r="BK74" s="14"/>
      <c r="BL74" s="14"/>
      <c r="BM74" s="14"/>
      <c r="BN74" t="s" s="15">
        <v>78</v>
      </c>
      <c r="BO74" s="16"/>
      <c r="BP74" s="8"/>
    </row>
    <row r="75" ht="9" customHeight="1" hidden="1">
      <c r="A75" t="s" s="9">
        <v>232</v>
      </c>
      <c r="B75" s="11"/>
      <c r="C75" t="str" s="11" cm="1">
        <f t="array" ref="C75">_xlfn.IFERROR((VLOOKUP(A75,#REF!,2,FALSE)),"")</f>
      </c>
      <c r="D75" t="s" s="10">
        <v>70</v>
      </c>
      <c r="E75" t="s" s="10">
        <v>126</v>
      </c>
      <c r="F75" s="11"/>
      <c r="G75" s="11"/>
      <c r="H75" s="11"/>
      <c r="I75" t="s" s="10">
        <v>111</v>
      </c>
      <c r="J75" t="s" s="10">
        <v>122</v>
      </c>
      <c r="K75" t="s" s="10">
        <v>127</v>
      </c>
      <c r="L75" t="s" s="10">
        <v>76</v>
      </c>
      <c r="M75" t="s" s="10">
        <v>77</v>
      </c>
      <c r="N75" s="11"/>
      <c r="O75" s="11"/>
      <c r="P75" s="11"/>
      <c r="Q75" t="s" s="10">
        <v>69</v>
      </c>
      <c r="R75" t="s" s="10">
        <v>83</v>
      </c>
      <c r="S75" s="11"/>
      <c r="T75" s="11"/>
      <c r="U75" s="11"/>
      <c r="V75" t="s" s="10">
        <v>69</v>
      </c>
      <c r="W75" s="11"/>
      <c r="X75" t="s" s="10">
        <v>78</v>
      </c>
      <c r="Y75" s="11"/>
      <c r="Z75" t="s" s="10">
        <v>76</v>
      </c>
      <c r="AA75" s="11"/>
      <c r="AB75" t="s" s="10">
        <v>76</v>
      </c>
      <c r="AC75" t="s" s="10">
        <v>232</v>
      </c>
      <c r="AD75" s="11"/>
      <c r="AE75" s="11"/>
      <c r="AF75" s="11"/>
      <c r="AG75" s="11"/>
      <c r="AH75" s="11"/>
      <c r="AI75" t="s" s="10">
        <v>76</v>
      </c>
      <c r="AJ75" t="s" s="10">
        <v>76</v>
      </c>
      <c r="AK75" t="s" s="10">
        <v>79</v>
      </c>
      <c r="AL75" s="11"/>
      <c r="AM75" s="11"/>
      <c r="AN75" t="s" s="10">
        <v>233</v>
      </c>
      <c r="AO75" s="11"/>
      <c r="AP75" s="11"/>
      <c r="AQ75" s="11"/>
      <c r="AR75" s="11"/>
      <c r="AS75" t="s" s="10">
        <v>234</v>
      </c>
      <c r="AT75" s="11"/>
      <c r="AU75" s="11"/>
      <c r="AV75" s="11"/>
      <c r="AW75" s="11"/>
      <c r="AX75" s="11"/>
      <c r="AY75" s="11"/>
      <c r="AZ75" s="11"/>
      <c r="BA75" s="11"/>
      <c r="BB75" s="11"/>
      <c r="BC75" s="11"/>
      <c r="BD75" s="11"/>
      <c r="BE75" s="11"/>
      <c r="BF75" s="11"/>
      <c r="BG75" s="11"/>
      <c r="BH75" s="11"/>
      <c r="BI75" s="11"/>
      <c r="BJ75" s="11"/>
      <c r="BK75" s="11"/>
      <c r="BL75" s="11"/>
      <c r="BM75" s="11"/>
      <c r="BN75" t="s" s="10">
        <v>78</v>
      </c>
      <c r="BO75" s="12"/>
      <c r="BP75" s="8"/>
    </row>
    <row r="76" ht="9" customHeight="1" hidden="1">
      <c r="A76" t="s" s="13">
        <v>235</v>
      </c>
      <c r="B76" s="14"/>
      <c r="C76" t="str" s="14" cm="1">
        <f t="array" ref="C76">_xlfn.IFERROR((VLOOKUP(A76,#REF!,2,FALSE)),"")</f>
      </c>
      <c r="D76" t="s" s="15">
        <v>70</v>
      </c>
      <c r="E76" t="s" s="15">
        <v>126</v>
      </c>
      <c r="F76" s="14"/>
      <c r="G76" s="14"/>
      <c r="H76" s="14"/>
      <c r="I76" t="s" s="15">
        <v>111</v>
      </c>
      <c r="J76" t="s" s="15">
        <v>122</v>
      </c>
      <c r="K76" t="s" s="15">
        <v>105</v>
      </c>
      <c r="L76" t="s" s="15">
        <v>76</v>
      </c>
      <c r="M76" t="s" s="15">
        <v>77</v>
      </c>
      <c r="N76" s="14"/>
      <c r="O76" s="14"/>
      <c r="P76" s="14"/>
      <c r="Q76" t="s" s="15">
        <v>69</v>
      </c>
      <c r="R76" t="s" s="15">
        <v>83</v>
      </c>
      <c r="S76" s="14"/>
      <c r="T76" s="14"/>
      <c r="U76" s="14"/>
      <c r="V76" t="s" s="15">
        <v>69</v>
      </c>
      <c r="W76" s="14"/>
      <c r="X76" t="s" s="15">
        <v>78</v>
      </c>
      <c r="Y76" s="14"/>
      <c r="Z76" t="s" s="15">
        <v>76</v>
      </c>
      <c r="AA76" s="14"/>
      <c r="AB76" t="s" s="15">
        <v>76</v>
      </c>
      <c r="AC76" t="s" s="15">
        <v>235</v>
      </c>
      <c r="AD76" s="14"/>
      <c r="AE76" s="14"/>
      <c r="AF76" s="14"/>
      <c r="AG76" s="14"/>
      <c r="AH76" s="14"/>
      <c r="AI76" t="s" s="15">
        <v>76</v>
      </c>
      <c r="AJ76" t="s" s="15">
        <v>76</v>
      </c>
      <c r="AK76" t="s" s="15">
        <v>79</v>
      </c>
      <c r="AL76" s="14"/>
      <c r="AM76" s="14"/>
      <c r="AN76" t="s" s="15">
        <v>128</v>
      </c>
      <c r="AO76" s="14"/>
      <c r="AP76" s="14"/>
      <c r="AQ76" s="14"/>
      <c r="AR76" s="14"/>
      <c r="AS76" t="s" s="15">
        <v>236</v>
      </c>
      <c r="AT76" s="14"/>
      <c r="AU76" s="14"/>
      <c r="AV76" s="14"/>
      <c r="AW76" s="14"/>
      <c r="AX76" s="14"/>
      <c r="AY76" s="14"/>
      <c r="AZ76" s="14"/>
      <c r="BA76" s="14"/>
      <c r="BB76" s="14"/>
      <c r="BC76" s="14"/>
      <c r="BD76" s="14"/>
      <c r="BE76" s="14"/>
      <c r="BF76" s="14"/>
      <c r="BG76" s="14"/>
      <c r="BH76" s="14"/>
      <c r="BI76" s="14"/>
      <c r="BJ76" s="14"/>
      <c r="BK76" s="14"/>
      <c r="BL76" s="14"/>
      <c r="BM76" s="14"/>
      <c r="BN76" t="s" s="15">
        <v>78</v>
      </c>
      <c r="BO76" s="16"/>
      <c r="BP76" s="8"/>
    </row>
    <row r="77" ht="9" customHeight="1" hidden="1">
      <c r="A77" t="s" s="9">
        <v>237</v>
      </c>
      <c r="B77" s="11"/>
      <c r="C77" t="str" s="11" cm="1">
        <f t="array" ref="C77">_xlfn.IFERROR((VLOOKUP(A77,#REF!,2,FALSE)),"")</f>
      </c>
      <c r="D77" t="s" s="10">
        <v>70</v>
      </c>
      <c r="E77" t="s" s="10">
        <v>195</v>
      </c>
      <c r="F77" s="11"/>
      <c r="G77" s="11"/>
      <c r="H77" s="11"/>
      <c r="I77" t="s" s="10">
        <v>73</v>
      </c>
      <c r="J77" t="s" s="10">
        <v>122</v>
      </c>
      <c r="K77" t="s" s="10">
        <v>140</v>
      </c>
      <c r="L77" t="s" s="10">
        <v>76</v>
      </c>
      <c r="M77" t="s" s="10">
        <v>77</v>
      </c>
      <c r="N77" s="11"/>
      <c r="O77" t="s" s="10">
        <v>71</v>
      </c>
      <c r="P77" s="11"/>
      <c r="Q77" t="s" s="10">
        <v>78</v>
      </c>
      <c r="R77" t="s" s="10">
        <v>71</v>
      </c>
      <c r="S77" s="11"/>
      <c r="T77" s="11"/>
      <c r="U77" s="11"/>
      <c r="V77" t="s" s="10">
        <v>69</v>
      </c>
      <c r="W77" s="11"/>
      <c r="X77" t="s" s="10">
        <v>78</v>
      </c>
      <c r="Y77" s="11"/>
      <c r="Z77" t="s" s="10">
        <v>76</v>
      </c>
      <c r="AA77" s="11"/>
      <c r="AB77" t="s" s="10">
        <v>76</v>
      </c>
      <c r="AC77" t="s" s="10">
        <v>237</v>
      </c>
      <c r="AD77" s="11"/>
      <c r="AE77" s="11"/>
      <c r="AF77" s="11"/>
      <c r="AG77" s="11"/>
      <c r="AH77" s="11"/>
      <c r="AI77" t="s" s="10">
        <v>76</v>
      </c>
      <c r="AJ77" t="s" s="10">
        <v>76</v>
      </c>
      <c r="AK77" t="s" s="10">
        <v>79</v>
      </c>
      <c r="AL77" s="11"/>
      <c r="AM77" t="s" s="10">
        <v>196</v>
      </c>
      <c r="AN77" t="s" s="10">
        <v>238</v>
      </c>
      <c r="AO77" s="11"/>
      <c r="AP77" s="11"/>
      <c r="AQ77" s="11"/>
      <c r="AR77" s="11"/>
      <c r="AS77" t="s" s="10">
        <v>239</v>
      </c>
      <c r="AT77" s="11"/>
      <c r="AU77" s="11"/>
      <c r="AV77" s="11"/>
      <c r="AW77" s="11"/>
      <c r="AX77" s="11"/>
      <c r="AY77" s="11"/>
      <c r="AZ77" s="11"/>
      <c r="BA77" s="11"/>
      <c r="BB77" s="11"/>
      <c r="BC77" s="11"/>
      <c r="BD77" s="11"/>
      <c r="BE77" s="11"/>
      <c r="BF77" s="11"/>
      <c r="BG77" s="11"/>
      <c r="BH77" s="11"/>
      <c r="BI77" s="11"/>
      <c r="BJ77" s="11"/>
      <c r="BK77" s="11"/>
      <c r="BL77" s="11"/>
      <c r="BM77" s="11"/>
      <c r="BN77" s="11"/>
      <c r="BO77" s="12"/>
      <c r="BP77" s="8"/>
    </row>
    <row r="78" ht="9" customHeight="1" hidden="1">
      <c r="A78" t="s" s="13">
        <v>240</v>
      </c>
      <c r="B78" s="14"/>
      <c r="C78" t="str" s="14" cm="1">
        <f t="array" ref="C78">_xlfn.IFERROR((VLOOKUP(A78,#REF!,2,FALSE)),"")</f>
      </c>
      <c r="D78" t="s" s="15">
        <v>70</v>
      </c>
      <c r="E78" t="s" s="15">
        <v>126</v>
      </c>
      <c r="F78" s="14"/>
      <c r="G78" s="14"/>
      <c r="H78" s="14"/>
      <c r="I78" t="s" s="15">
        <v>111</v>
      </c>
      <c r="J78" t="s" s="15">
        <v>122</v>
      </c>
      <c r="K78" t="s" s="15">
        <v>113</v>
      </c>
      <c r="L78" t="s" s="15">
        <v>76</v>
      </c>
      <c r="M78" t="s" s="15">
        <v>77</v>
      </c>
      <c r="N78" s="14"/>
      <c r="O78" s="14"/>
      <c r="P78" s="14"/>
      <c r="Q78" t="s" s="15">
        <v>69</v>
      </c>
      <c r="R78" t="s" s="15">
        <v>83</v>
      </c>
      <c r="S78" s="14"/>
      <c r="T78" s="14"/>
      <c r="U78" s="14"/>
      <c r="V78" t="s" s="15">
        <v>69</v>
      </c>
      <c r="W78" s="14"/>
      <c r="X78" t="s" s="15">
        <v>78</v>
      </c>
      <c r="Y78" s="14"/>
      <c r="Z78" t="s" s="15">
        <v>76</v>
      </c>
      <c r="AA78" s="14"/>
      <c r="AB78" t="s" s="15">
        <v>76</v>
      </c>
      <c r="AC78" s="14"/>
      <c r="AD78" s="14"/>
      <c r="AE78" s="14"/>
      <c r="AF78" s="14"/>
      <c r="AG78" s="14"/>
      <c r="AH78" s="14"/>
      <c r="AI78" t="s" s="15">
        <v>76</v>
      </c>
      <c r="AJ78" t="s" s="15">
        <v>76</v>
      </c>
      <c r="AK78" t="s" s="15">
        <v>79</v>
      </c>
      <c r="AL78" s="14"/>
      <c r="AM78" s="14"/>
      <c r="AN78" t="s" s="15">
        <v>128</v>
      </c>
      <c r="AO78" s="14"/>
      <c r="AP78" s="14"/>
      <c r="AQ78" s="14"/>
      <c r="AR78" s="14"/>
      <c r="AS78" t="s" s="15">
        <v>241</v>
      </c>
      <c r="AT78" s="14"/>
      <c r="AU78" s="14"/>
      <c r="AV78" s="14"/>
      <c r="AW78" s="14"/>
      <c r="AX78" s="14"/>
      <c r="AY78" s="14"/>
      <c r="AZ78" s="14"/>
      <c r="BA78" s="14"/>
      <c r="BB78" s="14"/>
      <c r="BC78" s="14"/>
      <c r="BD78" s="14"/>
      <c r="BE78" s="14"/>
      <c r="BF78" s="14"/>
      <c r="BG78" s="14"/>
      <c r="BH78" s="14"/>
      <c r="BI78" s="14"/>
      <c r="BJ78" s="14"/>
      <c r="BK78" s="14"/>
      <c r="BL78" s="14"/>
      <c r="BM78" s="14"/>
      <c r="BN78" t="s" s="15">
        <v>78</v>
      </c>
      <c r="BO78" s="16"/>
      <c r="BP78" s="8"/>
    </row>
    <row r="79" ht="9" customHeight="1" hidden="1">
      <c r="A79" t="s" s="9">
        <v>242</v>
      </c>
      <c r="B79" s="11"/>
      <c r="C79" t="str" s="11" cm="1">
        <f t="array" ref="C79">_xlfn.IFERROR((VLOOKUP(A79,#REF!,2,FALSE)),"")</f>
      </c>
      <c r="D79" t="s" s="10">
        <v>70</v>
      </c>
      <c r="E79" t="s" s="10">
        <v>126</v>
      </c>
      <c r="F79" s="11"/>
      <c r="G79" s="11"/>
      <c r="H79" s="11"/>
      <c r="I79" t="s" s="10">
        <v>111</v>
      </c>
      <c r="J79" t="s" s="10">
        <v>122</v>
      </c>
      <c r="K79" t="s" s="10">
        <v>140</v>
      </c>
      <c r="L79" t="s" s="10">
        <v>76</v>
      </c>
      <c r="M79" t="s" s="10">
        <v>77</v>
      </c>
      <c r="N79" s="11"/>
      <c r="O79" s="11"/>
      <c r="P79" s="11"/>
      <c r="Q79" t="s" s="10">
        <v>69</v>
      </c>
      <c r="R79" t="s" s="10">
        <v>83</v>
      </c>
      <c r="S79" s="11"/>
      <c r="T79" s="11"/>
      <c r="U79" s="11"/>
      <c r="V79" t="s" s="10">
        <v>69</v>
      </c>
      <c r="W79" s="11"/>
      <c r="X79" t="s" s="10">
        <v>78</v>
      </c>
      <c r="Y79" s="11"/>
      <c r="Z79" t="s" s="10">
        <v>76</v>
      </c>
      <c r="AA79" s="11"/>
      <c r="AB79" t="s" s="10">
        <v>76</v>
      </c>
      <c r="AC79" t="s" s="10">
        <v>242</v>
      </c>
      <c r="AD79" s="11"/>
      <c r="AE79" s="11"/>
      <c r="AF79" s="11"/>
      <c r="AG79" s="11"/>
      <c r="AH79" s="11"/>
      <c r="AI79" t="s" s="10">
        <v>76</v>
      </c>
      <c r="AJ79" t="s" s="10">
        <v>76</v>
      </c>
      <c r="AK79" t="s" s="10">
        <v>79</v>
      </c>
      <c r="AL79" s="11"/>
      <c r="AM79" s="11"/>
      <c r="AN79" t="s" s="10">
        <v>128</v>
      </c>
      <c r="AO79" s="11"/>
      <c r="AP79" s="11"/>
      <c r="AQ79" s="11"/>
      <c r="AR79" s="11"/>
      <c r="AS79" t="s" s="10">
        <v>243</v>
      </c>
      <c r="AT79" s="11"/>
      <c r="AU79" s="11"/>
      <c r="AV79" s="11"/>
      <c r="AW79" s="11"/>
      <c r="AX79" s="11"/>
      <c r="AY79" s="11"/>
      <c r="AZ79" s="11"/>
      <c r="BA79" s="11"/>
      <c r="BB79" s="11"/>
      <c r="BC79" s="11"/>
      <c r="BD79" s="11"/>
      <c r="BE79" s="11"/>
      <c r="BF79" s="11"/>
      <c r="BG79" s="11"/>
      <c r="BH79" s="11"/>
      <c r="BI79" s="11"/>
      <c r="BJ79" s="11"/>
      <c r="BK79" s="11"/>
      <c r="BL79" s="11"/>
      <c r="BM79" s="11"/>
      <c r="BN79" t="s" s="10">
        <v>78</v>
      </c>
      <c r="BO79" s="12"/>
      <c r="BP79" s="8"/>
    </row>
    <row r="80" ht="9" customHeight="1" hidden="1">
      <c r="A80" t="s" s="13">
        <v>244</v>
      </c>
      <c r="B80" s="14"/>
      <c r="C80" t="str" s="14" cm="1">
        <f t="array" ref="C80">_xlfn.IFERROR((VLOOKUP(A80,#REF!,2,FALSE)),"")</f>
      </c>
      <c r="D80" t="s" s="15">
        <v>70</v>
      </c>
      <c r="E80" t="s" s="15">
        <v>126</v>
      </c>
      <c r="F80" s="14"/>
      <c r="G80" s="14"/>
      <c r="H80" s="14"/>
      <c r="I80" t="s" s="15">
        <v>111</v>
      </c>
      <c r="J80" t="s" s="15">
        <v>112</v>
      </c>
      <c r="K80" t="s" s="15">
        <v>113</v>
      </c>
      <c r="L80" t="s" s="15">
        <v>76</v>
      </c>
      <c r="M80" t="s" s="15">
        <v>77</v>
      </c>
      <c r="N80" s="14"/>
      <c r="O80" s="14"/>
      <c r="P80" s="14"/>
      <c r="Q80" t="s" s="15">
        <v>69</v>
      </c>
      <c r="R80" t="s" s="15">
        <v>83</v>
      </c>
      <c r="S80" s="14"/>
      <c r="T80" s="14"/>
      <c r="U80" s="14"/>
      <c r="V80" t="s" s="15">
        <v>69</v>
      </c>
      <c r="W80" s="14"/>
      <c r="X80" t="s" s="15">
        <v>78</v>
      </c>
      <c r="Y80" s="14"/>
      <c r="Z80" t="s" s="15">
        <v>76</v>
      </c>
      <c r="AA80" s="14"/>
      <c r="AB80" t="s" s="15">
        <v>76</v>
      </c>
      <c r="AC80" t="s" s="15">
        <v>244</v>
      </c>
      <c r="AD80" s="14"/>
      <c r="AE80" s="14"/>
      <c r="AF80" s="14"/>
      <c r="AG80" s="14"/>
      <c r="AH80" s="14"/>
      <c r="AI80" t="s" s="15">
        <v>76</v>
      </c>
      <c r="AJ80" t="s" s="15">
        <v>76</v>
      </c>
      <c r="AK80" t="s" s="15">
        <v>79</v>
      </c>
      <c r="AL80" s="14"/>
      <c r="AM80" s="14"/>
      <c r="AN80" t="s" s="15">
        <v>190</v>
      </c>
      <c r="AO80" s="14"/>
      <c r="AP80" s="14"/>
      <c r="AQ80" s="14"/>
      <c r="AR80" s="14"/>
      <c r="AS80" t="s" s="15">
        <v>245</v>
      </c>
      <c r="AT80" s="14"/>
      <c r="AU80" s="14"/>
      <c r="AV80" s="14"/>
      <c r="AW80" s="14"/>
      <c r="AX80" s="14"/>
      <c r="AY80" s="14"/>
      <c r="AZ80" s="14"/>
      <c r="BA80" s="14"/>
      <c r="BB80" s="14"/>
      <c r="BC80" s="14"/>
      <c r="BD80" s="14"/>
      <c r="BE80" s="14"/>
      <c r="BF80" s="14"/>
      <c r="BG80" s="14"/>
      <c r="BH80" s="14"/>
      <c r="BI80" s="14"/>
      <c r="BJ80" s="14"/>
      <c r="BK80" s="14"/>
      <c r="BL80" s="14"/>
      <c r="BM80" s="14"/>
      <c r="BN80" t="s" s="15">
        <v>78</v>
      </c>
      <c r="BO80" s="16"/>
      <c r="BP80" s="8"/>
    </row>
    <row r="81" ht="9" customHeight="1" hidden="1">
      <c r="A81" t="s" s="9">
        <v>246</v>
      </c>
      <c r="B81" s="11"/>
      <c r="C81" t="str" s="11" cm="1">
        <f t="array" ref="C81">_xlfn.IFERROR((VLOOKUP(A81,#REF!,2,FALSE)),"")</f>
      </c>
      <c r="D81" t="s" s="10">
        <v>70</v>
      </c>
      <c r="E81" t="s" s="10">
        <v>126</v>
      </c>
      <c r="F81" s="11"/>
      <c r="G81" s="11"/>
      <c r="H81" s="11"/>
      <c r="I81" t="s" s="10">
        <v>111</v>
      </c>
      <c r="J81" t="s" s="10">
        <v>122</v>
      </c>
      <c r="K81" t="s" s="10">
        <v>127</v>
      </c>
      <c r="L81" t="s" s="10">
        <v>76</v>
      </c>
      <c r="M81" t="s" s="10">
        <v>77</v>
      </c>
      <c r="N81" s="11"/>
      <c r="O81" s="11"/>
      <c r="P81" s="11"/>
      <c r="Q81" t="s" s="10">
        <v>69</v>
      </c>
      <c r="R81" t="s" s="10">
        <v>83</v>
      </c>
      <c r="S81" s="11"/>
      <c r="T81" s="11"/>
      <c r="U81" s="11"/>
      <c r="V81" t="s" s="10">
        <v>69</v>
      </c>
      <c r="W81" s="11"/>
      <c r="X81" t="s" s="10">
        <v>78</v>
      </c>
      <c r="Y81" s="11"/>
      <c r="Z81" t="s" s="10">
        <v>76</v>
      </c>
      <c r="AA81" s="11"/>
      <c r="AB81" t="s" s="10">
        <v>76</v>
      </c>
      <c r="AC81" t="s" s="10">
        <v>246</v>
      </c>
      <c r="AD81" s="11"/>
      <c r="AE81" s="11"/>
      <c r="AF81" s="11"/>
      <c r="AG81" s="11"/>
      <c r="AH81" s="11"/>
      <c r="AI81" t="s" s="10">
        <v>76</v>
      </c>
      <c r="AJ81" t="s" s="10">
        <v>76</v>
      </c>
      <c r="AK81" t="s" s="10">
        <v>79</v>
      </c>
      <c r="AL81" s="11"/>
      <c r="AM81" s="11"/>
      <c r="AN81" t="s" s="10">
        <v>187</v>
      </c>
      <c r="AO81" s="11"/>
      <c r="AP81" s="11"/>
      <c r="AQ81" s="11"/>
      <c r="AR81" s="11"/>
      <c r="AS81" t="s" s="10">
        <v>247</v>
      </c>
      <c r="AT81" s="11"/>
      <c r="AU81" s="11"/>
      <c r="AV81" s="11"/>
      <c r="AW81" s="11"/>
      <c r="AX81" s="11"/>
      <c r="AY81" s="11"/>
      <c r="AZ81" s="11"/>
      <c r="BA81" s="11"/>
      <c r="BB81" s="11"/>
      <c r="BC81" s="11"/>
      <c r="BD81" s="11"/>
      <c r="BE81" s="11"/>
      <c r="BF81" s="11"/>
      <c r="BG81" s="11"/>
      <c r="BH81" s="11"/>
      <c r="BI81" s="11"/>
      <c r="BJ81" s="11"/>
      <c r="BK81" s="11"/>
      <c r="BL81" s="11"/>
      <c r="BM81" s="11"/>
      <c r="BN81" t="s" s="10">
        <v>78</v>
      </c>
      <c r="BO81" s="12"/>
      <c r="BP81" s="8"/>
    </row>
    <row r="82" ht="9" customHeight="1" hidden="1">
      <c r="A82" t="s" s="13">
        <v>248</v>
      </c>
      <c r="B82" s="14"/>
      <c r="C82" t="str" s="14" cm="1">
        <f t="array" ref="C82">_xlfn.IFERROR((VLOOKUP(A82,#REF!,2,FALSE)),"")</f>
      </c>
      <c r="D82" t="s" s="15">
        <v>70</v>
      </c>
      <c r="E82" t="s" s="15">
        <v>126</v>
      </c>
      <c r="F82" s="14"/>
      <c r="G82" s="14"/>
      <c r="H82" s="14"/>
      <c r="I82" t="s" s="15">
        <v>111</v>
      </c>
      <c r="J82" t="s" s="15">
        <v>112</v>
      </c>
      <c r="K82" t="s" s="15">
        <v>113</v>
      </c>
      <c r="L82" t="s" s="15">
        <v>76</v>
      </c>
      <c r="M82" t="s" s="15">
        <v>77</v>
      </c>
      <c r="N82" s="14"/>
      <c r="O82" s="14"/>
      <c r="P82" s="14"/>
      <c r="Q82" t="s" s="15">
        <v>69</v>
      </c>
      <c r="R82" t="s" s="15">
        <v>83</v>
      </c>
      <c r="S82" s="14"/>
      <c r="T82" s="14"/>
      <c r="U82" s="14"/>
      <c r="V82" t="s" s="15">
        <v>78</v>
      </c>
      <c r="W82" s="14"/>
      <c r="X82" t="s" s="15">
        <v>78</v>
      </c>
      <c r="Y82" s="14"/>
      <c r="Z82" t="s" s="15">
        <v>76</v>
      </c>
      <c r="AA82" s="14"/>
      <c r="AB82" t="s" s="15">
        <v>76</v>
      </c>
      <c r="AC82" t="s" s="15">
        <v>248</v>
      </c>
      <c r="AD82" s="14"/>
      <c r="AE82" s="14"/>
      <c r="AF82" s="14"/>
      <c r="AG82" s="14"/>
      <c r="AH82" s="14"/>
      <c r="AI82" t="s" s="15">
        <v>76</v>
      </c>
      <c r="AJ82" t="s" s="15">
        <v>76</v>
      </c>
      <c r="AK82" t="s" s="15">
        <v>79</v>
      </c>
      <c r="AL82" s="14"/>
      <c r="AM82" s="14"/>
      <c r="AN82" s="14"/>
      <c r="AO82" s="14"/>
      <c r="AP82" s="14"/>
      <c r="AQ82" s="14"/>
      <c r="AR82" s="14"/>
      <c r="AS82" t="s" s="15">
        <v>249</v>
      </c>
      <c r="AT82" s="14"/>
      <c r="AU82" s="14"/>
      <c r="AV82" s="14"/>
      <c r="AW82" s="14"/>
      <c r="AX82" s="14"/>
      <c r="AY82" s="14"/>
      <c r="AZ82" s="14"/>
      <c r="BA82" s="14"/>
      <c r="BB82" s="14"/>
      <c r="BC82" s="14"/>
      <c r="BD82" s="14"/>
      <c r="BE82" s="14"/>
      <c r="BF82" s="14"/>
      <c r="BG82" s="14"/>
      <c r="BH82" s="14"/>
      <c r="BI82" s="14"/>
      <c r="BJ82" s="14"/>
      <c r="BK82" s="14"/>
      <c r="BL82" s="14"/>
      <c r="BM82" s="14"/>
      <c r="BN82" t="s" s="15">
        <v>78</v>
      </c>
      <c r="BO82" s="16"/>
      <c r="BP82" s="8"/>
    </row>
    <row r="83" ht="9" customHeight="1" hidden="1">
      <c r="A83" t="s" s="9">
        <v>250</v>
      </c>
      <c r="B83" s="11"/>
      <c r="C83" t="str" s="11" cm="1">
        <f t="array" ref="C83">_xlfn.IFERROR((VLOOKUP(A83,#REF!,2,FALSE)),"")</f>
      </c>
      <c r="D83" t="s" s="10">
        <v>70</v>
      </c>
      <c r="E83" t="s" s="10">
        <v>126</v>
      </c>
      <c r="F83" s="11"/>
      <c r="G83" s="11"/>
      <c r="H83" s="11"/>
      <c r="I83" t="s" s="10">
        <v>111</v>
      </c>
      <c r="J83" t="s" s="10">
        <v>122</v>
      </c>
      <c r="K83" t="s" s="10">
        <v>113</v>
      </c>
      <c r="L83" t="s" s="10">
        <v>76</v>
      </c>
      <c r="M83" t="s" s="10">
        <v>77</v>
      </c>
      <c r="N83" s="11"/>
      <c r="O83" s="11"/>
      <c r="P83" s="11"/>
      <c r="Q83" t="s" s="10">
        <v>69</v>
      </c>
      <c r="R83" t="s" s="10">
        <v>83</v>
      </c>
      <c r="S83" s="11"/>
      <c r="T83" s="11"/>
      <c r="U83" s="11"/>
      <c r="V83" t="s" s="10">
        <v>69</v>
      </c>
      <c r="W83" s="11"/>
      <c r="X83" t="s" s="10">
        <v>78</v>
      </c>
      <c r="Y83" s="11"/>
      <c r="Z83" t="s" s="10">
        <v>76</v>
      </c>
      <c r="AA83" s="11"/>
      <c r="AB83" t="s" s="10">
        <v>76</v>
      </c>
      <c r="AC83" t="s" s="10">
        <v>250</v>
      </c>
      <c r="AD83" s="11"/>
      <c r="AE83" s="11"/>
      <c r="AF83" s="11"/>
      <c r="AG83" s="11"/>
      <c r="AH83" s="11"/>
      <c r="AI83" t="s" s="10">
        <v>76</v>
      </c>
      <c r="AJ83" t="s" s="10">
        <v>76</v>
      </c>
      <c r="AK83" t="s" s="10">
        <v>79</v>
      </c>
      <c r="AL83" s="11"/>
      <c r="AM83" s="11"/>
      <c r="AN83" t="s" s="10">
        <v>116</v>
      </c>
      <c r="AO83" s="11"/>
      <c r="AP83" s="11"/>
      <c r="AQ83" s="11"/>
      <c r="AR83" s="11"/>
      <c r="AS83" t="s" s="10">
        <v>251</v>
      </c>
      <c r="AT83" s="11"/>
      <c r="AU83" s="11"/>
      <c r="AV83" s="11"/>
      <c r="AW83" s="11"/>
      <c r="AX83" s="11"/>
      <c r="AY83" s="11"/>
      <c r="AZ83" s="11"/>
      <c r="BA83" s="11"/>
      <c r="BB83" s="11"/>
      <c r="BC83" s="11"/>
      <c r="BD83" s="11"/>
      <c r="BE83" s="11"/>
      <c r="BF83" s="11"/>
      <c r="BG83" s="11"/>
      <c r="BH83" s="11"/>
      <c r="BI83" s="11"/>
      <c r="BJ83" s="11"/>
      <c r="BK83" s="11"/>
      <c r="BL83" s="11"/>
      <c r="BM83" s="11"/>
      <c r="BN83" t="s" s="10">
        <v>78</v>
      </c>
      <c r="BO83" s="12"/>
      <c r="BP83" s="8"/>
    </row>
    <row r="84" ht="9" customHeight="1" hidden="1">
      <c r="A84" t="s" s="13">
        <v>252</v>
      </c>
      <c r="B84" s="14"/>
      <c r="C84" t="str" s="14" cm="1">
        <f t="array" ref="C84">_xlfn.IFERROR((VLOOKUP(A84,#REF!,2,FALSE)),"")</f>
      </c>
      <c r="D84" t="s" s="15">
        <v>70</v>
      </c>
      <c r="E84" t="s" s="15">
        <v>126</v>
      </c>
      <c r="F84" s="14"/>
      <c r="G84" s="14"/>
      <c r="H84" s="14"/>
      <c r="I84" t="s" s="15">
        <v>111</v>
      </c>
      <c r="J84" t="s" s="15">
        <v>122</v>
      </c>
      <c r="K84" t="s" s="15">
        <v>113</v>
      </c>
      <c r="L84" t="s" s="15">
        <v>76</v>
      </c>
      <c r="M84" t="s" s="15">
        <v>77</v>
      </c>
      <c r="N84" s="14"/>
      <c r="O84" s="14"/>
      <c r="P84" s="14"/>
      <c r="Q84" t="s" s="15">
        <v>69</v>
      </c>
      <c r="R84" t="s" s="15">
        <v>83</v>
      </c>
      <c r="S84" s="14"/>
      <c r="T84" s="14"/>
      <c r="U84" s="14"/>
      <c r="V84" t="s" s="15">
        <v>69</v>
      </c>
      <c r="W84" s="14"/>
      <c r="X84" t="s" s="15">
        <v>78</v>
      </c>
      <c r="Y84" s="14"/>
      <c r="Z84" t="s" s="15">
        <v>76</v>
      </c>
      <c r="AA84" s="14"/>
      <c r="AB84" t="s" s="15">
        <v>76</v>
      </c>
      <c r="AC84" t="s" s="15">
        <v>252</v>
      </c>
      <c r="AD84" s="14"/>
      <c r="AE84" s="14"/>
      <c r="AF84" s="14"/>
      <c r="AG84" s="14"/>
      <c r="AH84" s="14"/>
      <c r="AI84" t="s" s="15">
        <v>76</v>
      </c>
      <c r="AJ84" t="s" s="15">
        <v>76</v>
      </c>
      <c r="AK84" t="s" s="15">
        <v>79</v>
      </c>
      <c r="AL84" s="14"/>
      <c r="AM84" s="14"/>
      <c r="AN84" t="s" s="15">
        <v>128</v>
      </c>
      <c r="AO84" s="14"/>
      <c r="AP84" s="14"/>
      <c r="AQ84" s="14"/>
      <c r="AR84" s="14"/>
      <c r="AS84" t="s" s="15">
        <v>253</v>
      </c>
      <c r="AT84" s="14"/>
      <c r="AU84" s="14"/>
      <c r="AV84" s="14"/>
      <c r="AW84" s="14"/>
      <c r="AX84" s="14"/>
      <c r="AY84" s="14"/>
      <c r="AZ84" s="14"/>
      <c r="BA84" s="14"/>
      <c r="BB84" s="14"/>
      <c r="BC84" s="14"/>
      <c r="BD84" s="14"/>
      <c r="BE84" s="14"/>
      <c r="BF84" s="14"/>
      <c r="BG84" s="14"/>
      <c r="BH84" s="14"/>
      <c r="BI84" s="14"/>
      <c r="BJ84" s="14"/>
      <c r="BK84" s="14"/>
      <c r="BL84" s="14"/>
      <c r="BM84" s="14"/>
      <c r="BN84" t="s" s="15">
        <v>78</v>
      </c>
      <c r="BO84" s="16"/>
      <c r="BP84" s="8"/>
    </row>
    <row r="85" ht="9" customHeight="1" hidden="1">
      <c r="A85" t="s" s="9">
        <v>254</v>
      </c>
      <c r="B85" s="11"/>
      <c r="C85" t="str" s="11" cm="1">
        <f t="array" ref="C85">_xlfn.IFERROR((VLOOKUP(A85,#REF!,2,FALSE)),"")</f>
      </c>
      <c r="D85" t="s" s="10">
        <v>70</v>
      </c>
      <c r="E85" t="s" s="10">
        <v>195</v>
      </c>
      <c r="F85" s="11"/>
      <c r="G85" s="11"/>
      <c r="H85" s="11"/>
      <c r="I85" t="s" s="10">
        <v>73</v>
      </c>
      <c r="J85" t="s" s="10">
        <v>74</v>
      </c>
      <c r="K85" t="s" s="10">
        <v>105</v>
      </c>
      <c r="L85" t="s" s="10">
        <v>76</v>
      </c>
      <c r="M85" t="s" s="10">
        <v>77</v>
      </c>
      <c r="N85" s="11"/>
      <c r="O85" t="s" s="10">
        <v>71</v>
      </c>
      <c r="P85" s="11"/>
      <c r="Q85" t="s" s="10">
        <v>69</v>
      </c>
      <c r="R85" t="s" s="10">
        <v>71</v>
      </c>
      <c r="S85" s="11"/>
      <c r="T85" s="11"/>
      <c r="U85" s="11"/>
      <c r="V85" t="s" s="10">
        <v>69</v>
      </c>
      <c r="W85" s="11"/>
      <c r="X85" t="s" s="10">
        <v>78</v>
      </c>
      <c r="Y85" s="11"/>
      <c r="Z85" t="s" s="10">
        <v>76</v>
      </c>
      <c r="AA85" s="11"/>
      <c r="AB85" t="s" s="10">
        <v>76</v>
      </c>
      <c r="AC85" t="s" s="10">
        <v>254</v>
      </c>
      <c r="AD85" s="11"/>
      <c r="AE85" s="11"/>
      <c r="AF85" s="11"/>
      <c r="AG85" s="11"/>
      <c r="AH85" s="11"/>
      <c r="AI85" t="s" s="10">
        <v>76</v>
      </c>
      <c r="AJ85" t="s" s="10">
        <v>76</v>
      </c>
      <c r="AK85" t="s" s="10">
        <v>79</v>
      </c>
      <c r="AL85" s="11"/>
      <c r="AM85" t="s" s="10">
        <v>196</v>
      </c>
      <c r="AN85" t="s" s="10">
        <v>128</v>
      </c>
      <c r="AO85" s="11"/>
      <c r="AP85" s="11"/>
      <c r="AQ85" s="11"/>
      <c r="AR85" s="11"/>
      <c r="AS85" t="s" s="10">
        <v>255</v>
      </c>
      <c r="AT85" s="11"/>
      <c r="AU85" s="11"/>
      <c r="AV85" s="11"/>
      <c r="AW85" s="11"/>
      <c r="AX85" s="11"/>
      <c r="AY85" s="11"/>
      <c r="AZ85" s="11"/>
      <c r="BA85" s="11"/>
      <c r="BB85" s="11"/>
      <c r="BC85" s="11"/>
      <c r="BD85" s="11"/>
      <c r="BE85" s="11"/>
      <c r="BF85" s="11"/>
      <c r="BG85" s="11"/>
      <c r="BH85" s="11"/>
      <c r="BI85" s="11"/>
      <c r="BJ85" s="11"/>
      <c r="BK85" s="11"/>
      <c r="BL85" s="11"/>
      <c r="BM85" s="11"/>
      <c r="BN85" s="11"/>
      <c r="BO85" s="12"/>
      <c r="BP85" s="8"/>
    </row>
    <row r="86" ht="9" customHeight="1" hidden="1">
      <c r="A86" t="s" s="13">
        <v>256</v>
      </c>
      <c r="B86" s="14"/>
      <c r="C86" t="str" s="14" cm="1">
        <f t="array" ref="C86">_xlfn.IFERROR((VLOOKUP(A86,#REF!,2,FALSE)),"")</f>
      </c>
      <c r="D86" t="s" s="15">
        <v>70</v>
      </c>
      <c r="E86" t="s" s="15">
        <v>126</v>
      </c>
      <c r="F86" s="14"/>
      <c r="G86" s="14"/>
      <c r="H86" s="14"/>
      <c r="I86" t="s" s="15">
        <v>111</v>
      </c>
      <c r="J86" t="s" s="15">
        <v>122</v>
      </c>
      <c r="K86" t="s" s="15">
        <v>127</v>
      </c>
      <c r="L86" t="s" s="15">
        <v>76</v>
      </c>
      <c r="M86" t="s" s="15">
        <v>77</v>
      </c>
      <c r="N86" s="14"/>
      <c r="O86" s="14"/>
      <c r="P86" s="14"/>
      <c r="Q86" t="s" s="15">
        <v>69</v>
      </c>
      <c r="R86" t="s" s="15">
        <v>83</v>
      </c>
      <c r="S86" s="14"/>
      <c r="T86" s="14"/>
      <c r="U86" s="14"/>
      <c r="V86" t="s" s="15">
        <v>69</v>
      </c>
      <c r="W86" s="14"/>
      <c r="X86" t="s" s="15">
        <v>78</v>
      </c>
      <c r="Y86" s="14"/>
      <c r="Z86" t="s" s="15">
        <v>76</v>
      </c>
      <c r="AA86" s="14"/>
      <c r="AB86" t="s" s="15">
        <v>76</v>
      </c>
      <c r="AC86" t="s" s="15">
        <v>256</v>
      </c>
      <c r="AD86" s="14"/>
      <c r="AE86" s="14"/>
      <c r="AF86" s="14"/>
      <c r="AG86" s="14"/>
      <c r="AH86" s="14"/>
      <c r="AI86" t="s" s="15">
        <v>76</v>
      </c>
      <c r="AJ86" t="s" s="15">
        <v>76</v>
      </c>
      <c r="AK86" t="s" s="15">
        <v>79</v>
      </c>
      <c r="AL86" s="14"/>
      <c r="AM86" s="14"/>
      <c r="AN86" t="s" s="15">
        <v>187</v>
      </c>
      <c r="AO86" s="14"/>
      <c r="AP86" s="14"/>
      <c r="AQ86" s="14"/>
      <c r="AR86" s="14"/>
      <c r="AS86" t="s" s="15">
        <v>257</v>
      </c>
      <c r="AT86" s="14"/>
      <c r="AU86" s="14"/>
      <c r="AV86" s="14"/>
      <c r="AW86" s="14"/>
      <c r="AX86" s="14"/>
      <c r="AY86" s="14"/>
      <c r="AZ86" s="14"/>
      <c r="BA86" s="14"/>
      <c r="BB86" s="14"/>
      <c r="BC86" s="14"/>
      <c r="BD86" s="14"/>
      <c r="BE86" s="14"/>
      <c r="BF86" s="14"/>
      <c r="BG86" s="14"/>
      <c r="BH86" s="14"/>
      <c r="BI86" s="14"/>
      <c r="BJ86" s="14"/>
      <c r="BK86" s="14"/>
      <c r="BL86" s="14"/>
      <c r="BM86" s="14"/>
      <c r="BN86" t="s" s="15">
        <v>78</v>
      </c>
      <c r="BO86" s="16"/>
      <c r="BP86" s="8"/>
    </row>
    <row r="87" ht="9" customHeight="1" hidden="1">
      <c r="A87" t="s" s="9">
        <v>258</v>
      </c>
      <c r="B87" s="11"/>
      <c r="C87" t="str" s="11" cm="1">
        <f t="array" ref="C87">_xlfn.IFERROR((VLOOKUP(A87,#REF!,2,FALSE)),"")</f>
      </c>
      <c r="D87" t="s" s="10">
        <v>70</v>
      </c>
      <c r="E87" t="s" s="10">
        <v>126</v>
      </c>
      <c r="F87" s="11"/>
      <c r="G87" s="11"/>
      <c r="H87" s="11"/>
      <c r="I87" t="s" s="10">
        <v>111</v>
      </c>
      <c r="J87" t="s" s="10">
        <v>122</v>
      </c>
      <c r="K87" t="s" s="10">
        <v>127</v>
      </c>
      <c r="L87" t="s" s="10">
        <v>76</v>
      </c>
      <c r="M87" t="s" s="10">
        <v>77</v>
      </c>
      <c r="N87" s="11"/>
      <c r="O87" s="11"/>
      <c r="P87" s="11"/>
      <c r="Q87" t="s" s="10">
        <v>69</v>
      </c>
      <c r="R87" t="s" s="10">
        <v>83</v>
      </c>
      <c r="S87" s="11"/>
      <c r="T87" s="11"/>
      <c r="U87" s="11"/>
      <c r="V87" t="s" s="10">
        <v>69</v>
      </c>
      <c r="W87" s="11"/>
      <c r="X87" t="s" s="10">
        <v>78</v>
      </c>
      <c r="Y87" s="11"/>
      <c r="Z87" t="s" s="10">
        <v>76</v>
      </c>
      <c r="AA87" s="11"/>
      <c r="AB87" t="s" s="10">
        <v>76</v>
      </c>
      <c r="AC87" t="s" s="10">
        <v>258</v>
      </c>
      <c r="AD87" s="11"/>
      <c r="AE87" s="11"/>
      <c r="AF87" s="11"/>
      <c r="AG87" s="11"/>
      <c r="AH87" s="11"/>
      <c r="AI87" t="s" s="10">
        <v>76</v>
      </c>
      <c r="AJ87" t="s" s="10">
        <v>76</v>
      </c>
      <c r="AK87" t="s" s="10">
        <v>79</v>
      </c>
      <c r="AL87" s="11"/>
      <c r="AM87" s="11"/>
      <c r="AN87" t="s" s="10">
        <v>128</v>
      </c>
      <c r="AO87" s="11"/>
      <c r="AP87" s="11"/>
      <c r="AQ87" s="11"/>
      <c r="AR87" s="11"/>
      <c r="AS87" t="s" s="10">
        <v>259</v>
      </c>
      <c r="AT87" s="11"/>
      <c r="AU87" s="11"/>
      <c r="AV87" s="11"/>
      <c r="AW87" s="11"/>
      <c r="AX87" s="11"/>
      <c r="AY87" s="11"/>
      <c r="AZ87" s="11"/>
      <c r="BA87" s="11"/>
      <c r="BB87" s="11"/>
      <c r="BC87" s="11"/>
      <c r="BD87" s="11"/>
      <c r="BE87" s="11"/>
      <c r="BF87" s="11"/>
      <c r="BG87" s="11"/>
      <c r="BH87" s="11"/>
      <c r="BI87" s="11"/>
      <c r="BJ87" s="11"/>
      <c r="BK87" s="11"/>
      <c r="BL87" s="11"/>
      <c r="BM87" s="11"/>
      <c r="BN87" s="11"/>
      <c r="BO87" s="12"/>
      <c r="BP87" s="8"/>
    </row>
    <row r="88" ht="9" customHeight="1" hidden="1">
      <c r="A88" t="s" s="13">
        <v>260</v>
      </c>
      <c r="B88" s="14"/>
      <c r="C88" t="str" s="14" cm="1">
        <f t="array" ref="C88">_xlfn.IFERROR((VLOOKUP(A88,#REF!,2,FALSE)),"")</f>
      </c>
      <c r="D88" t="s" s="15">
        <v>70</v>
      </c>
      <c r="E88" t="s" s="15">
        <v>261</v>
      </c>
      <c r="F88" s="14"/>
      <c r="G88" s="14"/>
      <c r="H88" s="14"/>
      <c r="I88" t="s" s="15">
        <v>111</v>
      </c>
      <c r="J88" t="s" s="15">
        <v>122</v>
      </c>
      <c r="K88" t="s" s="15">
        <v>127</v>
      </c>
      <c r="L88" t="s" s="15">
        <v>76</v>
      </c>
      <c r="M88" t="s" s="15">
        <v>77</v>
      </c>
      <c r="N88" s="14"/>
      <c r="O88" s="14"/>
      <c r="P88" s="14"/>
      <c r="Q88" t="s" s="15">
        <v>69</v>
      </c>
      <c r="R88" t="s" s="15">
        <v>83</v>
      </c>
      <c r="S88" s="14"/>
      <c r="T88" s="14"/>
      <c r="U88" s="14"/>
      <c r="V88" t="s" s="15">
        <v>69</v>
      </c>
      <c r="W88" s="14"/>
      <c r="X88" t="s" s="15">
        <v>78</v>
      </c>
      <c r="Y88" s="14"/>
      <c r="Z88" t="s" s="15">
        <v>76</v>
      </c>
      <c r="AA88" s="14"/>
      <c r="AB88" t="s" s="15">
        <v>76</v>
      </c>
      <c r="AC88" t="s" s="15">
        <v>260</v>
      </c>
      <c r="AD88" s="14"/>
      <c r="AE88" s="14"/>
      <c r="AF88" s="14"/>
      <c r="AG88" s="14"/>
      <c r="AH88" s="14"/>
      <c r="AI88" t="s" s="15">
        <v>76</v>
      </c>
      <c r="AJ88" t="s" s="15">
        <v>76</v>
      </c>
      <c r="AK88" t="s" s="15">
        <v>79</v>
      </c>
      <c r="AL88" s="14"/>
      <c r="AM88" s="14"/>
      <c r="AN88" t="s" s="15">
        <v>128</v>
      </c>
      <c r="AO88" s="14"/>
      <c r="AP88" s="14"/>
      <c r="AQ88" s="14"/>
      <c r="AR88" s="14"/>
      <c r="AS88" t="s" s="15">
        <v>262</v>
      </c>
      <c r="AT88" s="14"/>
      <c r="AU88" s="14"/>
      <c r="AV88" s="14"/>
      <c r="AW88" s="14"/>
      <c r="AX88" s="14"/>
      <c r="AY88" s="14"/>
      <c r="AZ88" s="14"/>
      <c r="BA88" s="14"/>
      <c r="BB88" s="14"/>
      <c r="BC88" s="14"/>
      <c r="BD88" s="14"/>
      <c r="BE88" s="14"/>
      <c r="BF88" s="14"/>
      <c r="BG88" s="14"/>
      <c r="BH88" s="14"/>
      <c r="BI88" s="14"/>
      <c r="BJ88" s="14"/>
      <c r="BK88" s="14"/>
      <c r="BL88" s="14"/>
      <c r="BM88" s="14"/>
      <c r="BN88" s="14"/>
      <c r="BO88" s="16"/>
      <c r="BP88" s="8"/>
    </row>
    <row r="89" ht="9" customHeight="1" hidden="1">
      <c r="A89" t="s" s="9">
        <v>263</v>
      </c>
      <c r="B89" s="11"/>
      <c r="C89" t="str" s="11" cm="1">
        <f t="array" ref="C89">_xlfn.IFERROR((VLOOKUP(A89,#REF!,2,FALSE)),"")</f>
      </c>
      <c r="D89" t="s" s="10">
        <v>70</v>
      </c>
      <c r="E89" t="s" s="10">
        <v>261</v>
      </c>
      <c r="F89" s="11"/>
      <c r="G89" s="11"/>
      <c r="H89" s="11"/>
      <c r="I89" t="s" s="10">
        <v>73</v>
      </c>
      <c r="J89" t="s" s="10">
        <v>74</v>
      </c>
      <c r="K89" t="s" s="10">
        <v>127</v>
      </c>
      <c r="L89" t="s" s="10">
        <v>76</v>
      </c>
      <c r="M89" t="s" s="10">
        <v>77</v>
      </c>
      <c r="N89" s="11"/>
      <c r="O89" t="s" s="10">
        <v>71</v>
      </c>
      <c r="P89" s="11"/>
      <c r="Q89" t="s" s="10">
        <v>69</v>
      </c>
      <c r="R89" t="s" s="10">
        <v>71</v>
      </c>
      <c r="S89" s="11"/>
      <c r="T89" s="11"/>
      <c r="U89" s="11"/>
      <c r="V89" t="s" s="10">
        <v>69</v>
      </c>
      <c r="W89" t="s" s="10">
        <v>263</v>
      </c>
      <c r="X89" t="s" s="10">
        <v>78</v>
      </c>
      <c r="Y89" s="11"/>
      <c r="Z89" t="s" s="10">
        <v>76</v>
      </c>
      <c r="AA89" s="11"/>
      <c r="AB89" t="s" s="10">
        <v>76</v>
      </c>
      <c r="AC89" t="s" s="10">
        <v>263</v>
      </c>
      <c r="AD89" s="11"/>
      <c r="AE89" s="11"/>
      <c r="AF89" s="11"/>
      <c r="AG89" s="11"/>
      <c r="AH89" s="11"/>
      <c r="AI89" t="s" s="10">
        <v>76</v>
      </c>
      <c r="AJ89" t="s" s="10">
        <v>76</v>
      </c>
      <c r="AK89" t="s" s="10">
        <v>79</v>
      </c>
      <c r="AL89" s="11"/>
      <c r="AM89" s="11"/>
      <c r="AN89" t="s" s="10">
        <v>264</v>
      </c>
      <c r="AO89" s="11"/>
      <c r="AP89" s="11"/>
      <c r="AQ89" s="11"/>
      <c r="AR89" s="11"/>
      <c r="AS89" t="s" s="10">
        <v>265</v>
      </c>
      <c r="AT89" s="11"/>
      <c r="AU89" s="11"/>
      <c r="AV89" s="11"/>
      <c r="AW89" s="11"/>
      <c r="AX89" s="11"/>
      <c r="AY89" s="11"/>
      <c r="AZ89" s="11"/>
      <c r="BA89" s="11"/>
      <c r="BB89" s="11"/>
      <c r="BC89" s="11"/>
      <c r="BD89" s="11"/>
      <c r="BE89" s="11"/>
      <c r="BF89" s="11"/>
      <c r="BG89" s="11"/>
      <c r="BH89" s="11"/>
      <c r="BI89" s="11"/>
      <c r="BJ89" s="11"/>
      <c r="BK89" s="11"/>
      <c r="BL89" s="11"/>
      <c r="BM89" s="11"/>
      <c r="BN89" s="11"/>
      <c r="BO89" s="12"/>
      <c r="BP89" s="8"/>
    </row>
    <row r="90" ht="9" customHeight="1" hidden="1">
      <c r="A90" t="s" s="13">
        <v>266</v>
      </c>
      <c r="B90" s="14"/>
      <c r="C90" t="str" s="14" cm="1">
        <f t="array" ref="C90">_xlfn.IFERROR((VLOOKUP(A90,#REF!,2,FALSE)),"")</f>
      </c>
      <c r="D90" t="s" s="15">
        <v>70</v>
      </c>
      <c r="E90" s="14"/>
      <c r="F90" s="14"/>
      <c r="G90" t="s" s="15">
        <v>267</v>
      </c>
      <c r="H90" t="s" s="15">
        <v>267</v>
      </c>
      <c r="I90" t="s" s="15">
        <v>111</v>
      </c>
      <c r="J90" t="s" s="15">
        <v>122</v>
      </c>
      <c r="K90" t="s" s="15">
        <v>75</v>
      </c>
      <c r="L90" t="s" s="15">
        <v>76</v>
      </c>
      <c r="M90" t="s" s="15">
        <v>77</v>
      </c>
      <c r="N90" t="s" s="15">
        <v>267</v>
      </c>
      <c r="O90" s="14"/>
      <c r="P90" s="14"/>
      <c r="Q90" t="s" s="15">
        <v>78</v>
      </c>
      <c r="R90" t="s" s="15">
        <v>83</v>
      </c>
      <c r="S90" s="14"/>
      <c r="T90" s="14"/>
      <c r="U90" s="14"/>
      <c r="V90" t="s" s="15">
        <v>78</v>
      </c>
      <c r="W90" s="14"/>
      <c r="X90" t="s" s="15">
        <v>69</v>
      </c>
      <c r="Y90" s="14"/>
      <c r="Z90" t="s" s="15">
        <v>76</v>
      </c>
      <c r="AA90" s="14"/>
      <c r="AB90" t="s" s="15">
        <v>76</v>
      </c>
      <c r="AC90" s="14"/>
      <c r="AD90" s="14"/>
      <c r="AE90" s="14"/>
      <c r="AF90" s="14"/>
      <c r="AG90" s="14"/>
      <c r="AH90" s="14"/>
      <c r="AI90" t="s" s="15">
        <v>76</v>
      </c>
      <c r="AJ90" t="s" s="15">
        <v>76</v>
      </c>
      <c r="AK90" t="s" s="15">
        <v>79</v>
      </c>
      <c r="AL90" t="s" s="15">
        <v>115</v>
      </c>
      <c r="AM90" s="14"/>
      <c r="AN90" s="14"/>
      <c r="AO90" s="14"/>
      <c r="AP90" s="14"/>
      <c r="AQ90" s="14"/>
      <c r="AR90" s="14"/>
      <c r="AS90" t="s" s="15">
        <v>268</v>
      </c>
      <c r="AT90" s="14"/>
      <c r="AU90" s="14"/>
      <c r="AV90" s="14"/>
      <c r="AW90" s="14"/>
      <c r="AX90" s="14"/>
      <c r="AY90" s="14"/>
      <c r="AZ90" s="14"/>
      <c r="BA90" s="14"/>
      <c r="BB90" s="14"/>
      <c r="BC90" s="14"/>
      <c r="BD90" s="14"/>
      <c r="BE90" s="14"/>
      <c r="BF90" s="14"/>
      <c r="BG90" s="14"/>
      <c r="BH90" s="14"/>
      <c r="BI90" s="14"/>
      <c r="BJ90" s="14"/>
      <c r="BK90" s="14"/>
      <c r="BL90" s="14"/>
      <c r="BM90" s="14"/>
      <c r="BN90" s="14"/>
      <c r="BO90" s="16"/>
      <c r="BP90" s="8"/>
    </row>
    <row r="91" ht="9" customHeight="1" hidden="1">
      <c r="A91" t="s" s="9">
        <v>269</v>
      </c>
      <c r="B91" s="11"/>
      <c r="C91" t="str" s="11" cm="1">
        <f t="array" ref="C91">_xlfn.IFERROR((VLOOKUP(A91,#REF!,2,FALSE)),"")</f>
      </c>
      <c r="D91" s="11"/>
      <c r="E91" s="11"/>
      <c r="F91" s="11"/>
      <c r="G91" t="s" s="10">
        <v>270</v>
      </c>
      <c r="H91" t="s" s="10">
        <v>270</v>
      </c>
      <c r="I91" t="s" s="10">
        <v>271</v>
      </c>
      <c r="J91" t="s" s="10">
        <v>74</v>
      </c>
      <c r="K91" t="s" s="10">
        <v>140</v>
      </c>
      <c r="L91" t="s" s="10">
        <v>76</v>
      </c>
      <c r="M91" t="s" s="10">
        <v>77</v>
      </c>
      <c r="N91" t="s" s="10">
        <v>270</v>
      </c>
      <c r="O91" t="s" s="10">
        <v>71</v>
      </c>
      <c r="P91" s="11"/>
      <c r="Q91" t="s" s="10">
        <v>78</v>
      </c>
      <c r="R91" t="s" s="10">
        <v>83</v>
      </c>
      <c r="S91" s="11"/>
      <c r="T91" s="11"/>
      <c r="U91" s="11"/>
      <c r="V91" t="s" s="10">
        <v>78</v>
      </c>
      <c r="W91" s="11"/>
      <c r="X91" t="s" s="10">
        <v>69</v>
      </c>
      <c r="Y91" s="11"/>
      <c r="Z91" t="s" s="10">
        <v>76</v>
      </c>
      <c r="AA91" s="11"/>
      <c r="AB91" t="s" s="10">
        <v>76</v>
      </c>
      <c r="AC91" s="11"/>
      <c r="AD91" s="11"/>
      <c r="AE91" s="11"/>
      <c r="AF91" s="11"/>
      <c r="AG91" s="11"/>
      <c r="AH91" t="s" s="10">
        <v>106</v>
      </c>
      <c r="AI91" t="s" s="10">
        <v>76</v>
      </c>
      <c r="AJ91" t="s" s="10">
        <v>76</v>
      </c>
      <c r="AK91" t="s" s="10">
        <v>79</v>
      </c>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2"/>
      <c r="BP91" s="8"/>
    </row>
    <row r="92" ht="9" customHeight="1" hidden="1">
      <c r="A92" t="s" s="13">
        <v>272</v>
      </c>
      <c r="B92" t="s" s="15">
        <v>69</v>
      </c>
      <c r="C92" t="str" s="14" cm="1">
        <f t="array" ref="C92">_xlfn.IFERROR((VLOOKUP(A92,#REF!,2,FALSE)),"")</f>
      </c>
      <c r="D92" t="s" s="15">
        <v>70</v>
      </c>
      <c r="E92" t="s" s="15">
        <v>71</v>
      </c>
      <c r="F92" s="14"/>
      <c r="G92" t="s" s="15">
        <v>273</v>
      </c>
      <c r="H92" t="s" s="15">
        <v>273</v>
      </c>
      <c r="I92" t="s" s="15">
        <v>271</v>
      </c>
      <c r="J92" t="s" s="15">
        <v>74</v>
      </c>
      <c r="K92" t="s" s="15">
        <v>127</v>
      </c>
      <c r="L92" t="s" s="15">
        <v>76</v>
      </c>
      <c r="M92" t="s" s="15">
        <v>77</v>
      </c>
      <c r="N92" t="s" s="15">
        <v>273</v>
      </c>
      <c r="O92" t="s" s="15">
        <v>71</v>
      </c>
      <c r="P92" s="14"/>
      <c r="Q92" t="s" s="15">
        <v>78</v>
      </c>
      <c r="R92" t="s" s="15">
        <v>83</v>
      </c>
      <c r="S92" s="14"/>
      <c r="T92" s="14"/>
      <c r="U92" s="14"/>
      <c r="V92" t="s" s="15">
        <v>78</v>
      </c>
      <c r="W92" s="14"/>
      <c r="X92" t="s" s="15">
        <v>69</v>
      </c>
      <c r="Y92" s="14"/>
      <c r="Z92" t="s" s="15">
        <v>76</v>
      </c>
      <c r="AA92" s="14"/>
      <c r="AB92" t="s" s="15">
        <v>76</v>
      </c>
      <c r="AC92" s="14"/>
      <c r="AD92" s="14"/>
      <c r="AE92" s="14"/>
      <c r="AF92" s="14"/>
      <c r="AG92" s="14"/>
      <c r="AH92" s="14"/>
      <c r="AI92" t="s" s="15">
        <v>76</v>
      </c>
      <c r="AJ92" t="s" s="15">
        <v>76</v>
      </c>
      <c r="AK92" t="s" s="15">
        <v>79</v>
      </c>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6"/>
      <c r="BP92" s="8"/>
    </row>
    <row r="93" ht="9" customHeight="1" hidden="1">
      <c r="A93" t="s" s="9">
        <v>274</v>
      </c>
      <c r="B93" t="s" s="10">
        <v>69</v>
      </c>
      <c r="C93" t="str" s="11" cm="1">
        <f t="array" ref="C93">_xlfn.IFERROR((VLOOKUP(A93,#REF!,2,FALSE)),"")</f>
      </c>
      <c r="D93" t="s" s="10">
        <v>70</v>
      </c>
      <c r="E93" t="s" s="10">
        <v>71</v>
      </c>
      <c r="F93" s="11"/>
      <c r="G93" t="s" s="10">
        <v>275</v>
      </c>
      <c r="H93" t="s" s="10">
        <v>276</v>
      </c>
      <c r="I93" t="s" s="10">
        <v>73</v>
      </c>
      <c r="J93" t="s" s="10">
        <v>74</v>
      </c>
      <c r="K93" t="s" s="10">
        <v>113</v>
      </c>
      <c r="L93" t="s" s="10">
        <v>76</v>
      </c>
      <c r="M93" t="s" s="10">
        <v>77</v>
      </c>
      <c r="N93" t="s" s="10">
        <v>275</v>
      </c>
      <c r="O93" t="s" s="10">
        <v>71</v>
      </c>
      <c r="P93" s="11"/>
      <c r="Q93" t="s" s="10">
        <v>78</v>
      </c>
      <c r="R93" t="s" s="10">
        <v>71</v>
      </c>
      <c r="S93" s="11"/>
      <c r="T93" s="11"/>
      <c r="U93" s="11"/>
      <c r="V93" t="s" s="10">
        <v>78</v>
      </c>
      <c r="W93" t="s" s="10">
        <v>274</v>
      </c>
      <c r="X93" t="s" s="10">
        <v>69</v>
      </c>
      <c r="Y93" s="11"/>
      <c r="Z93" t="s" s="10">
        <v>76</v>
      </c>
      <c r="AA93" s="11"/>
      <c r="AB93" t="s" s="10">
        <v>76</v>
      </c>
      <c r="AC93" s="11"/>
      <c r="AD93" s="11"/>
      <c r="AE93" s="11"/>
      <c r="AF93" s="11"/>
      <c r="AG93" s="11"/>
      <c r="AH93" s="11"/>
      <c r="AI93" t="s" s="10">
        <v>76</v>
      </c>
      <c r="AJ93" t="s" s="10">
        <v>76</v>
      </c>
      <c r="AK93" t="s" s="10">
        <v>79</v>
      </c>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2"/>
      <c r="BP93" s="8"/>
    </row>
    <row r="94" ht="9" customHeight="1" hidden="1">
      <c r="A94" t="s" s="13">
        <v>277</v>
      </c>
      <c r="B94" t="s" s="15">
        <v>69</v>
      </c>
      <c r="C94" t="str" s="14" cm="1">
        <f t="array" ref="C94">_xlfn.IFERROR((VLOOKUP(A94,#REF!,2,FALSE)),"")</f>
      </c>
      <c r="D94" t="s" s="15">
        <v>70</v>
      </c>
      <c r="E94" t="s" s="15">
        <v>71</v>
      </c>
      <c r="F94" s="14"/>
      <c r="G94" t="s" s="15">
        <v>278</v>
      </c>
      <c r="H94" t="s" s="15">
        <v>279</v>
      </c>
      <c r="I94" t="s" s="15">
        <v>73</v>
      </c>
      <c r="J94" t="s" s="15">
        <v>74</v>
      </c>
      <c r="K94" t="s" s="15">
        <v>140</v>
      </c>
      <c r="L94" t="s" s="15">
        <v>76</v>
      </c>
      <c r="M94" t="s" s="15">
        <v>77</v>
      </c>
      <c r="N94" t="s" s="15">
        <v>278</v>
      </c>
      <c r="O94" t="s" s="15">
        <v>71</v>
      </c>
      <c r="P94" s="14"/>
      <c r="Q94" t="s" s="15">
        <v>78</v>
      </c>
      <c r="R94" t="s" s="15">
        <v>71</v>
      </c>
      <c r="S94" s="14"/>
      <c r="T94" s="14"/>
      <c r="U94" s="14"/>
      <c r="V94" t="s" s="15">
        <v>78</v>
      </c>
      <c r="W94" t="s" s="15">
        <v>277</v>
      </c>
      <c r="X94" t="s" s="15">
        <v>69</v>
      </c>
      <c r="Y94" s="14"/>
      <c r="Z94" t="s" s="15">
        <v>76</v>
      </c>
      <c r="AA94" s="14"/>
      <c r="AB94" t="s" s="15">
        <v>76</v>
      </c>
      <c r="AC94" s="14"/>
      <c r="AD94" s="14"/>
      <c r="AE94" s="14"/>
      <c r="AF94" s="14"/>
      <c r="AG94" s="14"/>
      <c r="AH94" s="14"/>
      <c r="AI94" t="s" s="15">
        <v>76</v>
      </c>
      <c r="AJ94" t="s" s="15">
        <v>76</v>
      </c>
      <c r="AK94" t="s" s="15">
        <v>79</v>
      </c>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6"/>
      <c r="BP94" s="8"/>
    </row>
    <row r="95" ht="9" customHeight="1" hidden="1">
      <c r="A95" t="s" s="9">
        <v>280</v>
      </c>
      <c r="B95" t="s" s="10">
        <v>69</v>
      </c>
      <c r="C95" t="str" s="11" cm="1">
        <f t="array" ref="C95">_xlfn.IFERROR((VLOOKUP(A95,#REF!,2,FALSE)),"")</f>
      </c>
      <c r="D95" t="s" s="10">
        <v>70</v>
      </c>
      <c r="E95" t="s" s="10">
        <v>71</v>
      </c>
      <c r="F95" s="11"/>
      <c r="G95" t="s" s="10">
        <v>281</v>
      </c>
      <c r="H95" t="s" s="10">
        <v>282</v>
      </c>
      <c r="I95" t="s" s="10">
        <v>271</v>
      </c>
      <c r="J95" t="s" s="10">
        <v>74</v>
      </c>
      <c r="K95" t="s" s="10">
        <v>127</v>
      </c>
      <c r="L95" t="s" s="10">
        <v>76</v>
      </c>
      <c r="M95" t="s" s="10">
        <v>77</v>
      </c>
      <c r="N95" t="s" s="10">
        <v>281</v>
      </c>
      <c r="O95" t="s" s="10">
        <v>71</v>
      </c>
      <c r="P95" s="11"/>
      <c r="Q95" t="s" s="10">
        <v>78</v>
      </c>
      <c r="R95" t="s" s="10">
        <v>83</v>
      </c>
      <c r="S95" s="11"/>
      <c r="T95" s="11"/>
      <c r="U95" s="11"/>
      <c r="V95" t="s" s="10">
        <v>78</v>
      </c>
      <c r="W95" s="11"/>
      <c r="X95" t="s" s="10">
        <v>69</v>
      </c>
      <c r="Y95" s="11"/>
      <c r="Z95" t="s" s="10">
        <v>76</v>
      </c>
      <c r="AA95" s="11"/>
      <c r="AB95" t="s" s="10">
        <v>76</v>
      </c>
      <c r="AC95" s="11"/>
      <c r="AD95" s="11"/>
      <c r="AE95" s="11"/>
      <c r="AF95" s="11"/>
      <c r="AG95" s="11"/>
      <c r="AH95" s="11"/>
      <c r="AI95" t="s" s="10">
        <v>76</v>
      </c>
      <c r="AJ95" t="s" s="10">
        <v>76</v>
      </c>
      <c r="AK95" t="s" s="10">
        <v>79</v>
      </c>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2"/>
      <c r="BP95" s="8"/>
    </row>
    <row r="96" ht="9" customHeight="1" hidden="1">
      <c r="A96" t="s" s="13">
        <v>283</v>
      </c>
      <c r="B96" s="14"/>
      <c r="C96" t="str" s="14" cm="1">
        <f t="array" ref="C96">_xlfn.IFERROR((VLOOKUP(A96,#REF!,2,FALSE)),"")</f>
      </c>
      <c r="D96" t="s" s="15">
        <v>70</v>
      </c>
      <c r="E96" t="s" s="15">
        <v>284</v>
      </c>
      <c r="F96" s="14"/>
      <c r="G96" t="s" s="15">
        <v>285</v>
      </c>
      <c r="H96" t="s" s="15">
        <v>203</v>
      </c>
      <c r="I96" t="s" s="15">
        <v>111</v>
      </c>
      <c r="J96" t="s" s="15">
        <v>122</v>
      </c>
      <c r="K96" t="s" s="15">
        <v>203</v>
      </c>
      <c r="L96" t="s" s="15">
        <v>204</v>
      </c>
      <c r="M96" t="s" s="15">
        <v>77</v>
      </c>
      <c r="N96" t="s" s="15">
        <v>285</v>
      </c>
      <c r="O96" t="s" s="15">
        <v>286</v>
      </c>
      <c r="P96" s="14"/>
      <c r="Q96" t="s" s="15">
        <v>69</v>
      </c>
      <c r="R96" t="s" s="15">
        <v>83</v>
      </c>
      <c r="S96" s="14"/>
      <c r="T96" s="14"/>
      <c r="U96" s="14"/>
      <c r="V96" t="s" s="15">
        <v>69</v>
      </c>
      <c r="W96" s="14"/>
      <c r="X96" t="s" s="15">
        <v>69</v>
      </c>
      <c r="Y96" s="14"/>
      <c r="Z96" t="s" s="15">
        <v>205</v>
      </c>
      <c r="AA96" s="14"/>
      <c r="AB96" t="s" s="15">
        <v>206</v>
      </c>
      <c r="AC96" t="s" s="15">
        <v>283</v>
      </c>
      <c r="AD96" t="s" s="15">
        <v>287</v>
      </c>
      <c r="AE96" s="14"/>
      <c r="AF96" s="14"/>
      <c r="AG96" t="s" s="15">
        <v>288</v>
      </c>
      <c r="AH96" t="s" s="15">
        <v>289</v>
      </c>
      <c r="AI96" t="s" s="15">
        <v>290</v>
      </c>
      <c r="AJ96" t="s" s="15">
        <v>291</v>
      </c>
      <c r="AK96" t="s" s="15">
        <v>292</v>
      </c>
      <c r="AL96" t="s" s="15">
        <v>293</v>
      </c>
      <c r="AM96" t="s" s="15">
        <v>294</v>
      </c>
      <c r="AN96" t="s" s="15">
        <v>128</v>
      </c>
      <c r="AO96" s="17">
        <v>1</v>
      </c>
      <c r="AP96" s="17">
        <v>1024</v>
      </c>
      <c r="AQ96" s="17">
        <v>141313</v>
      </c>
      <c r="AR96" s="17">
        <v>141313</v>
      </c>
      <c r="AS96" t="s" s="15">
        <v>295</v>
      </c>
      <c r="AT96" s="14"/>
      <c r="AU96" s="14"/>
      <c r="AV96" s="14"/>
      <c r="AW96" s="14"/>
      <c r="AX96" s="14"/>
      <c r="AY96" s="14"/>
      <c r="AZ96" s="14"/>
      <c r="BA96" s="14"/>
      <c r="BB96" s="14"/>
      <c r="BC96" s="14"/>
      <c r="BD96" s="14"/>
      <c r="BE96" s="14"/>
      <c r="BF96" s="14"/>
      <c r="BG96" s="14"/>
      <c r="BH96" s="14"/>
      <c r="BI96" s="14"/>
      <c r="BJ96" s="14"/>
      <c r="BK96" s="14"/>
      <c r="BL96" s="14"/>
      <c r="BM96" s="14"/>
      <c r="BN96" t="s" s="15">
        <v>78</v>
      </c>
      <c r="BO96" s="16"/>
      <c r="BP96" s="8"/>
    </row>
    <row r="97" ht="9" customHeight="1" hidden="1">
      <c r="A97" t="s" s="9">
        <v>296</v>
      </c>
      <c r="B97" s="11"/>
      <c r="C97" t="str" s="11" cm="1">
        <f t="array" ref="C97">_xlfn.IFERROR((VLOOKUP(A97,#REF!,2,FALSE)),"")</f>
      </c>
      <c r="D97" s="11"/>
      <c r="E97" t="s" s="10">
        <v>297</v>
      </c>
      <c r="F97" s="11"/>
      <c r="G97" t="s" s="10">
        <v>298</v>
      </c>
      <c r="H97" t="s" s="10">
        <v>203</v>
      </c>
      <c r="I97" t="s" s="10">
        <v>111</v>
      </c>
      <c r="J97" t="s" s="10">
        <v>122</v>
      </c>
      <c r="K97" t="s" s="10">
        <v>203</v>
      </c>
      <c r="L97" t="s" s="10">
        <v>204</v>
      </c>
      <c r="M97" t="s" s="10">
        <v>77</v>
      </c>
      <c r="N97" t="s" s="10">
        <v>298</v>
      </c>
      <c r="O97" t="s" s="10">
        <v>71</v>
      </c>
      <c r="P97" s="11"/>
      <c r="Q97" t="s" s="10">
        <v>69</v>
      </c>
      <c r="R97" t="s" s="10">
        <v>83</v>
      </c>
      <c r="S97" s="11"/>
      <c r="T97" s="11"/>
      <c r="U97" s="11"/>
      <c r="V97" t="s" s="10">
        <v>69</v>
      </c>
      <c r="W97" t="s" s="10">
        <v>296</v>
      </c>
      <c r="X97" t="s" s="10">
        <v>69</v>
      </c>
      <c r="Y97" s="11"/>
      <c r="Z97" t="s" s="10">
        <v>205</v>
      </c>
      <c r="AA97" s="11"/>
      <c r="AB97" t="s" s="10">
        <v>206</v>
      </c>
      <c r="AC97" t="s" s="10">
        <v>296</v>
      </c>
      <c r="AD97" s="11"/>
      <c r="AE97" s="11"/>
      <c r="AF97" s="11"/>
      <c r="AG97" t="s" s="10">
        <v>299</v>
      </c>
      <c r="AH97" t="s" s="10">
        <v>289</v>
      </c>
      <c r="AI97" t="s" s="10">
        <v>290</v>
      </c>
      <c r="AJ97" t="s" s="10">
        <v>291</v>
      </c>
      <c r="AK97" t="s" s="10">
        <v>292</v>
      </c>
      <c r="AL97" t="s" s="10">
        <v>293</v>
      </c>
      <c r="AM97" t="s" s="10">
        <v>294</v>
      </c>
      <c r="AN97" t="s" s="10">
        <v>128</v>
      </c>
      <c r="AO97" s="18">
        <v>8</v>
      </c>
      <c r="AP97" s="18">
        <v>16384</v>
      </c>
      <c r="AQ97" s="18">
        <v>295108</v>
      </c>
      <c r="AR97" s="18">
        <v>295108</v>
      </c>
      <c r="AS97" t="s" s="10">
        <v>300</v>
      </c>
      <c r="AT97" t="s" s="10">
        <v>301</v>
      </c>
      <c r="AU97" s="11"/>
      <c r="AV97" s="11"/>
      <c r="AW97" s="11"/>
      <c r="AX97" s="11"/>
      <c r="AY97" s="11"/>
      <c r="AZ97" s="11"/>
      <c r="BA97" s="11"/>
      <c r="BB97" s="11"/>
      <c r="BC97" s="11"/>
      <c r="BD97" s="11"/>
      <c r="BE97" s="11"/>
      <c r="BF97" s="11"/>
      <c r="BG97" s="11"/>
      <c r="BH97" s="11"/>
      <c r="BI97" s="11"/>
      <c r="BJ97" s="11"/>
      <c r="BK97" s="11"/>
      <c r="BL97" s="11"/>
      <c r="BM97" s="11"/>
      <c r="BN97" t="s" s="10">
        <v>78</v>
      </c>
      <c r="BO97" s="12"/>
      <c r="BP97" s="8"/>
    </row>
    <row r="98" ht="9" customHeight="1" hidden="1">
      <c r="A98" t="s" s="13">
        <v>302</v>
      </c>
      <c r="B98" s="14"/>
      <c r="C98" t="str" s="14" cm="1">
        <f t="array" ref="C98">_xlfn.IFERROR((VLOOKUP(A98,#REF!,2,FALSE)),"")</f>
      </c>
      <c r="D98" s="14"/>
      <c r="E98" t="s" s="15">
        <v>303</v>
      </c>
      <c r="F98" s="14"/>
      <c r="G98" t="s" s="15">
        <v>304</v>
      </c>
      <c r="H98" t="s" s="15">
        <v>203</v>
      </c>
      <c r="I98" t="s" s="15">
        <v>73</v>
      </c>
      <c r="J98" t="s" s="15">
        <v>74</v>
      </c>
      <c r="K98" t="s" s="15">
        <v>203</v>
      </c>
      <c r="L98" t="s" s="15">
        <v>204</v>
      </c>
      <c r="M98" t="s" s="15">
        <v>77</v>
      </c>
      <c r="N98" t="s" s="15">
        <v>304</v>
      </c>
      <c r="O98" t="s" s="15">
        <v>71</v>
      </c>
      <c r="P98" s="14"/>
      <c r="Q98" t="s" s="15">
        <v>69</v>
      </c>
      <c r="R98" t="s" s="15">
        <v>71</v>
      </c>
      <c r="S98" s="14"/>
      <c r="T98" s="14"/>
      <c r="U98" s="14"/>
      <c r="V98" t="s" s="15">
        <v>78</v>
      </c>
      <c r="W98" t="s" s="15">
        <v>302</v>
      </c>
      <c r="X98" t="s" s="15">
        <v>69</v>
      </c>
      <c r="Y98" s="14"/>
      <c r="Z98" t="s" s="15">
        <v>205</v>
      </c>
      <c r="AA98" s="14"/>
      <c r="AB98" t="s" s="15">
        <v>206</v>
      </c>
      <c r="AC98" s="14"/>
      <c r="AD98" s="14"/>
      <c r="AE98" s="14"/>
      <c r="AF98" s="14"/>
      <c r="AG98" t="s" s="15">
        <v>299</v>
      </c>
      <c r="AH98" t="s" s="15">
        <v>289</v>
      </c>
      <c r="AI98" t="s" s="15">
        <v>76</v>
      </c>
      <c r="AJ98" t="s" s="15">
        <v>76</v>
      </c>
      <c r="AK98" t="s" s="15">
        <v>79</v>
      </c>
      <c r="AL98" t="s" s="15">
        <v>293</v>
      </c>
      <c r="AM98" t="s" s="15">
        <v>294</v>
      </c>
      <c r="AN98" s="14"/>
      <c r="AO98" s="17">
        <v>8</v>
      </c>
      <c r="AP98" s="17">
        <v>25600</v>
      </c>
      <c r="AQ98" s="17">
        <v>304283</v>
      </c>
      <c r="AR98" s="17">
        <v>304283</v>
      </c>
      <c r="AS98" t="s" s="15">
        <v>305</v>
      </c>
      <c r="AT98" t="s" s="15">
        <v>301</v>
      </c>
      <c r="AU98" s="14"/>
      <c r="AV98" s="14"/>
      <c r="AW98" s="14"/>
      <c r="AX98" s="14"/>
      <c r="AY98" s="14"/>
      <c r="AZ98" s="14"/>
      <c r="BA98" s="14"/>
      <c r="BB98" s="14"/>
      <c r="BC98" s="14"/>
      <c r="BD98" s="14"/>
      <c r="BE98" s="14"/>
      <c r="BF98" s="14"/>
      <c r="BG98" s="14"/>
      <c r="BH98" s="14"/>
      <c r="BI98" s="14"/>
      <c r="BJ98" s="14"/>
      <c r="BK98" s="14"/>
      <c r="BL98" s="14"/>
      <c r="BM98" s="14"/>
      <c r="BN98" s="14"/>
      <c r="BO98" s="16"/>
      <c r="BP98" s="8"/>
    </row>
    <row r="99" ht="13.55" customHeight="1">
      <c r="A99" t="s" s="9">
        <v>306</v>
      </c>
      <c r="B99" s="11"/>
      <c r="C99" t="str" s="11" cm="1">
        <f t="array" ref="C99">_xlfn.IFERROR((VLOOKUP(A99,#REF!,2,FALSE)),"")</f>
      </c>
      <c r="D99" s="11"/>
      <c r="E99" t="s" s="10">
        <v>307</v>
      </c>
      <c r="F99" s="11"/>
      <c r="G99" t="s" s="10">
        <v>203</v>
      </c>
      <c r="H99" t="s" s="10">
        <v>203</v>
      </c>
      <c r="I99" t="s" s="10">
        <v>111</v>
      </c>
      <c r="J99" t="s" s="10">
        <v>122</v>
      </c>
      <c r="K99" t="s" s="10">
        <v>203</v>
      </c>
      <c r="L99" t="s" s="10">
        <v>204</v>
      </c>
      <c r="M99" t="s" s="10">
        <v>77</v>
      </c>
      <c r="N99" t="s" s="10">
        <v>203</v>
      </c>
      <c r="O99" t="s" s="10">
        <v>71</v>
      </c>
      <c r="P99" s="11"/>
      <c r="Q99" t="s" s="10">
        <v>69</v>
      </c>
      <c r="R99" t="s" s="10">
        <v>71</v>
      </c>
      <c r="S99" s="11"/>
      <c r="T99" s="11"/>
      <c r="U99" s="11"/>
      <c r="V99" t="s" s="10">
        <v>69</v>
      </c>
      <c r="W99" t="s" s="10">
        <v>306</v>
      </c>
      <c r="X99" t="s" s="10">
        <v>78</v>
      </c>
      <c r="Y99" s="11"/>
      <c r="Z99" t="s" s="10">
        <v>205</v>
      </c>
      <c r="AA99" s="11"/>
      <c r="AB99" t="s" s="10">
        <v>206</v>
      </c>
      <c r="AC99" t="s" s="10">
        <v>306</v>
      </c>
      <c r="AD99" s="11"/>
      <c r="AE99" s="11"/>
      <c r="AF99" s="11"/>
      <c r="AG99" t="s" s="10">
        <v>299</v>
      </c>
      <c r="AH99" t="s" s="10">
        <v>114</v>
      </c>
      <c r="AI99" t="s" s="10">
        <v>290</v>
      </c>
      <c r="AJ99" t="s" s="10">
        <v>291</v>
      </c>
      <c r="AK99" t="s" s="10">
        <v>292</v>
      </c>
      <c r="AL99" t="s" s="10">
        <v>293</v>
      </c>
      <c r="AM99" t="s" s="10">
        <v>294</v>
      </c>
      <c r="AN99" t="s" s="10">
        <v>128</v>
      </c>
      <c r="AO99" s="18">
        <v>8</v>
      </c>
      <c r="AP99" s="18">
        <v>16384</v>
      </c>
      <c r="AQ99" s="18">
        <v>295021</v>
      </c>
      <c r="AR99" s="18">
        <v>295021</v>
      </c>
      <c r="AS99" t="s" s="10">
        <v>308</v>
      </c>
      <c r="AT99" t="s" s="10">
        <v>301</v>
      </c>
      <c r="AU99" s="11"/>
      <c r="AV99" s="11"/>
      <c r="AW99" t="s" s="10">
        <v>83</v>
      </c>
      <c r="AX99" t="s" s="10">
        <v>83</v>
      </c>
      <c r="AY99" t="s" s="10">
        <v>309</v>
      </c>
      <c r="AZ99" t="s" s="10">
        <v>83</v>
      </c>
      <c r="BA99" t="s" s="10">
        <v>76</v>
      </c>
      <c r="BB99" t="s" s="10">
        <v>76</v>
      </c>
      <c r="BC99" t="s" s="10">
        <v>76</v>
      </c>
      <c r="BD99" t="s" s="10">
        <v>310</v>
      </c>
      <c r="BE99" t="s" s="10">
        <v>311</v>
      </c>
      <c r="BF99" s="18">
        <v>8</v>
      </c>
      <c r="BG99" s="18">
        <v>16</v>
      </c>
      <c r="BH99" t="s" s="10">
        <v>83</v>
      </c>
      <c r="BI99" t="s" s="10">
        <v>83</v>
      </c>
      <c r="BJ99" t="s" s="10">
        <v>83</v>
      </c>
      <c r="BK99" t="s" s="10">
        <v>83</v>
      </c>
      <c r="BL99" t="s" s="10">
        <v>83</v>
      </c>
      <c r="BM99" t="s" s="10">
        <v>312</v>
      </c>
      <c r="BN99" t="s" s="10">
        <v>69</v>
      </c>
      <c r="BO99" t="s" s="19">
        <v>76</v>
      </c>
      <c r="BP99" s="8"/>
    </row>
    <row r="100" ht="13.55" customHeight="1">
      <c r="A100" t="s" s="13">
        <v>313</v>
      </c>
      <c r="B100" s="14"/>
      <c r="C100" t="str" s="14" cm="1">
        <f t="array" ref="C100">_xlfn.IFERROR((VLOOKUP(A100,#REF!,2,FALSE)),"")</f>
      </c>
      <c r="D100" s="14"/>
      <c r="E100" t="s" s="15">
        <v>307</v>
      </c>
      <c r="F100" s="14"/>
      <c r="G100" t="s" s="15">
        <v>314</v>
      </c>
      <c r="H100" t="s" s="15">
        <v>203</v>
      </c>
      <c r="I100" t="s" s="15">
        <v>111</v>
      </c>
      <c r="J100" t="s" s="15">
        <v>122</v>
      </c>
      <c r="K100" t="s" s="15">
        <v>203</v>
      </c>
      <c r="L100" t="s" s="15">
        <v>204</v>
      </c>
      <c r="M100" t="s" s="15">
        <v>77</v>
      </c>
      <c r="N100" t="s" s="15">
        <v>314</v>
      </c>
      <c r="O100" t="s" s="15">
        <v>71</v>
      </c>
      <c r="P100" s="14"/>
      <c r="Q100" t="s" s="15">
        <v>69</v>
      </c>
      <c r="R100" t="s" s="15">
        <v>71</v>
      </c>
      <c r="S100" s="14"/>
      <c r="T100" s="14"/>
      <c r="U100" s="14"/>
      <c r="V100" t="s" s="15">
        <v>69</v>
      </c>
      <c r="W100" t="s" s="15">
        <v>313</v>
      </c>
      <c r="X100" t="s" s="15">
        <v>69</v>
      </c>
      <c r="Y100" s="14"/>
      <c r="Z100" t="s" s="15">
        <v>205</v>
      </c>
      <c r="AA100" s="14"/>
      <c r="AB100" t="s" s="15">
        <v>206</v>
      </c>
      <c r="AC100" t="s" s="15">
        <v>313</v>
      </c>
      <c r="AD100" s="14"/>
      <c r="AE100" s="14"/>
      <c r="AF100" s="14"/>
      <c r="AG100" t="s" s="15">
        <v>299</v>
      </c>
      <c r="AH100" t="s" s="15">
        <v>289</v>
      </c>
      <c r="AI100" t="s" s="15">
        <v>290</v>
      </c>
      <c r="AJ100" t="s" s="15">
        <v>291</v>
      </c>
      <c r="AK100" t="s" s="15">
        <v>292</v>
      </c>
      <c r="AL100" t="s" s="15">
        <v>293</v>
      </c>
      <c r="AM100" t="s" s="15">
        <v>294</v>
      </c>
      <c r="AN100" t="s" s="15">
        <v>128</v>
      </c>
      <c r="AO100" s="17">
        <v>8</v>
      </c>
      <c r="AP100" s="17">
        <v>16384</v>
      </c>
      <c r="AQ100" s="17">
        <v>295130</v>
      </c>
      <c r="AR100" s="17">
        <v>295130</v>
      </c>
      <c r="AS100" t="s" s="15">
        <v>315</v>
      </c>
      <c r="AT100" t="s" s="15">
        <v>301</v>
      </c>
      <c r="AU100" s="14"/>
      <c r="AV100" s="14"/>
      <c r="AW100" s="14"/>
      <c r="AX100" s="14"/>
      <c r="AY100" s="14"/>
      <c r="AZ100" s="14"/>
      <c r="BA100" s="14"/>
      <c r="BB100" s="14"/>
      <c r="BC100" s="14"/>
      <c r="BD100" t="s" s="15">
        <v>310</v>
      </c>
      <c r="BE100" t="s" s="15">
        <v>311</v>
      </c>
      <c r="BF100" s="14"/>
      <c r="BG100" s="14"/>
      <c r="BH100" s="14"/>
      <c r="BI100" s="14"/>
      <c r="BJ100" s="14"/>
      <c r="BK100" s="14"/>
      <c r="BL100" s="14"/>
      <c r="BM100" s="14"/>
      <c r="BN100" t="s" s="15">
        <v>69</v>
      </c>
      <c r="BO100" s="16"/>
      <c r="BP100" s="8"/>
    </row>
    <row r="101" ht="15" customHeight="1" hidden="1">
      <c r="A101" t="s" s="9">
        <v>316</v>
      </c>
      <c r="B101" s="11"/>
      <c r="C101" t="str" s="11" cm="1">
        <f t="array" ref="C101">_xlfn.IFERROR((VLOOKUP(A101,#REF!,2,FALSE)),"")</f>
      </c>
      <c r="D101" s="11"/>
      <c r="E101" t="s" s="10">
        <v>284</v>
      </c>
      <c r="F101" s="11"/>
      <c r="G101" t="s" s="10">
        <v>317</v>
      </c>
      <c r="H101" t="s" s="10">
        <v>203</v>
      </c>
      <c r="I101" t="s" s="10">
        <v>111</v>
      </c>
      <c r="J101" t="s" s="10">
        <v>122</v>
      </c>
      <c r="K101" t="s" s="10">
        <v>203</v>
      </c>
      <c r="L101" t="s" s="10">
        <v>204</v>
      </c>
      <c r="M101" t="s" s="10">
        <v>77</v>
      </c>
      <c r="N101" t="s" s="10">
        <v>317</v>
      </c>
      <c r="O101" t="s" s="10">
        <v>286</v>
      </c>
      <c r="P101" s="11"/>
      <c r="Q101" t="s" s="10">
        <v>69</v>
      </c>
      <c r="R101" t="s" s="10">
        <v>83</v>
      </c>
      <c r="S101" s="11"/>
      <c r="T101" s="11"/>
      <c r="U101" s="11"/>
      <c r="V101" t="s" s="10">
        <v>69</v>
      </c>
      <c r="W101" s="11"/>
      <c r="X101" t="s" s="10">
        <v>69</v>
      </c>
      <c r="Y101" s="11"/>
      <c r="Z101" t="s" s="10">
        <v>205</v>
      </c>
      <c r="AA101" s="11"/>
      <c r="AB101" t="s" s="10">
        <v>206</v>
      </c>
      <c r="AC101" t="s" s="10">
        <v>316</v>
      </c>
      <c r="AD101" s="11"/>
      <c r="AE101" s="11"/>
      <c r="AF101" s="11"/>
      <c r="AG101" t="s" s="10">
        <v>299</v>
      </c>
      <c r="AH101" t="s" s="10">
        <v>114</v>
      </c>
      <c r="AI101" t="s" s="10">
        <v>290</v>
      </c>
      <c r="AJ101" t="s" s="10">
        <v>291</v>
      </c>
      <c r="AK101" t="s" s="10">
        <v>292</v>
      </c>
      <c r="AL101" t="s" s="10">
        <v>293</v>
      </c>
      <c r="AM101" t="s" s="10">
        <v>294</v>
      </c>
      <c r="AN101" t="s" s="10">
        <v>128</v>
      </c>
      <c r="AO101" s="18">
        <v>8</v>
      </c>
      <c r="AP101" s="18">
        <v>16384</v>
      </c>
      <c r="AQ101" s="18">
        <v>295075</v>
      </c>
      <c r="AR101" s="18">
        <v>295075</v>
      </c>
      <c r="AS101" t="s" s="10">
        <v>318</v>
      </c>
      <c r="AT101" t="s" s="10">
        <v>301</v>
      </c>
      <c r="AU101" s="11"/>
      <c r="AV101" s="11"/>
      <c r="AW101" t="s" s="10">
        <v>83</v>
      </c>
      <c r="AX101" t="s" s="10">
        <v>83</v>
      </c>
      <c r="AY101" t="s" s="10">
        <v>309</v>
      </c>
      <c r="AZ101" t="s" s="10">
        <v>83</v>
      </c>
      <c r="BA101" t="s" s="10">
        <v>76</v>
      </c>
      <c r="BB101" t="s" s="10">
        <v>76</v>
      </c>
      <c r="BC101" t="s" s="10">
        <v>76</v>
      </c>
      <c r="BD101" t="s" s="10">
        <v>310</v>
      </c>
      <c r="BE101" t="s" s="10">
        <v>311</v>
      </c>
      <c r="BF101" s="18">
        <v>8</v>
      </c>
      <c r="BG101" s="18">
        <v>16</v>
      </c>
      <c r="BH101" t="s" s="10">
        <v>83</v>
      </c>
      <c r="BI101" t="s" s="10">
        <v>83</v>
      </c>
      <c r="BJ101" t="s" s="10">
        <v>83</v>
      </c>
      <c r="BK101" t="s" s="10">
        <v>83</v>
      </c>
      <c r="BL101" t="s" s="10">
        <v>83</v>
      </c>
      <c r="BM101" t="s" s="10">
        <v>312</v>
      </c>
      <c r="BN101" t="s" s="10">
        <v>78</v>
      </c>
      <c r="BO101" t="s" s="19">
        <v>76</v>
      </c>
      <c r="BP101" s="8"/>
    </row>
    <row r="102" ht="9" customHeight="1" hidden="1">
      <c r="A102" t="s" s="13">
        <v>319</v>
      </c>
      <c r="B102" s="14"/>
      <c r="C102" t="str" s="14" cm="1">
        <f t="array" ref="C102">_xlfn.IFERROR((VLOOKUP(A102,#REF!,2,FALSE)),"")</f>
      </c>
      <c r="D102" s="14"/>
      <c r="E102" t="s" s="15">
        <v>320</v>
      </c>
      <c r="F102" s="14"/>
      <c r="G102" t="s" s="15">
        <v>321</v>
      </c>
      <c r="H102" t="s" s="15">
        <v>321</v>
      </c>
      <c r="I102" t="s" s="15">
        <v>111</v>
      </c>
      <c r="J102" t="s" s="15">
        <v>322</v>
      </c>
      <c r="K102" t="s" s="15">
        <v>210</v>
      </c>
      <c r="L102" t="s" s="15">
        <v>76</v>
      </c>
      <c r="M102" t="s" s="15">
        <v>77</v>
      </c>
      <c r="N102" t="s" s="15">
        <v>321</v>
      </c>
      <c r="O102" t="s" s="15">
        <v>286</v>
      </c>
      <c r="P102" s="14"/>
      <c r="Q102" t="s" s="15">
        <v>78</v>
      </c>
      <c r="R102" t="s" s="15">
        <v>323</v>
      </c>
      <c r="S102" s="14"/>
      <c r="T102" s="14"/>
      <c r="U102" s="14"/>
      <c r="V102" t="s" s="15">
        <v>78</v>
      </c>
      <c r="W102" s="14"/>
      <c r="X102" t="s" s="15">
        <v>69</v>
      </c>
      <c r="Y102" s="14"/>
      <c r="Z102" t="s" s="15">
        <v>76</v>
      </c>
      <c r="AA102" s="14"/>
      <c r="AB102" t="s" s="15">
        <v>324</v>
      </c>
      <c r="AC102" s="14"/>
      <c r="AD102" s="14"/>
      <c r="AE102" s="14"/>
      <c r="AF102" s="14"/>
      <c r="AG102" t="s" s="15">
        <v>299</v>
      </c>
      <c r="AH102" t="s" s="15">
        <v>114</v>
      </c>
      <c r="AI102" t="s" s="15">
        <v>76</v>
      </c>
      <c r="AJ102" t="s" s="15">
        <v>76</v>
      </c>
      <c r="AK102" t="s" s="15">
        <v>79</v>
      </c>
      <c r="AL102" t="s" s="15">
        <v>115</v>
      </c>
      <c r="AM102" s="14"/>
      <c r="AN102" s="14"/>
      <c r="AO102" s="14"/>
      <c r="AP102" s="14"/>
      <c r="AQ102" s="14"/>
      <c r="AR102" s="14"/>
      <c r="AS102" t="s" s="15">
        <v>325</v>
      </c>
      <c r="AT102" t="s" s="15">
        <v>301</v>
      </c>
      <c r="AU102" s="14"/>
      <c r="AV102" s="14"/>
      <c r="AW102" s="14"/>
      <c r="AX102" s="14"/>
      <c r="AY102" s="14"/>
      <c r="AZ102" s="14"/>
      <c r="BA102" s="14"/>
      <c r="BB102" s="14"/>
      <c r="BC102" s="14"/>
      <c r="BD102" t="s" s="15">
        <v>118</v>
      </c>
      <c r="BE102" s="20"/>
      <c r="BF102" s="20"/>
      <c r="BG102" s="20"/>
      <c r="BH102" s="14"/>
      <c r="BI102" s="14"/>
      <c r="BJ102" s="14"/>
      <c r="BK102" s="14"/>
      <c r="BL102" s="14"/>
      <c r="BM102" s="14"/>
      <c r="BN102" s="14"/>
      <c r="BO102" t="s" s="21">
        <v>115</v>
      </c>
      <c r="BP102" s="8"/>
    </row>
    <row r="103" ht="9" customHeight="1" hidden="1">
      <c r="A103" t="s" s="9">
        <v>326</v>
      </c>
      <c r="B103" s="11"/>
      <c r="C103" t="str" s="11" cm="1">
        <f t="array" ref="C103">_xlfn.IFERROR((VLOOKUP(A103,#REF!,2,FALSE)),"")</f>
      </c>
      <c r="D103" s="11"/>
      <c r="E103" t="s" s="10">
        <v>327</v>
      </c>
      <c r="F103" s="11"/>
      <c r="G103" t="s" s="10">
        <v>328</v>
      </c>
      <c r="H103" t="s" s="10">
        <v>329</v>
      </c>
      <c r="I103" t="s" s="10">
        <v>111</v>
      </c>
      <c r="J103" t="s" s="10">
        <v>122</v>
      </c>
      <c r="K103" t="s" s="10">
        <v>210</v>
      </c>
      <c r="L103" t="s" s="10">
        <v>76</v>
      </c>
      <c r="M103" t="s" s="10">
        <v>77</v>
      </c>
      <c r="N103" t="s" s="10">
        <v>328</v>
      </c>
      <c r="O103" s="11"/>
      <c r="P103" s="11"/>
      <c r="Q103" t="s" s="10">
        <v>69</v>
      </c>
      <c r="R103" t="s" s="10">
        <v>323</v>
      </c>
      <c r="S103" s="11"/>
      <c r="T103" s="11"/>
      <c r="U103" s="11"/>
      <c r="V103" t="s" s="10">
        <v>69</v>
      </c>
      <c r="W103" t="s" s="22">
        <v>326</v>
      </c>
      <c r="X103" t="s" s="10">
        <v>69</v>
      </c>
      <c r="Y103" s="11"/>
      <c r="Z103" t="s" s="10">
        <v>205</v>
      </c>
      <c r="AA103" s="11"/>
      <c r="AB103" t="s" s="10">
        <v>330</v>
      </c>
      <c r="AC103" t="s" s="10">
        <v>326</v>
      </c>
      <c r="AD103" t="s" s="10">
        <v>331</v>
      </c>
      <c r="AE103" s="11"/>
      <c r="AF103" t="s" s="10">
        <v>329</v>
      </c>
      <c r="AG103" t="s" s="10">
        <v>299</v>
      </c>
      <c r="AH103" t="s" s="10">
        <v>114</v>
      </c>
      <c r="AI103" t="s" s="10">
        <v>332</v>
      </c>
      <c r="AJ103" t="s" s="10">
        <v>333</v>
      </c>
      <c r="AK103" t="s" s="10">
        <v>83</v>
      </c>
      <c r="AL103" t="s" s="10">
        <v>115</v>
      </c>
      <c r="AM103" s="11"/>
      <c r="AN103" t="s" s="10">
        <v>334</v>
      </c>
      <c r="AO103" s="11"/>
      <c r="AP103" s="11"/>
      <c r="AQ103" s="11"/>
      <c r="AR103" s="11"/>
      <c r="AS103" t="s" s="10">
        <v>335</v>
      </c>
      <c r="AT103" t="s" s="10">
        <v>301</v>
      </c>
      <c r="AU103" s="11"/>
      <c r="AV103" s="11"/>
      <c r="AW103" s="11"/>
      <c r="AX103" s="11"/>
      <c r="AY103" s="11"/>
      <c r="AZ103" s="11"/>
      <c r="BA103" s="11"/>
      <c r="BB103" s="11"/>
      <c r="BC103" s="11"/>
      <c r="BD103" t="s" s="10">
        <v>118</v>
      </c>
      <c r="BE103" s="23"/>
      <c r="BF103" s="23"/>
      <c r="BG103" s="23"/>
      <c r="BH103" s="11"/>
      <c r="BI103" s="11"/>
      <c r="BJ103" s="11"/>
      <c r="BK103" s="11"/>
      <c r="BL103" s="11"/>
      <c r="BM103" s="11"/>
      <c r="BN103" s="11"/>
      <c r="BO103" s="12"/>
      <c r="BP103" s="8"/>
    </row>
    <row r="104" ht="9" customHeight="1" hidden="1">
      <c r="A104" t="s" s="13">
        <v>336</v>
      </c>
      <c r="B104" s="14"/>
      <c r="C104" t="str" s="14" cm="1">
        <f t="array" ref="C104">_xlfn.IFERROR((VLOOKUP(A104,#REF!,2,FALSE)),"")</f>
      </c>
      <c r="D104" s="14"/>
      <c r="E104" t="s" s="15">
        <v>195</v>
      </c>
      <c r="F104" s="14"/>
      <c r="G104" t="s" s="15">
        <v>337</v>
      </c>
      <c r="H104" t="s" s="15">
        <v>338</v>
      </c>
      <c r="I104" t="s" s="15">
        <v>73</v>
      </c>
      <c r="J104" t="s" s="15">
        <v>74</v>
      </c>
      <c r="K104" t="s" s="15">
        <v>140</v>
      </c>
      <c r="L104" t="s" s="15">
        <v>76</v>
      </c>
      <c r="M104" t="s" s="15">
        <v>77</v>
      </c>
      <c r="N104" t="s" s="15">
        <v>337</v>
      </c>
      <c r="O104" t="s" s="15">
        <v>71</v>
      </c>
      <c r="P104" s="14"/>
      <c r="Q104" t="s" s="15">
        <v>69</v>
      </c>
      <c r="R104" t="s" s="15">
        <v>339</v>
      </c>
      <c r="S104" s="14"/>
      <c r="T104" s="14"/>
      <c r="U104" s="14"/>
      <c r="V104" t="s" s="15">
        <v>69</v>
      </c>
      <c r="W104" t="s" s="15">
        <v>336</v>
      </c>
      <c r="X104" t="s" s="15">
        <v>78</v>
      </c>
      <c r="Y104" s="14"/>
      <c r="Z104" t="s" s="15">
        <v>205</v>
      </c>
      <c r="AA104" s="14"/>
      <c r="AB104" t="s" s="15">
        <v>76</v>
      </c>
      <c r="AC104" t="s" s="15">
        <v>336</v>
      </c>
      <c r="AD104" t="s" s="15">
        <v>340</v>
      </c>
      <c r="AE104" s="14"/>
      <c r="AF104" s="14"/>
      <c r="AG104" s="14"/>
      <c r="AH104" t="s" s="15">
        <v>114</v>
      </c>
      <c r="AI104" t="s" s="15">
        <v>76</v>
      </c>
      <c r="AJ104" t="s" s="15">
        <v>76</v>
      </c>
      <c r="AK104" t="s" s="15">
        <v>79</v>
      </c>
      <c r="AL104" t="s" s="15">
        <v>115</v>
      </c>
      <c r="AM104" t="s" s="15">
        <v>196</v>
      </c>
      <c r="AN104" t="s" s="15">
        <v>341</v>
      </c>
      <c r="AO104" s="14"/>
      <c r="AP104" s="14"/>
      <c r="AQ104" s="14"/>
      <c r="AR104" s="14"/>
      <c r="AS104" t="s" s="15">
        <v>342</v>
      </c>
      <c r="AT104" s="14"/>
      <c r="AU104" s="14"/>
      <c r="AV104" s="14"/>
      <c r="AW104" s="14"/>
      <c r="AX104" s="14"/>
      <c r="AY104" s="14"/>
      <c r="AZ104" s="14"/>
      <c r="BA104" s="14"/>
      <c r="BB104" s="14"/>
      <c r="BC104" s="14"/>
      <c r="BD104" t="s" s="15">
        <v>118</v>
      </c>
      <c r="BE104" s="20"/>
      <c r="BF104" s="20"/>
      <c r="BG104" s="20"/>
      <c r="BH104" s="14"/>
      <c r="BI104" s="14"/>
      <c r="BJ104" s="14"/>
      <c r="BK104" s="14"/>
      <c r="BL104" s="14"/>
      <c r="BM104" s="14"/>
      <c r="BN104" s="14"/>
      <c r="BO104" s="16"/>
      <c r="BP104" s="8"/>
    </row>
    <row r="105" ht="9" customHeight="1" hidden="1">
      <c r="A105" t="s" s="9">
        <v>343</v>
      </c>
      <c r="B105" s="11"/>
      <c r="C105" t="str" s="11" cm="1">
        <f t="array" ref="C105">_xlfn.IFERROR((VLOOKUP(A105,#REF!,2,FALSE)),"")</f>
      </c>
      <c r="D105" s="11"/>
      <c r="E105" s="11"/>
      <c r="F105" s="11"/>
      <c r="G105" t="s" s="10">
        <v>344</v>
      </c>
      <c r="H105" t="s" s="10">
        <v>345</v>
      </c>
      <c r="I105" t="s" s="10">
        <v>111</v>
      </c>
      <c r="J105" t="s" s="10">
        <v>112</v>
      </c>
      <c r="K105" t="s" s="10">
        <v>113</v>
      </c>
      <c r="L105" t="s" s="10">
        <v>76</v>
      </c>
      <c r="M105" t="s" s="10">
        <v>77</v>
      </c>
      <c r="N105" t="s" s="10">
        <v>344</v>
      </c>
      <c r="O105" t="s" s="10">
        <v>346</v>
      </c>
      <c r="P105" s="11"/>
      <c r="Q105" t="s" s="10">
        <v>69</v>
      </c>
      <c r="R105" t="s" s="10">
        <v>323</v>
      </c>
      <c r="S105" s="11"/>
      <c r="T105" s="11"/>
      <c r="U105" s="11"/>
      <c r="V105" t="s" s="10">
        <v>69</v>
      </c>
      <c r="W105" s="11"/>
      <c r="X105" t="s" s="10">
        <v>69</v>
      </c>
      <c r="Y105" s="11"/>
      <c r="Z105" t="s" s="10">
        <v>205</v>
      </c>
      <c r="AA105" s="11"/>
      <c r="AB105" t="s" s="10">
        <v>76</v>
      </c>
      <c r="AC105" t="s" s="10">
        <v>343</v>
      </c>
      <c r="AD105" s="11"/>
      <c r="AE105" s="11"/>
      <c r="AF105" s="11"/>
      <c r="AG105" s="11"/>
      <c r="AH105" t="s" s="10">
        <v>114</v>
      </c>
      <c r="AI105" t="s" s="10">
        <v>76</v>
      </c>
      <c r="AJ105" t="s" s="10">
        <v>76</v>
      </c>
      <c r="AK105" t="s" s="10">
        <v>79</v>
      </c>
      <c r="AL105" t="s" s="10">
        <v>115</v>
      </c>
      <c r="AM105" s="11"/>
      <c r="AN105" t="s" s="10">
        <v>334</v>
      </c>
      <c r="AO105" s="11"/>
      <c r="AP105" s="11"/>
      <c r="AQ105" s="11"/>
      <c r="AR105" s="11"/>
      <c r="AS105" t="s" s="10">
        <v>347</v>
      </c>
      <c r="AT105" s="11"/>
      <c r="AU105" s="11"/>
      <c r="AV105" s="11"/>
      <c r="AW105" s="11"/>
      <c r="AX105" s="11"/>
      <c r="AY105" s="11"/>
      <c r="AZ105" s="11"/>
      <c r="BA105" s="11"/>
      <c r="BB105" s="11"/>
      <c r="BC105" s="11"/>
      <c r="BD105" t="s" s="10">
        <v>118</v>
      </c>
      <c r="BE105" s="23"/>
      <c r="BF105" s="23"/>
      <c r="BG105" s="23"/>
      <c r="BH105" s="11"/>
      <c r="BI105" s="11"/>
      <c r="BJ105" s="11"/>
      <c r="BK105" s="11"/>
      <c r="BL105" s="11"/>
      <c r="BM105" s="11"/>
      <c r="BN105" s="11"/>
      <c r="BO105" s="12"/>
      <c r="BP105" s="8"/>
    </row>
    <row r="106" ht="9" customHeight="1" hidden="1">
      <c r="A106" t="s" s="13">
        <v>348</v>
      </c>
      <c r="B106" s="14"/>
      <c r="C106" t="str" s="14" cm="1">
        <f t="array" ref="C106">_xlfn.IFERROR((VLOOKUP(A106,#REF!,2,FALSE)),"")</f>
      </c>
      <c r="D106" s="14"/>
      <c r="E106" s="14"/>
      <c r="F106" s="14"/>
      <c r="G106" t="s" s="15">
        <v>349</v>
      </c>
      <c r="H106" t="s" s="15">
        <v>350</v>
      </c>
      <c r="I106" t="s" s="15">
        <v>111</v>
      </c>
      <c r="J106" t="s" s="15">
        <v>122</v>
      </c>
      <c r="K106" t="s" s="15">
        <v>351</v>
      </c>
      <c r="L106" t="s" s="15">
        <v>76</v>
      </c>
      <c r="M106" t="s" s="15">
        <v>77</v>
      </c>
      <c r="N106" t="s" s="15">
        <v>349</v>
      </c>
      <c r="O106" s="14"/>
      <c r="P106" s="14"/>
      <c r="Q106" t="s" s="15">
        <v>69</v>
      </c>
      <c r="R106" t="s" s="15">
        <v>83</v>
      </c>
      <c r="S106" s="14"/>
      <c r="T106" s="14"/>
      <c r="U106" s="14"/>
      <c r="V106" t="s" s="15">
        <v>69</v>
      </c>
      <c r="W106" t="s" s="15">
        <v>348</v>
      </c>
      <c r="X106" t="s" s="15">
        <v>69</v>
      </c>
      <c r="Y106" s="14"/>
      <c r="Z106" t="s" s="15">
        <v>76</v>
      </c>
      <c r="AA106" s="14"/>
      <c r="AB106" t="s" s="15">
        <v>76</v>
      </c>
      <c r="AC106" t="s" s="15">
        <v>348</v>
      </c>
      <c r="AD106" t="s" s="15">
        <v>352</v>
      </c>
      <c r="AE106" s="14"/>
      <c r="AF106" s="14"/>
      <c r="AG106" t="s" s="15">
        <v>299</v>
      </c>
      <c r="AH106" t="s" s="15">
        <v>106</v>
      </c>
      <c r="AI106" t="s" s="15">
        <v>76</v>
      </c>
      <c r="AJ106" t="s" s="15">
        <v>76</v>
      </c>
      <c r="AK106" t="s" s="15">
        <v>79</v>
      </c>
      <c r="AL106" t="s" s="15">
        <v>115</v>
      </c>
      <c r="AM106" s="14"/>
      <c r="AN106" t="s" s="15">
        <v>116</v>
      </c>
      <c r="AO106" s="14"/>
      <c r="AP106" s="14"/>
      <c r="AQ106" s="14"/>
      <c r="AR106" s="14"/>
      <c r="AS106" t="s" s="15">
        <v>353</v>
      </c>
      <c r="AT106" t="s" s="15">
        <v>301</v>
      </c>
      <c r="AU106" s="14"/>
      <c r="AV106" s="14"/>
      <c r="AW106" s="14"/>
      <c r="AX106" s="14"/>
      <c r="AY106" s="14"/>
      <c r="AZ106" s="14"/>
      <c r="BA106" s="14"/>
      <c r="BB106" s="14"/>
      <c r="BC106" s="14"/>
      <c r="BD106" t="s" s="15">
        <v>310</v>
      </c>
      <c r="BE106" t="s" s="15">
        <v>311</v>
      </c>
      <c r="BF106" s="14"/>
      <c r="BG106" s="14"/>
      <c r="BH106" s="14"/>
      <c r="BI106" s="14"/>
      <c r="BJ106" s="14"/>
      <c r="BK106" s="14"/>
      <c r="BL106" s="14"/>
      <c r="BM106" s="14"/>
      <c r="BN106" s="14"/>
      <c r="BO106" s="16"/>
      <c r="BP106" s="8"/>
    </row>
    <row r="107" ht="9" customHeight="1" hidden="1">
      <c r="A107" t="s" s="9">
        <v>354</v>
      </c>
      <c r="B107" t="s" s="10">
        <v>69</v>
      </c>
      <c r="C107" t="str" s="11" cm="1">
        <f t="array" ref="C107">_xlfn.IFERROR((VLOOKUP(A107,#REF!,2,FALSE)),"")</f>
      </c>
      <c r="D107" t="s" s="10">
        <v>70</v>
      </c>
      <c r="E107" t="s" s="10">
        <v>71</v>
      </c>
      <c r="F107" s="11"/>
      <c r="G107" t="s" s="10">
        <v>355</v>
      </c>
      <c r="H107" t="s" s="10">
        <v>355</v>
      </c>
      <c r="I107" t="s" s="10">
        <v>73</v>
      </c>
      <c r="J107" t="s" s="10">
        <v>74</v>
      </c>
      <c r="K107" t="s" s="10">
        <v>113</v>
      </c>
      <c r="L107" t="s" s="10">
        <v>76</v>
      </c>
      <c r="M107" t="s" s="10">
        <v>77</v>
      </c>
      <c r="N107" t="s" s="10">
        <v>355</v>
      </c>
      <c r="O107" t="s" s="10">
        <v>71</v>
      </c>
      <c r="P107" s="11"/>
      <c r="Q107" t="s" s="10">
        <v>78</v>
      </c>
      <c r="R107" t="s" s="10">
        <v>71</v>
      </c>
      <c r="S107" s="11"/>
      <c r="T107" s="11"/>
      <c r="U107" s="11"/>
      <c r="V107" t="s" s="10">
        <v>78</v>
      </c>
      <c r="W107" t="s" s="10">
        <v>354</v>
      </c>
      <c r="X107" t="s" s="10">
        <v>69</v>
      </c>
      <c r="Y107" s="11"/>
      <c r="Z107" t="s" s="10">
        <v>76</v>
      </c>
      <c r="AA107" s="11"/>
      <c r="AB107" t="s" s="10">
        <v>76</v>
      </c>
      <c r="AC107" s="11"/>
      <c r="AD107" s="11"/>
      <c r="AE107" s="11"/>
      <c r="AF107" s="11"/>
      <c r="AG107" s="11"/>
      <c r="AH107" s="11"/>
      <c r="AI107" t="s" s="10">
        <v>76</v>
      </c>
      <c r="AJ107" t="s" s="10">
        <v>76</v>
      </c>
      <c r="AK107" t="s" s="10">
        <v>79</v>
      </c>
      <c r="AL107" s="11"/>
      <c r="AM107" s="11"/>
      <c r="AN107" s="11"/>
      <c r="AO107" s="11"/>
      <c r="AP107" s="11"/>
      <c r="AQ107" s="11"/>
      <c r="AR107" s="11"/>
      <c r="AS107" s="11"/>
      <c r="AT107" s="11"/>
      <c r="AU107" s="11"/>
      <c r="AV107" s="11"/>
      <c r="AW107" s="11"/>
      <c r="AX107" s="11"/>
      <c r="AY107" s="11"/>
      <c r="AZ107" s="11"/>
      <c r="BA107" s="11"/>
      <c r="BB107" s="11"/>
      <c r="BC107" s="11"/>
      <c r="BD107" t="s" s="10">
        <v>310</v>
      </c>
      <c r="BE107" t="s" s="10">
        <v>356</v>
      </c>
      <c r="BF107" s="11"/>
      <c r="BG107" s="11"/>
      <c r="BH107" s="11"/>
      <c r="BI107" s="11"/>
      <c r="BJ107" s="11"/>
      <c r="BK107" s="11"/>
      <c r="BL107" s="11"/>
      <c r="BM107" s="11"/>
      <c r="BN107" s="11"/>
      <c r="BO107" s="12"/>
      <c r="BP107" s="8"/>
    </row>
    <row r="108" ht="9" customHeight="1" hidden="1">
      <c r="A108" t="s" s="13">
        <v>357</v>
      </c>
      <c r="B108" s="14"/>
      <c r="C108" t="str" s="14" cm="1">
        <f t="array" ref="C108">_xlfn.IFERROR((VLOOKUP(A108,#REF!,2,FALSE)),"")</f>
      </c>
      <c r="D108" s="14"/>
      <c r="E108" t="s" s="15">
        <v>358</v>
      </c>
      <c r="F108" s="14"/>
      <c r="G108" t="s" s="15">
        <v>359</v>
      </c>
      <c r="H108" t="s" s="15">
        <v>359</v>
      </c>
      <c r="I108" t="s" s="15">
        <v>74</v>
      </c>
      <c r="J108" t="s" s="15">
        <v>74</v>
      </c>
      <c r="K108" t="s" s="15">
        <v>113</v>
      </c>
      <c r="L108" t="s" s="15">
        <v>76</v>
      </c>
      <c r="M108" t="s" s="15">
        <v>77</v>
      </c>
      <c r="N108" t="s" s="15">
        <v>359</v>
      </c>
      <c r="O108" t="s" s="15">
        <v>71</v>
      </c>
      <c r="P108" s="14"/>
      <c r="Q108" t="s" s="15">
        <v>78</v>
      </c>
      <c r="R108" t="s" s="15">
        <v>323</v>
      </c>
      <c r="S108" s="14"/>
      <c r="T108" s="14"/>
      <c r="U108" s="14"/>
      <c r="V108" t="s" s="15">
        <v>78</v>
      </c>
      <c r="W108" s="14"/>
      <c r="X108" t="s" s="15">
        <v>69</v>
      </c>
      <c r="Y108" s="14"/>
      <c r="Z108" t="s" s="15">
        <v>76</v>
      </c>
      <c r="AA108" s="14"/>
      <c r="AB108" t="s" s="15">
        <v>324</v>
      </c>
      <c r="AC108" s="14"/>
      <c r="AD108" s="14"/>
      <c r="AE108" s="14"/>
      <c r="AF108" s="14"/>
      <c r="AG108" t="s" s="15">
        <v>299</v>
      </c>
      <c r="AH108" t="s" s="15">
        <v>114</v>
      </c>
      <c r="AI108" t="s" s="15">
        <v>76</v>
      </c>
      <c r="AJ108" t="s" s="15">
        <v>76</v>
      </c>
      <c r="AK108" t="s" s="15">
        <v>79</v>
      </c>
      <c r="AL108" t="s" s="15">
        <v>115</v>
      </c>
      <c r="AM108" s="14"/>
      <c r="AN108" s="14"/>
      <c r="AO108" s="14"/>
      <c r="AP108" s="14"/>
      <c r="AQ108" s="14"/>
      <c r="AR108" s="14"/>
      <c r="AS108" t="s" s="15">
        <v>360</v>
      </c>
      <c r="AT108" t="s" s="15">
        <v>301</v>
      </c>
      <c r="AU108" s="14"/>
      <c r="AV108" s="14"/>
      <c r="AW108" s="14"/>
      <c r="AX108" s="14"/>
      <c r="AY108" s="14"/>
      <c r="AZ108" s="14"/>
      <c r="BA108" s="14"/>
      <c r="BB108" s="14"/>
      <c r="BC108" s="14"/>
      <c r="BD108" t="s" s="15">
        <v>118</v>
      </c>
      <c r="BE108" s="14"/>
      <c r="BF108" s="14"/>
      <c r="BG108" s="14"/>
      <c r="BH108" s="14"/>
      <c r="BI108" s="14"/>
      <c r="BJ108" s="14"/>
      <c r="BK108" s="14"/>
      <c r="BL108" s="14"/>
      <c r="BM108" s="14"/>
      <c r="BN108" s="14"/>
      <c r="BO108" t="s" s="21">
        <v>115</v>
      </c>
      <c r="BP108" s="8"/>
    </row>
    <row r="109" ht="9" customHeight="1" hidden="1">
      <c r="A109" t="s" s="9">
        <v>361</v>
      </c>
      <c r="B109" s="11"/>
      <c r="C109" t="str" s="11" cm="1">
        <f t="array" ref="C109">_xlfn.IFERROR((VLOOKUP(A109,#REF!,2,FALSE)),"")</f>
      </c>
      <c r="D109" s="11"/>
      <c r="E109" s="11"/>
      <c r="F109" s="11"/>
      <c r="G109" t="s" s="10">
        <v>362</v>
      </c>
      <c r="H109" t="s" s="10">
        <v>363</v>
      </c>
      <c r="I109" t="s" s="10">
        <v>111</v>
      </c>
      <c r="J109" t="s" s="10">
        <v>122</v>
      </c>
      <c r="K109" t="s" s="10">
        <v>113</v>
      </c>
      <c r="L109" t="s" s="10">
        <v>76</v>
      </c>
      <c r="M109" t="s" s="10">
        <v>77</v>
      </c>
      <c r="N109" t="s" s="10">
        <v>362</v>
      </c>
      <c r="O109" s="11"/>
      <c r="P109" s="11"/>
      <c r="Q109" t="s" s="10">
        <v>69</v>
      </c>
      <c r="R109" t="s" s="10">
        <v>323</v>
      </c>
      <c r="S109" s="11"/>
      <c r="T109" s="11"/>
      <c r="U109" s="11"/>
      <c r="V109" t="s" s="10">
        <v>69</v>
      </c>
      <c r="W109" s="11"/>
      <c r="X109" t="s" s="10">
        <v>69</v>
      </c>
      <c r="Y109" s="11"/>
      <c r="Z109" t="s" s="10">
        <v>205</v>
      </c>
      <c r="AA109" s="11"/>
      <c r="AB109" t="s" s="10">
        <v>76</v>
      </c>
      <c r="AC109" t="s" s="10">
        <v>361</v>
      </c>
      <c r="AD109" t="s" s="10">
        <v>364</v>
      </c>
      <c r="AE109" s="11"/>
      <c r="AF109" s="11"/>
      <c r="AG109" s="11"/>
      <c r="AH109" t="s" s="10">
        <v>114</v>
      </c>
      <c r="AI109" t="s" s="10">
        <v>76</v>
      </c>
      <c r="AJ109" t="s" s="10">
        <v>76</v>
      </c>
      <c r="AK109" t="s" s="10">
        <v>79</v>
      </c>
      <c r="AL109" t="s" s="10">
        <v>115</v>
      </c>
      <c r="AM109" s="11"/>
      <c r="AN109" t="s" s="10">
        <v>334</v>
      </c>
      <c r="AO109" s="18">
        <v>8</v>
      </c>
      <c r="AP109" s="18">
        <v>32760</v>
      </c>
      <c r="AQ109" s="18">
        <v>288956</v>
      </c>
      <c r="AR109" s="18">
        <v>256001</v>
      </c>
      <c r="AS109" t="s" s="10">
        <v>365</v>
      </c>
      <c r="AT109" s="11"/>
      <c r="AU109" s="11"/>
      <c r="AV109" s="11"/>
      <c r="AW109" s="11"/>
      <c r="AX109" s="11"/>
      <c r="AY109" s="11"/>
      <c r="AZ109" s="11"/>
      <c r="BA109" s="11"/>
      <c r="BB109" s="11"/>
      <c r="BC109" s="11"/>
      <c r="BD109" t="s" s="10">
        <v>366</v>
      </c>
      <c r="BE109" t="s" s="10">
        <v>367</v>
      </c>
      <c r="BF109" s="18">
        <v>8</v>
      </c>
      <c r="BG109" s="18">
        <v>32</v>
      </c>
      <c r="BH109" s="11"/>
      <c r="BI109" s="11"/>
      <c r="BJ109" s="11"/>
      <c r="BK109" s="11"/>
      <c r="BL109" s="11"/>
      <c r="BM109" s="11"/>
      <c r="BN109" t="s" s="10">
        <v>69</v>
      </c>
      <c r="BO109" s="12"/>
      <c r="BP109" s="8"/>
    </row>
    <row r="110" ht="9" customHeight="1" hidden="1">
      <c r="A110" t="s" s="13">
        <v>368</v>
      </c>
      <c r="B110" s="14"/>
      <c r="C110" t="str" s="14" cm="1">
        <f t="array" ref="C110">_xlfn.IFERROR((VLOOKUP(A110,#REF!,2,FALSE)),"")</f>
      </c>
      <c r="D110" s="14"/>
      <c r="E110" t="s" s="15">
        <v>369</v>
      </c>
      <c r="F110" s="14"/>
      <c r="G110" t="s" s="15">
        <v>370</v>
      </c>
      <c r="H110" t="s" s="15">
        <v>371</v>
      </c>
      <c r="I110" t="s" s="15">
        <v>111</v>
      </c>
      <c r="J110" t="s" s="15">
        <v>122</v>
      </c>
      <c r="K110" t="s" s="15">
        <v>140</v>
      </c>
      <c r="L110" t="s" s="15">
        <v>76</v>
      </c>
      <c r="M110" t="s" s="15">
        <v>77</v>
      </c>
      <c r="N110" t="s" s="15">
        <v>370</v>
      </c>
      <c r="O110" s="14"/>
      <c r="P110" s="14"/>
      <c r="Q110" t="s" s="15">
        <v>69</v>
      </c>
      <c r="R110" t="s" s="15">
        <v>83</v>
      </c>
      <c r="S110" s="14"/>
      <c r="T110" s="14"/>
      <c r="U110" s="14"/>
      <c r="V110" t="s" s="15">
        <v>69</v>
      </c>
      <c r="W110" s="14"/>
      <c r="X110" t="s" s="15">
        <v>78</v>
      </c>
      <c r="Y110" s="14"/>
      <c r="Z110" t="s" s="15">
        <v>76</v>
      </c>
      <c r="AA110" s="14"/>
      <c r="AB110" t="s" s="15">
        <v>76</v>
      </c>
      <c r="AC110" s="14"/>
      <c r="AD110" s="14"/>
      <c r="AE110" s="14"/>
      <c r="AF110" s="14"/>
      <c r="AG110" t="s" s="15">
        <v>299</v>
      </c>
      <c r="AH110" t="s" s="15">
        <v>106</v>
      </c>
      <c r="AI110" t="s" s="15">
        <v>76</v>
      </c>
      <c r="AJ110" t="s" s="15">
        <v>76</v>
      </c>
      <c r="AK110" t="s" s="15">
        <v>79</v>
      </c>
      <c r="AL110" t="s" s="15">
        <v>115</v>
      </c>
      <c r="AM110" s="14"/>
      <c r="AN110" t="s" s="15">
        <v>372</v>
      </c>
      <c r="AO110" s="14"/>
      <c r="AP110" s="14"/>
      <c r="AQ110" s="14"/>
      <c r="AR110" s="14"/>
      <c r="AS110" t="s" s="15">
        <v>373</v>
      </c>
      <c r="AT110" s="14"/>
      <c r="AU110" s="14"/>
      <c r="AV110" s="14"/>
      <c r="AW110" s="14"/>
      <c r="AX110" s="14"/>
      <c r="AY110" s="14"/>
      <c r="AZ110" s="14"/>
      <c r="BA110" s="14"/>
      <c r="BB110" s="14"/>
      <c r="BC110" s="14"/>
      <c r="BD110" t="s" s="15">
        <v>310</v>
      </c>
      <c r="BE110" t="s" s="15">
        <v>356</v>
      </c>
      <c r="BF110" s="14"/>
      <c r="BG110" s="14"/>
      <c r="BH110" s="14"/>
      <c r="BI110" s="14"/>
      <c r="BJ110" s="14"/>
      <c r="BK110" s="14"/>
      <c r="BL110" s="14"/>
      <c r="BM110" s="14"/>
      <c r="BN110" s="14"/>
      <c r="BO110" s="16"/>
      <c r="BP110" s="8"/>
    </row>
    <row r="111" ht="9" customHeight="1" hidden="1">
      <c r="A111" t="s" s="9">
        <v>374</v>
      </c>
      <c r="B111" s="11"/>
      <c r="C111" t="str" s="11" cm="1">
        <f t="array" ref="C111">_xlfn.IFERROR((VLOOKUP(A111,#REF!,2,FALSE)),"")</f>
      </c>
      <c r="D111" s="11"/>
      <c r="E111" s="11"/>
      <c r="F111" s="11"/>
      <c r="G111" t="s" s="10">
        <v>375</v>
      </c>
      <c r="H111" t="s" s="10">
        <v>375</v>
      </c>
      <c r="I111" t="s" s="10">
        <v>111</v>
      </c>
      <c r="J111" t="s" s="10">
        <v>122</v>
      </c>
      <c r="K111" t="s" s="10">
        <v>113</v>
      </c>
      <c r="L111" t="s" s="10">
        <v>76</v>
      </c>
      <c r="M111" t="s" s="10">
        <v>77</v>
      </c>
      <c r="N111" t="s" s="10">
        <v>375</v>
      </c>
      <c r="O111" s="11"/>
      <c r="P111" s="11"/>
      <c r="Q111" t="s" s="10">
        <v>69</v>
      </c>
      <c r="R111" t="s" s="10">
        <v>323</v>
      </c>
      <c r="S111" s="11"/>
      <c r="T111" s="11"/>
      <c r="U111" s="11"/>
      <c r="V111" t="s" s="10">
        <v>69</v>
      </c>
      <c r="W111" s="11"/>
      <c r="X111" t="s" s="10">
        <v>69</v>
      </c>
      <c r="Y111" s="11"/>
      <c r="Z111" t="s" s="10">
        <v>205</v>
      </c>
      <c r="AA111" s="11"/>
      <c r="AB111" t="s" s="10">
        <v>76</v>
      </c>
      <c r="AC111" t="s" s="10">
        <v>374</v>
      </c>
      <c r="AD111" s="11"/>
      <c r="AE111" s="11"/>
      <c r="AF111" s="11"/>
      <c r="AG111" s="11"/>
      <c r="AH111" t="s" s="10">
        <v>114</v>
      </c>
      <c r="AI111" t="s" s="10">
        <v>76</v>
      </c>
      <c r="AJ111" t="s" s="10">
        <v>76</v>
      </c>
      <c r="AK111" t="s" s="10">
        <v>79</v>
      </c>
      <c r="AL111" t="s" s="10">
        <v>115</v>
      </c>
      <c r="AM111" s="11"/>
      <c r="AN111" t="s" s="10">
        <v>334</v>
      </c>
      <c r="AO111" s="11"/>
      <c r="AP111" s="11"/>
      <c r="AQ111" s="11"/>
      <c r="AR111" s="11"/>
      <c r="AS111" t="s" s="10">
        <v>376</v>
      </c>
      <c r="AT111" s="11"/>
      <c r="AU111" s="11"/>
      <c r="AV111" s="11"/>
      <c r="AW111" s="11"/>
      <c r="AX111" s="11"/>
      <c r="AY111" s="11"/>
      <c r="AZ111" s="11"/>
      <c r="BA111" s="11"/>
      <c r="BB111" s="11"/>
      <c r="BC111" s="11"/>
      <c r="BD111" t="s" s="10">
        <v>118</v>
      </c>
      <c r="BE111" s="11"/>
      <c r="BF111" s="11"/>
      <c r="BG111" s="11"/>
      <c r="BH111" s="11"/>
      <c r="BI111" s="11"/>
      <c r="BJ111" s="11"/>
      <c r="BK111" s="11"/>
      <c r="BL111" s="11"/>
      <c r="BM111" s="11"/>
      <c r="BN111" s="11"/>
      <c r="BO111" s="12"/>
      <c r="BP111" s="8"/>
    </row>
    <row r="112" ht="9" customHeight="1" hidden="1">
      <c r="A112" t="s" s="13">
        <v>377</v>
      </c>
      <c r="B112" t="s" s="15">
        <v>69</v>
      </c>
      <c r="C112" t="str" s="14" cm="1">
        <f t="array" ref="C112">_xlfn.IFERROR((VLOOKUP(A112,#REF!,2,FALSE)),"")</f>
      </c>
      <c r="D112" t="s" s="15">
        <v>70</v>
      </c>
      <c r="E112" t="s" s="15">
        <v>378</v>
      </c>
      <c r="F112" s="14"/>
      <c r="G112" t="s" s="15">
        <v>379</v>
      </c>
      <c r="H112" t="s" s="15">
        <v>379</v>
      </c>
      <c r="I112" t="s" s="15">
        <v>74</v>
      </c>
      <c r="J112" t="s" s="15">
        <v>74</v>
      </c>
      <c r="K112" t="s" s="15">
        <v>113</v>
      </c>
      <c r="L112" t="s" s="15">
        <v>76</v>
      </c>
      <c r="M112" t="s" s="15">
        <v>77</v>
      </c>
      <c r="N112" t="s" s="15">
        <v>379</v>
      </c>
      <c r="O112" t="s" s="15">
        <v>71</v>
      </c>
      <c r="P112" s="14"/>
      <c r="Q112" t="s" s="15">
        <v>78</v>
      </c>
      <c r="R112" t="s" s="15">
        <v>339</v>
      </c>
      <c r="S112" s="14"/>
      <c r="T112" s="14"/>
      <c r="U112" s="14"/>
      <c r="V112" t="s" s="15">
        <v>78</v>
      </c>
      <c r="W112" s="14"/>
      <c r="X112" t="s" s="15">
        <v>69</v>
      </c>
      <c r="Y112" s="14"/>
      <c r="Z112" t="s" s="15">
        <v>76</v>
      </c>
      <c r="AA112" s="14"/>
      <c r="AB112" t="s" s="15">
        <v>76</v>
      </c>
      <c r="AC112" s="14"/>
      <c r="AD112" s="14"/>
      <c r="AE112" s="14"/>
      <c r="AF112" s="14"/>
      <c r="AG112" s="14"/>
      <c r="AH112" t="s" s="15">
        <v>114</v>
      </c>
      <c r="AI112" t="s" s="15">
        <v>76</v>
      </c>
      <c r="AJ112" t="s" s="15">
        <v>76</v>
      </c>
      <c r="AK112" t="s" s="15">
        <v>79</v>
      </c>
      <c r="AL112" s="14"/>
      <c r="AM112" s="14"/>
      <c r="AN112" s="14"/>
      <c r="AO112" s="14"/>
      <c r="AP112" s="14"/>
      <c r="AQ112" s="14"/>
      <c r="AR112" s="14"/>
      <c r="AS112" s="14"/>
      <c r="AT112" s="14"/>
      <c r="AU112" s="14"/>
      <c r="AV112" s="14"/>
      <c r="AW112" s="14"/>
      <c r="AX112" s="14"/>
      <c r="AY112" s="14"/>
      <c r="AZ112" s="14"/>
      <c r="BA112" s="14"/>
      <c r="BB112" s="14"/>
      <c r="BC112" s="14"/>
      <c r="BD112" t="s" s="15">
        <v>118</v>
      </c>
      <c r="BE112" s="20"/>
      <c r="BF112" s="20"/>
      <c r="BG112" s="20"/>
      <c r="BH112" s="14"/>
      <c r="BI112" s="14"/>
      <c r="BJ112" s="14"/>
      <c r="BK112" s="14"/>
      <c r="BL112" s="14"/>
      <c r="BM112" s="14"/>
      <c r="BN112" s="14"/>
      <c r="BO112" s="16"/>
      <c r="BP112" s="8"/>
    </row>
    <row r="113" ht="9" customHeight="1" hidden="1">
      <c r="A113" t="s" s="9">
        <v>380</v>
      </c>
      <c r="B113" s="11"/>
      <c r="C113" t="str" s="11" cm="1">
        <f t="array" ref="C113">_xlfn.IFERROR((VLOOKUP(A113,#REF!,2,FALSE)),"")</f>
      </c>
      <c r="D113" s="11"/>
      <c r="E113" s="11"/>
      <c r="F113" s="11"/>
      <c r="G113" t="s" s="10">
        <v>381</v>
      </c>
      <c r="H113" t="s" s="10">
        <v>381</v>
      </c>
      <c r="I113" t="s" s="10">
        <v>111</v>
      </c>
      <c r="J113" t="s" s="10">
        <v>122</v>
      </c>
      <c r="K113" t="s" s="10">
        <v>113</v>
      </c>
      <c r="L113" t="s" s="10">
        <v>76</v>
      </c>
      <c r="M113" t="s" s="10">
        <v>77</v>
      </c>
      <c r="N113" t="s" s="10">
        <v>381</v>
      </c>
      <c r="O113" s="11"/>
      <c r="P113" s="11"/>
      <c r="Q113" t="s" s="10">
        <v>69</v>
      </c>
      <c r="R113" t="s" s="10">
        <v>323</v>
      </c>
      <c r="S113" s="11"/>
      <c r="T113" s="11"/>
      <c r="U113" s="11"/>
      <c r="V113" t="s" s="10">
        <v>69</v>
      </c>
      <c r="W113" s="11"/>
      <c r="X113" t="s" s="10">
        <v>69</v>
      </c>
      <c r="Y113" s="11"/>
      <c r="Z113" t="s" s="10">
        <v>205</v>
      </c>
      <c r="AA113" s="11"/>
      <c r="AB113" t="s" s="10">
        <v>76</v>
      </c>
      <c r="AC113" t="s" s="10">
        <v>380</v>
      </c>
      <c r="AD113" t="s" s="10">
        <v>382</v>
      </c>
      <c r="AE113" s="11"/>
      <c r="AF113" s="11"/>
      <c r="AG113" s="11"/>
      <c r="AH113" t="s" s="10">
        <v>114</v>
      </c>
      <c r="AI113" t="s" s="10">
        <v>76</v>
      </c>
      <c r="AJ113" t="s" s="10">
        <v>76</v>
      </c>
      <c r="AK113" t="s" s="10">
        <v>79</v>
      </c>
      <c r="AL113" t="s" s="10">
        <v>115</v>
      </c>
      <c r="AM113" s="11"/>
      <c r="AN113" t="s" s="10">
        <v>334</v>
      </c>
      <c r="AO113" s="11"/>
      <c r="AP113" s="11"/>
      <c r="AQ113" s="11"/>
      <c r="AR113" s="11"/>
      <c r="AS113" t="s" s="10">
        <v>383</v>
      </c>
      <c r="AT113" s="11"/>
      <c r="AU113" s="11"/>
      <c r="AV113" s="11"/>
      <c r="AW113" s="11"/>
      <c r="AX113" s="11"/>
      <c r="AY113" s="11"/>
      <c r="AZ113" s="11"/>
      <c r="BA113" s="11"/>
      <c r="BB113" s="11"/>
      <c r="BC113" s="11"/>
      <c r="BD113" t="s" s="10">
        <v>118</v>
      </c>
      <c r="BE113" s="11"/>
      <c r="BF113" s="11"/>
      <c r="BG113" s="11"/>
      <c r="BH113" s="11"/>
      <c r="BI113" s="11"/>
      <c r="BJ113" s="11"/>
      <c r="BK113" s="11"/>
      <c r="BL113" s="11"/>
      <c r="BM113" s="11"/>
      <c r="BN113" t="s" s="10">
        <v>69</v>
      </c>
      <c r="BO113" s="12"/>
      <c r="BP113" s="8"/>
    </row>
    <row r="114" ht="9" customHeight="1" hidden="1">
      <c r="A114" t="s" s="13">
        <v>384</v>
      </c>
      <c r="B114" s="14"/>
      <c r="C114" t="str" s="14" cm="1">
        <f t="array" ref="C114">_xlfn.IFERROR((VLOOKUP(A114,#REF!,2,FALSE)),"")</f>
      </c>
      <c r="D114" s="14"/>
      <c r="E114" s="14"/>
      <c r="F114" s="14"/>
      <c r="G114" t="s" s="15">
        <v>385</v>
      </c>
      <c r="H114" t="s" s="15">
        <v>385</v>
      </c>
      <c r="I114" t="s" s="15">
        <v>111</v>
      </c>
      <c r="J114" t="s" s="15">
        <v>122</v>
      </c>
      <c r="K114" t="s" s="15">
        <v>113</v>
      </c>
      <c r="L114" t="s" s="15">
        <v>76</v>
      </c>
      <c r="M114" t="s" s="15">
        <v>77</v>
      </c>
      <c r="N114" t="s" s="15">
        <v>385</v>
      </c>
      <c r="O114" s="14"/>
      <c r="P114" s="14"/>
      <c r="Q114" t="s" s="15">
        <v>69</v>
      </c>
      <c r="R114" t="s" s="15">
        <v>323</v>
      </c>
      <c r="S114" s="14"/>
      <c r="T114" s="14"/>
      <c r="U114" s="14"/>
      <c r="V114" t="s" s="15">
        <v>69</v>
      </c>
      <c r="W114" s="14"/>
      <c r="X114" t="s" s="15">
        <v>69</v>
      </c>
      <c r="Y114" s="14"/>
      <c r="Z114" t="s" s="15">
        <v>205</v>
      </c>
      <c r="AA114" s="14"/>
      <c r="AB114" t="s" s="15">
        <v>76</v>
      </c>
      <c r="AC114" t="s" s="15">
        <v>384</v>
      </c>
      <c r="AD114" s="14"/>
      <c r="AE114" s="14"/>
      <c r="AF114" s="14"/>
      <c r="AG114" s="14"/>
      <c r="AH114" t="s" s="15">
        <v>114</v>
      </c>
      <c r="AI114" t="s" s="15">
        <v>76</v>
      </c>
      <c r="AJ114" t="s" s="15">
        <v>76</v>
      </c>
      <c r="AK114" t="s" s="15">
        <v>79</v>
      </c>
      <c r="AL114" t="s" s="15">
        <v>115</v>
      </c>
      <c r="AM114" s="14"/>
      <c r="AN114" t="s" s="15">
        <v>334</v>
      </c>
      <c r="AO114" s="14"/>
      <c r="AP114" s="14"/>
      <c r="AQ114" s="14"/>
      <c r="AR114" s="14"/>
      <c r="AS114" t="s" s="15">
        <v>386</v>
      </c>
      <c r="AT114" s="14"/>
      <c r="AU114" s="14"/>
      <c r="AV114" s="14"/>
      <c r="AW114" s="14"/>
      <c r="AX114" s="14"/>
      <c r="AY114" s="14"/>
      <c r="AZ114" s="14"/>
      <c r="BA114" s="14"/>
      <c r="BB114" s="14"/>
      <c r="BC114" s="14"/>
      <c r="BD114" t="s" s="15">
        <v>118</v>
      </c>
      <c r="BE114" s="14"/>
      <c r="BF114" s="14"/>
      <c r="BG114" s="14"/>
      <c r="BH114" s="14"/>
      <c r="BI114" s="14"/>
      <c r="BJ114" s="14"/>
      <c r="BK114" s="14"/>
      <c r="BL114" s="14"/>
      <c r="BM114" s="14"/>
      <c r="BN114" s="14"/>
      <c r="BO114" s="16"/>
      <c r="BP114" s="8"/>
    </row>
    <row r="115" ht="9" customHeight="1" hidden="1">
      <c r="A115" t="s" s="9">
        <v>387</v>
      </c>
      <c r="B115" t="s" s="10">
        <v>69</v>
      </c>
      <c r="C115" t="str" s="11" cm="1">
        <f t="array" ref="C115">_xlfn.IFERROR((VLOOKUP(A115,#REF!,2,FALSE)),"")</f>
      </c>
      <c r="D115" t="s" s="10">
        <v>70</v>
      </c>
      <c r="E115" t="s" s="10">
        <v>71</v>
      </c>
      <c r="F115" s="11"/>
      <c r="G115" t="s" s="10">
        <v>388</v>
      </c>
      <c r="H115" t="s" s="10">
        <v>388</v>
      </c>
      <c r="I115" t="s" s="10">
        <v>73</v>
      </c>
      <c r="J115" t="s" s="10">
        <v>74</v>
      </c>
      <c r="K115" t="s" s="10">
        <v>113</v>
      </c>
      <c r="L115" t="s" s="10">
        <v>76</v>
      </c>
      <c r="M115" t="s" s="10">
        <v>77</v>
      </c>
      <c r="N115" t="s" s="10">
        <v>388</v>
      </c>
      <c r="O115" t="s" s="10">
        <v>71</v>
      </c>
      <c r="P115" s="11"/>
      <c r="Q115" t="s" s="10">
        <v>78</v>
      </c>
      <c r="R115" t="s" s="10">
        <v>323</v>
      </c>
      <c r="S115" s="11"/>
      <c r="T115" s="11"/>
      <c r="U115" s="11"/>
      <c r="V115" t="s" s="10">
        <v>78</v>
      </c>
      <c r="W115" t="s" s="10">
        <v>387</v>
      </c>
      <c r="X115" t="s" s="10">
        <v>69</v>
      </c>
      <c r="Y115" s="11"/>
      <c r="Z115" t="s" s="10">
        <v>205</v>
      </c>
      <c r="AA115" s="11"/>
      <c r="AB115" t="s" s="10">
        <v>76</v>
      </c>
      <c r="AC115" s="11"/>
      <c r="AD115" s="11"/>
      <c r="AE115" s="11"/>
      <c r="AF115" s="11"/>
      <c r="AG115" s="11"/>
      <c r="AH115" t="s" s="10">
        <v>114</v>
      </c>
      <c r="AI115" t="s" s="10">
        <v>76</v>
      </c>
      <c r="AJ115" t="s" s="10">
        <v>76</v>
      </c>
      <c r="AK115" t="s" s="10">
        <v>79</v>
      </c>
      <c r="AL115" s="11"/>
      <c r="AM115" s="11"/>
      <c r="AN115" s="11"/>
      <c r="AO115" s="11"/>
      <c r="AP115" s="11"/>
      <c r="AQ115" s="11"/>
      <c r="AR115" s="11"/>
      <c r="AS115" s="11"/>
      <c r="AT115" s="11"/>
      <c r="AU115" s="11"/>
      <c r="AV115" s="11"/>
      <c r="AW115" s="11"/>
      <c r="AX115" s="11"/>
      <c r="AY115" s="11"/>
      <c r="AZ115" s="11"/>
      <c r="BA115" s="11"/>
      <c r="BB115" s="11"/>
      <c r="BC115" s="11"/>
      <c r="BD115" t="s" s="10">
        <v>118</v>
      </c>
      <c r="BE115" s="11"/>
      <c r="BF115" s="11"/>
      <c r="BG115" s="11"/>
      <c r="BH115" s="11"/>
      <c r="BI115" s="11"/>
      <c r="BJ115" s="11"/>
      <c r="BK115" s="11"/>
      <c r="BL115" s="11"/>
      <c r="BM115" s="11"/>
      <c r="BN115" s="11"/>
      <c r="BO115" s="12"/>
      <c r="BP115" s="8"/>
    </row>
    <row r="116" ht="9" customHeight="1" hidden="1">
      <c r="A116" t="s" s="13">
        <v>389</v>
      </c>
      <c r="B116" t="s" s="15">
        <v>69</v>
      </c>
      <c r="C116" t="str" s="14" cm="1">
        <f t="array" ref="C116">_xlfn.IFERROR((VLOOKUP(A116,#REF!,2,FALSE)),"")</f>
      </c>
      <c r="D116" t="s" s="15">
        <v>70</v>
      </c>
      <c r="E116" t="s" s="15">
        <v>71</v>
      </c>
      <c r="F116" s="14"/>
      <c r="G116" t="s" s="15">
        <v>390</v>
      </c>
      <c r="H116" t="s" s="15">
        <v>390</v>
      </c>
      <c r="I116" t="s" s="15">
        <v>73</v>
      </c>
      <c r="J116" t="s" s="15">
        <v>74</v>
      </c>
      <c r="K116" t="s" s="15">
        <v>113</v>
      </c>
      <c r="L116" t="s" s="15">
        <v>76</v>
      </c>
      <c r="M116" t="s" s="15">
        <v>77</v>
      </c>
      <c r="N116" t="s" s="15">
        <v>390</v>
      </c>
      <c r="O116" t="s" s="15">
        <v>71</v>
      </c>
      <c r="P116" s="14"/>
      <c r="Q116" t="s" s="15">
        <v>78</v>
      </c>
      <c r="R116" t="s" s="15">
        <v>323</v>
      </c>
      <c r="S116" s="14"/>
      <c r="T116" s="14"/>
      <c r="U116" s="14"/>
      <c r="V116" t="s" s="15">
        <v>78</v>
      </c>
      <c r="W116" t="s" s="15">
        <v>389</v>
      </c>
      <c r="X116" t="s" s="15">
        <v>69</v>
      </c>
      <c r="Y116" s="14"/>
      <c r="Z116" t="s" s="15">
        <v>205</v>
      </c>
      <c r="AA116" s="14"/>
      <c r="AB116" t="s" s="15">
        <v>76</v>
      </c>
      <c r="AC116" s="14"/>
      <c r="AD116" s="14"/>
      <c r="AE116" s="14"/>
      <c r="AF116" s="14"/>
      <c r="AG116" s="14"/>
      <c r="AH116" t="s" s="15">
        <v>114</v>
      </c>
      <c r="AI116" t="s" s="15">
        <v>76</v>
      </c>
      <c r="AJ116" t="s" s="15">
        <v>76</v>
      </c>
      <c r="AK116" t="s" s="15">
        <v>79</v>
      </c>
      <c r="AL116" s="14"/>
      <c r="AM116" s="14"/>
      <c r="AN116" s="14"/>
      <c r="AO116" s="14"/>
      <c r="AP116" s="14"/>
      <c r="AQ116" s="14"/>
      <c r="AR116" s="14"/>
      <c r="AS116" s="14"/>
      <c r="AT116" s="14"/>
      <c r="AU116" s="14"/>
      <c r="AV116" s="14"/>
      <c r="AW116" s="14"/>
      <c r="AX116" s="14"/>
      <c r="AY116" s="14"/>
      <c r="AZ116" s="14"/>
      <c r="BA116" s="14"/>
      <c r="BB116" s="14"/>
      <c r="BC116" s="14"/>
      <c r="BD116" t="s" s="15">
        <v>118</v>
      </c>
      <c r="BE116" s="14"/>
      <c r="BF116" s="14"/>
      <c r="BG116" s="14"/>
      <c r="BH116" s="14"/>
      <c r="BI116" s="14"/>
      <c r="BJ116" s="14"/>
      <c r="BK116" s="14"/>
      <c r="BL116" s="14"/>
      <c r="BM116" s="14"/>
      <c r="BN116" s="14"/>
      <c r="BO116" s="16"/>
      <c r="BP116" s="8"/>
    </row>
    <row r="117" ht="9" customHeight="1" hidden="1">
      <c r="A117" t="s" s="9">
        <v>391</v>
      </c>
      <c r="B117" s="11"/>
      <c r="C117" t="str" s="11" cm="1">
        <f t="array" ref="C117">_xlfn.IFERROR((VLOOKUP(A117,#REF!,2,FALSE)),"")</f>
      </c>
      <c r="D117" t="s" s="10">
        <v>70</v>
      </c>
      <c r="E117" t="s" s="10">
        <v>392</v>
      </c>
      <c r="F117" s="11"/>
      <c r="G117" t="s" s="10">
        <v>393</v>
      </c>
      <c r="H117" t="s" s="10">
        <v>393</v>
      </c>
      <c r="I117" t="s" s="10">
        <v>73</v>
      </c>
      <c r="J117" t="s" s="10">
        <v>74</v>
      </c>
      <c r="K117" t="s" s="10">
        <v>113</v>
      </c>
      <c r="L117" t="s" s="10">
        <v>76</v>
      </c>
      <c r="M117" t="s" s="10">
        <v>77</v>
      </c>
      <c r="N117" t="s" s="10">
        <v>393</v>
      </c>
      <c r="O117" t="s" s="10">
        <v>71</v>
      </c>
      <c r="P117" s="11"/>
      <c r="Q117" t="s" s="10">
        <v>78</v>
      </c>
      <c r="R117" t="s" s="10">
        <v>71</v>
      </c>
      <c r="S117" s="11"/>
      <c r="T117" s="11"/>
      <c r="U117" s="11"/>
      <c r="V117" t="s" s="10">
        <v>78</v>
      </c>
      <c r="W117" t="s" s="10">
        <v>391</v>
      </c>
      <c r="X117" t="s" s="10">
        <v>69</v>
      </c>
      <c r="Y117" s="11"/>
      <c r="Z117" t="s" s="10">
        <v>76</v>
      </c>
      <c r="AA117" s="11"/>
      <c r="AB117" t="s" s="10">
        <v>76</v>
      </c>
      <c r="AC117" s="11"/>
      <c r="AD117" s="11"/>
      <c r="AE117" s="11"/>
      <c r="AF117" s="11"/>
      <c r="AG117" s="11"/>
      <c r="AH117" s="11"/>
      <c r="AI117" t="s" s="10">
        <v>76</v>
      </c>
      <c r="AJ117" t="s" s="10">
        <v>76</v>
      </c>
      <c r="AK117" t="s" s="10">
        <v>79</v>
      </c>
      <c r="AL117" s="11"/>
      <c r="AM117" s="11"/>
      <c r="AN117" s="11"/>
      <c r="AO117" s="11"/>
      <c r="AP117" s="11"/>
      <c r="AQ117" s="11"/>
      <c r="AR117" s="11"/>
      <c r="AS117" s="11"/>
      <c r="AT117" s="11"/>
      <c r="AU117" s="11"/>
      <c r="AV117" s="11"/>
      <c r="AW117" s="11"/>
      <c r="AX117" s="11"/>
      <c r="AY117" s="11"/>
      <c r="AZ117" s="11"/>
      <c r="BA117" s="11"/>
      <c r="BB117" s="11"/>
      <c r="BC117" s="11"/>
      <c r="BD117" t="s" s="10">
        <v>366</v>
      </c>
      <c r="BE117" t="s" s="10">
        <v>394</v>
      </c>
      <c r="BF117" s="11"/>
      <c r="BG117" s="11"/>
      <c r="BH117" s="11"/>
      <c r="BI117" s="11"/>
      <c r="BJ117" s="11"/>
      <c r="BK117" s="11"/>
      <c r="BL117" s="11"/>
      <c r="BM117" s="11"/>
      <c r="BN117" s="11"/>
      <c r="BO117" s="12"/>
      <c r="BP117" s="8"/>
    </row>
    <row r="118" ht="9" customHeight="1" hidden="1">
      <c r="A118" t="s" s="13">
        <v>395</v>
      </c>
      <c r="B118" t="s" s="15">
        <v>69</v>
      </c>
      <c r="C118" t="str" s="14" cm="1">
        <f t="array" ref="C118">_xlfn.IFERROR((VLOOKUP(A118,#REF!,2,FALSE)),"")</f>
      </c>
      <c r="D118" t="s" s="15">
        <v>70</v>
      </c>
      <c r="E118" t="s" s="15">
        <v>71</v>
      </c>
      <c r="F118" s="14"/>
      <c r="G118" t="s" s="15">
        <v>396</v>
      </c>
      <c r="H118" t="s" s="15">
        <v>397</v>
      </c>
      <c r="I118" t="s" s="15">
        <v>271</v>
      </c>
      <c r="J118" t="s" s="15">
        <v>74</v>
      </c>
      <c r="K118" t="s" s="15">
        <v>113</v>
      </c>
      <c r="L118" t="s" s="15">
        <v>76</v>
      </c>
      <c r="M118" t="s" s="15">
        <v>77</v>
      </c>
      <c r="N118" t="s" s="15">
        <v>396</v>
      </c>
      <c r="O118" t="s" s="15">
        <v>71</v>
      </c>
      <c r="P118" s="14"/>
      <c r="Q118" t="s" s="15">
        <v>78</v>
      </c>
      <c r="R118" t="s" s="15">
        <v>83</v>
      </c>
      <c r="S118" s="14"/>
      <c r="T118" s="14"/>
      <c r="U118" s="14"/>
      <c r="V118" t="s" s="15">
        <v>78</v>
      </c>
      <c r="W118" s="14"/>
      <c r="X118" t="s" s="15">
        <v>69</v>
      </c>
      <c r="Y118" s="14"/>
      <c r="Z118" t="s" s="15">
        <v>76</v>
      </c>
      <c r="AA118" s="14"/>
      <c r="AB118" t="s" s="15">
        <v>76</v>
      </c>
      <c r="AC118" s="14"/>
      <c r="AD118" s="14"/>
      <c r="AE118" s="14"/>
      <c r="AF118" s="14"/>
      <c r="AG118" s="14"/>
      <c r="AH118" s="14"/>
      <c r="AI118" t="s" s="15">
        <v>76</v>
      </c>
      <c r="AJ118" t="s" s="15">
        <v>76</v>
      </c>
      <c r="AK118" t="s" s="15">
        <v>79</v>
      </c>
      <c r="AL118" s="14"/>
      <c r="AM118" s="14"/>
      <c r="AN118" s="14"/>
      <c r="AO118" s="14"/>
      <c r="AP118" s="14"/>
      <c r="AQ118" s="14"/>
      <c r="AR118" s="14"/>
      <c r="AS118" s="14"/>
      <c r="AT118" s="14"/>
      <c r="AU118" s="14"/>
      <c r="AV118" s="14"/>
      <c r="AW118" s="14"/>
      <c r="AX118" s="14"/>
      <c r="AY118" s="14"/>
      <c r="AZ118" s="14"/>
      <c r="BA118" s="14"/>
      <c r="BB118" s="14"/>
      <c r="BC118" s="14"/>
      <c r="BD118" t="s" s="15">
        <v>310</v>
      </c>
      <c r="BE118" t="s" s="15">
        <v>311</v>
      </c>
      <c r="BF118" s="14"/>
      <c r="BG118" s="14"/>
      <c r="BH118" s="14"/>
      <c r="BI118" s="14"/>
      <c r="BJ118" s="14"/>
      <c r="BK118" s="14"/>
      <c r="BL118" s="14"/>
      <c r="BM118" s="14"/>
      <c r="BN118" s="14"/>
      <c r="BO118" s="16"/>
      <c r="BP118" s="8"/>
    </row>
    <row r="119" ht="9" customHeight="1" hidden="1">
      <c r="A119" t="s" s="9">
        <v>398</v>
      </c>
      <c r="B119" t="s" s="10">
        <v>69</v>
      </c>
      <c r="C119" t="str" s="11" cm="1">
        <f t="array" ref="C119">_xlfn.IFERROR((VLOOKUP(A119,#REF!,2,FALSE)),"")</f>
      </c>
      <c r="D119" t="s" s="10">
        <v>70</v>
      </c>
      <c r="E119" t="s" s="10">
        <v>71</v>
      </c>
      <c r="F119" s="11"/>
      <c r="G119" t="s" s="10">
        <v>399</v>
      </c>
      <c r="H119" t="s" s="10">
        <v>399</v>
      </c>
      <c r="I119" t="s" s="10">
        <v>73</v>
      </c>
      <c r="J119" t="s" s="10">
        <v>74</v>
      </c>
      <c r="K119" t="s" s="10">
        <v>210</v>
      </c>
      <c r="L119" t="s" s="10">
        <v>76</v>
      </c>
      <c r="M119" t="s" s="10">
        <v>77</v>
      </c>
      <c r="N119" t="s" s="10">
        <v>399</v>
      </c>
      <c r="O119" t="s" s="10">
        <v>71</v>
      </c>
      <c r="P119" s="11"/>
      <c r="Q119" t="s" s="10">
        <v>78</v>
      </c>
      <c r="R119" t="s" s="10">
        <v>71</v>
      </c>
      <c r="S119" s="11"/>
      <c r="T119" s="11"/>
      <c r="U119" s="11"/>
      <c r="V119" t="s" s="10">
        <v>78</v>
      </c>
      <c r="W119" t="s" s="10">
        <v>398</v>
      </c>
      <c r="X119" t="s" s="10">
        <v>69</v>
      </c>
      <c r="Y119" s="11"/>
      <c r="Z119" t="s" s="10">
        <v>76</v>
      </c>
      <c r="AA119" s="11"/>
      <c r="AB119" t="s" s="10">
        <v>324</v>
      </c>
      <c r="AC119" s="11"/>
      <c r="AD119" s="11"/>
      <c r="AE119" s="11"/>
      <c r="AF119" s="11"/>
      <c r="AG119" t="s" s="10">
        <v>299</v>
      </c>
      <c r="AH119" t="s" s="10">
        <v>114</v>
      </c>
      <c r="AI119" t="s" s="10">
        <v>76</v>
      </c>
      <c r="AJ119" t="s" s="10">
        <v>76</v>
      </c>
      <c r="AK119" t="s" s="10">
        <v>79</v>
      </c>
      <c r="AL119" t="s" s="10">
        <v>115</v>
      </c>
      <c r="AM119" s="11"/>
      <c r="AN119" s="11"/>
      <c r="AO119" s="11"/>
      <c r="AP119" s="11"/>
      <c r="AQ119" s="11"/>
      <c r="AR119" s="11"/>
      <c r="AS119" t="s" s="10">
        <v>400</v>
      </c>
      <c r="AT119" s="11"/>
      <c r="AU119" s="11"/>
      <c r="AV119" s="11"/>
      <c r="AW119" s="11"/>
      <c r="AX119" s="11"/>
      <c r="AY119" s="11"/>
      <c r="AZ119" s="11"/>
      <c r="BA119" s="11"/>
      <c r="BB119" s="11"/>
      <c r="BC119" s="11"/>
      <c r="BD119" t="s" s="10">
        <v>118</v>
      </c>
      <c r="BE119" s="11"/>
      <c r="BF119" s="11"/>
      <c r="BG119" s="11"/>
      <c r="BH119" s="11"/>
      <c r="BI119" s="11"/>
      <c r="BJ119" s="11"/>
      <c r="BK119" s="11"/>
      <c r="BL119" s="11"/>
      <c r="BM119" s="11"/>
      <c r="BN119" s="11"/>
      <c r="BO119" s="12"/>
      <c r="BP119" s="8"/>
    </row>
    <row r="120" ht="13.55" customHeight="1">
      <c r="A120" t="s" s="13">
        <v>401</v>
      </c>
      <c r="B120" s="14"/>
      <c r="C120" t="str" s="14" cm="1">
        <f t="array" ref="C120">_xlfn.IFERROR((VLOOKUP(A120,#REF!,2,FALSE)),"")</f>
      </c>
      <c r="D120" s="14"/>
      <c r="E120" t="s" s="15">
        <v>402</v>
      </c>
      <c r="F120" s="14"/>
      <c r="G120" t="s" s="15">
        <v>403</v>
      </c>
      <c r="H120" t="s" s="15">
        <v>404</v>
      </c>
      <c r="I120" t="s" s="15">
        <v>111</v>
      </c>
      <c r="J120" t="s" s="15">
        <v>122</v>
      </c>
      <c r="K120" t="s" s="15">
        <v>105</v>
      </c>
      <c r="L120" t="s" s="15">
        <v>76</v>
      </c>
      <c r="M120" t="s" s="15">
        <v>77</v>
      </c>
      <c r="N120" t="s" s="15">
        <v>403</v>
      </c>
      <c r="O120" t="s" s="15">
        <v>286</v>
      </c>
      <c r="P120" s="14"/>
      <c r="Q120" t="s" s="15">
        <v>78</v>
      </c>
      <c r="R120" t="s" s="15">
        <v>323</v>
      </c>
      <c r="S120" s="14"/>
      <c r="T120" s="14"/>
      <c r="U120" s="14"/>
      <c r="V120" t="s" s="15">
        <v>78</v>
      </c>
      <c r="W120" s="14"/>
      <c r="X120" t="s" s="15">
        <v>69</v>
      </c>
      <c r="Y120" s="14"/>
      <c r="Z120" t="s" s="15">
        <v>76</v>
      </c>
      <c r="AA120" s="14"/>
      <c r="AB120" t="s" s="15">
        <v>324</v>
      </c>
      <c r="AC120" s="14"/>
      <c r="AD120" s="14"/>
      <c r="AE120" s="14"/>
      <c r="AF120" t="s" s="15">
        <v>404</v>
      </c>
      <c r="AG120" t="s" s="15">
        <v>299</v>
      </c>
      <c r="AH120" t="s" s="15">
        <v>114</v>
      </c>
      <c r="AI120" t="s" s="15">
        <v>332</v>
      </c>
      <c r="AJ120" t="s" s="15">
        <v>405</v>
      </c>
      <c r="AK120" t="s" s="15">
        <v>83</v>
      </c>
      <c r="AL120" t="s" s="15">
        <v>293</v>
      </c>
      <c r="AM120" t="s" s="15">
        <v>294</v>
      </c>
      <c r="AN120" s="14"/>
      <c r="AO120" s="17">
        <v>8</v>
      </c>
      <c r="AP120" s="17">
        <v>16384</v>
      </c>
      <c r="AQ120" s="17">
        <v>272473</v>
      </c>
      <c r="AR120" s="17">
        <v>272473</v>
      </c>
      <c r="AS120" t="s" s="15">
        <v>406</v>
      </c>
      <c r="AT120" t="s" s="15">
        <v>301</v>
      </c>
      <c r="AU120" s="14"/>
      <c r="AV120" s="14"/>
      <c r="AW120" s="14"/>
      <c r="AX120" s="14"/>
      <c r="AY120" s="14"/>
      <c r="AZ120" s="14"/>
      <c r="BA120" s="14"/>
      <c r="BB120" s="14"/>
      <c r="BC120" s="14"/>
      <c r="BD120" t="s" s="15">
        <v>310</v>
      </c>
      <c r="BE120" t="s" s="15">
        <v>311</v>
      </c>
      <c r="BF120" s="17">
        <v>8</v>
      </c>
      <c r="BG120" s="17">
        <v>16</v>
      </c>
      <c r="BH120" s="14"/>
      <c r="BI120" s="14"/>
      <c r="BJ120" s="14"/>
      <c r="BK120" s="14"/>
      <c r="BL120" s="14"/>
      <c r="BM120" s="14"/>
      <c r="BN120" t="s" s="15">
        <v>69</v>
      </c>
      <c r="BO120" s="16"/>
      <c r="BP120" s="8"/>
    </row>
    <row r="121" ht="9" customHeight="1" hidden="1">
      <c r="A121" t="s" s="9">
        <v>407</v>
      </c>
      <c r="B121" t="s" s="10">
        <v>69</v>
      </c>
      <c r="C121" t="str" s="11" cm="1">
        <f t="array" ref="C121">_xlfn.IFERROR((VLOOKUP(A121,#REF!,2,FALSE)),"")</f>
      </c>
      <c r="D121" t="s" s="10">
        <v>70</v>
      </c>
      <c r="E121" t="s" s="10">
        <v>71</v>
      </c>
      <c r="F121" s="11"/>
      <c r="G121" t="s" s="10">
        <v>408</v>
      </c>
      <c r="H121" t="s" s="10">
        <v>409</v>
      </c>
      <c r="I121" t="s" s="10">
        <v>271</v>
      </c>
      <c r="J121" t="s" s="10">
        <v>74</v>
      </c>
      <c r="K121" t="s" s="10">
        <v>140</v>
      </c>
      <c r="L121" t="s" s="10">
        <v>76</v>
      </c>
      <c r="M121" t="s" s="10">
        <v>77</v>
      </c>
      <c r="N121" t="s" s="10">
        <v>408</v>
      </c>
      <c r="O121" t="s" s="10">
        <v>71</v>
      </c>
      <c r="P121" s="11"/>
      <c r="Q121" t="s" s="10">
        <v>78</v>
      </c>
      <c r="R121" t="s" s="10">
        <v>83</v>
      </c>
      <c r="S121" s="11"/>
      <c r="T121" s="11"/>
      <c r="U121" s="11"/>
      <c r="V121" t="s" s="10">
        <v>78</v>
      </c>
      <c r="W121" s="11"/>
      <c r="X121" t="s" s="10">
        <v>69</v>
      </c>
      <c r="Y121" s="11"/>
      <c r="Z121" t="s" s="10">
        <v>76</v>
      </c>
      <c r="AA121" s="11"/>
      <c r="AB121" t="s" s="10">
        <v>76</v>
      </c>
      <c r="AC121" s="11"/>
      <c r="AD121" s="11"/>
      <c r="AE121" s="11"/>
      <c r="AF121" s="11"/>
      <c r="AG121" s="11"/>
      <c r="AH121" s="11"/>
      <c r="AI121" t="s" s="10">
        <v>76</v>
      </c>
      <c r="AJ121" t="s" s="10">
        <v>76</v>
      </c>
      <c r="AK121" t="s" s="10">
        <v>79</v>
      </c>
      <c r="AL121" s="11"/>
      <c r="AM121" s="11"/>
      <c r="AN121" s="11"/>
      <c r="AO121" s="11"/>
      <c r="AP121" s="11"/>
      <c r="AQ121" s="11"/>
      <c r="AR121" s="11"/>
      <c r="AS121" s="11"/>
      <c r="AT121" s="11"/>
      <c r="AU121" s="11"/>
      <c r="AV121" s="11"/>
      <c r="AW121" s="11"/>
      <c r="AX121" s="11"/>
      <c r="AY121" s="11"/>
      <c r="AZ121" s="11"/>
      <c r="BA121" s="11"/>
      <c r="BB121" s="11"/>
      <c r="BC121" s="11"/>
      <c r="BD121" t="s" s="10">
        <v>310</v>
      </c>
      <c r="BE121" t="s" s="10">
        <v>356</v>
      </c>
      <c r="BF121" s="11"/>
      <c r="BG121" s="11"/>
      <c r="BH121" s="11"/>
      <c r="BI121" s="11"/>
      <c r="BJ121" s="11"/>
      <c r="BK121" s="11"/>
      <c r="BL121" s="11"/>
      <c r="BM121" s="11"/>
      <c r="BN121" s="11"/>
      <c r="BO121" s="12"/>
      <c r="BP121" s="8"/>
    </row>
    <row r="122" ht="9" customHeight="1" hidden="1">
      <c r="A122" t="s" s="13">
        <v>410</v>
      </c>
      <c r="B122" t="s" s="15">
        <v>69</v>
      </c>
      <c r="C122" t="str" s="14" cm="1">
        <f t="array" ref="C122">_xlfn.IFERROR((VLOOKUP(A122,#REF!,2,FALSE)),"")</f>
      </c>
      <c r="D122" t="s" s="15">
        <v>70</v>
      </c>
      <c r="E122" t="s" s="15">
        <v>71</v>
      </c>
      <c r="F122" s="14"/>
      <c r="G122" t="s" s="15">
        <v>411</v>
      </c>
      <c r="H122" t="s" s="15">
        <v>411</v>
      </c>
      <c r="I122" t="s" s="15">
        <v>73</v>
      </c>
      <c r="J122" t="s" s="15">
        <v>74</v>
      </c>
      <c r="K122" t="s" s="15">
        <v>105</v>
      </c>
      <c r="L122" t="s" s="15">
        <v>76</v>
      </c>
      <c r="M122" t="s" s="15">
        <v>77</v>
      </c>
      <c r="N122" t="s" s="15">
        <v>411</v>
      </c>
      <c r="O122" t="s" s="15">
        <v>71</v>
      </c>
      <c r="P122" s="14"/>
      <c r="Q122" t="s" s="15">
        <v>78</v>
      </c>
      <c r="R122" t="s" s="15">
        <v>71</v>
      </c>
      <c r="S122" s="14"/>
      <c r="T122" s="14"/>
      <c r="U122" s="14"/>
      <c r="V122" t="s" s="15">
        <v>78</v>
      </c>
      <c r="W122" t="s" s="15">
        <v>410</v>
      </c>
      <c r="X122" t="s" s="15">
        <v>69</v>
      </c>
      <c r="Y122" s="14"/>
      <c r="Z122" t="s" s="15">
        <v>76</v>
      </c>
      <c r="AA122" s="14"/>
      <c r="AB122" t="s" s="15">
        <v>324</v>
      </c>
      <c r="AC122" s="14"/>
      <c r="AD122" s="14"/>
      <c r="AE122" s="14"/>
      <c r="AF122" s="14"/>
      <c r="AG122" t="s" s="15">
        <v>299</v>
      </c>
      <c r="AH122" t="s" s="15">
        <v>114</v>
      </c>
      <c r="AI122" t="s" s="15">
        <v>76</v>
      </c>
      <c r="AJ122" t="s" s="15">
        <v>76</v>
      </c>
      <c r="AK122" t="s" s="15">
        <v>79</v>
      </c>
      <c r="AL122" t="s" s="15">
        <v>115</v>
      </c>
      <c r="AM122" s="14"/>
      <c r="AN122" s="14"/>
      <c r="AO122" s="14"/>
      <c r="AP122" s="14"/>
      <c r="AQ122" s="14"/>
      <c r="AR122" s="14"/>
      <c r="AS122" t="s" s="15">
        <v>412</v>
      </c>
      <c r="AT122" s="14"/>
      <c r="AU122" s="14"/>
      <c r="AV122" s="14"/>
      <c r="AW122" s="14"/>
      <c r="AX122" s="14"/>
      <c r="AY122" s="14"/>
      <c r="AZ122" s="14"/>
      <c r="BA122" s="14"/>
      <c r="BB122" s="14"/>
      <c r="BC122" s="14"/>
      <c r="BD122" t="s" s="15">
        <v>118</v>
      </c>
      <c r="BE122" s="14"/>
      <c r="BF122" s="14"/>
      <c r="BG122" s="14"/>
      <c r="BH122" s="14"/>
      <c r="BI122" s="14"/>
      <c r="BJ122" s="14"/>
      <c r="BK122" s="14"/>
      <c r="BL122" s="14"/>
      <c r="BM122" s="14"/>
      <c r="BN122" s="14"/>
      <c r="BO122" s="16"/>
      <c r="BP122" s="8"/>
    </row>
    <row r="123" ht="15" customHeight="1" hidden="1">
      <c r="A123" t="s" s="9">
        <v>413</v>
      </c>
      <c r="B123" s="11"/>
      <c r="C123" t="str" s="11" cm="1">
        <f t="array" ref="C123">_xlfn.IFERROR((VLOOKUP(A123,#REF!,2,FALSE)),"")</f>
      </c>
      <c r="D123" s="11"/>
      <c r="E123" t="s" s="10">
        <v>414</v>
      </c>
      <c r="F123" s="11"/>
      <c r="G123" t="s" s="10">
        <v>415</v>
      </c>
      <c r="H123" t="s" s="10">
        <v>404</v>
      </c>
      <c r="I123" t="s" s="10">
        <v>111</v>
      </c>
      <c r="J123" t="s" s="10">
        <v>122</v>
      </c>
      <c r="K123" t="s" s="10">
        <v>140</v>
      </c>
      <c r="L123" t="s" s="10">
        <v>76</v>
      </c>
      <c r="M123" t="s" s="10">
        <v>77</v>
      </c>
      <c r="N123" t="s" s="10">
        <v>415</v>
      </c>
      <c r="O123" t="s" s="10">
        <v>286</v>
      </c>
      <c r="P123" s="11"/>
      <c r="Q123" t="s" s="10">
        <v>78</v>
      </c>
      <c r="R123" t="s" s="10">
        <v>323</v>
      </c>
      <c r="S123" s="11"/>
      <c r="T123" s="11"/>
      <c r="U123" s="11"/>
      <c r="V123" t="s" s="10">
        <v>78</v>
      </c>
      <c r="W123" t="s" s="22">
        <v>413</v>
      </c>
      <c r="X123" t="s" s="10">
        <v>69</v>
      </c>
      <c r="Y123" s="11"/>
      <c r="Z123" t="s" s="10">
        <v>76</v>
      </c>
      <c r="AA123" s="11"/>
      <c r="AB123" t="s" s="10">
        <v>324</v>
      </c>
      <c r="AC123" s="11"/>
      <c r="AD123" s="11"/>
      <c r="AE123" s="11"/>
      <c r="AF123" t="s" s="10">
        <v>404</v>
      </c>
      <c r="AG123" t="s" s="10">
        <v>299</v>
      </c>
      <c r="AH123" t="s" s="10">
        <v>114</v>
      </c>
      <c r="AI123" t="s" s="10">
        <v>332</v>
      </c>
      <c r="AJ123" t="s" s="10">
        <v>405</v>
      </c>
      <c r="AK123" t="s" s="10">
        <v>83</v>
      </c>
      <c r="AL123" t="s" s="10">
        <v>293</v>
      </c>
      <c r="AM123" t="s" s="10">
        <v>294</v>
      </c>
      <c r="AN123" s="11"/>
      <c r="AO123" s="18">
        <v>8</v>
      </c>
      <c r="AP123" s="18">
        <v>16384</v>
      </c>
      <c r="AQ123" s="18">
        <v>272472</v>
      </c>
      <c r="AR123" s="18">
        <v>272472</v>
      </c>
      <c r="AS123" t="s" s="10">
        <v>416</v>
      </c>
      <c r="AT123" t="s" s="10">
        <v>301</v>
      </c>
      <c r="AU123" s="11"/>
      <c r="AV123" s="11"/>
      <c r="AW123" s="11"/>
      <c r="AX123" s="11"/>
      <c r="AY123" s="11"/>
      <c r="AZ123" s="11"/>
      <c r="BA123" s="11"/>
      <c r="BB123" s="11"/>
      <c r="BC123" s="11"/>
      <c r="BD123" t="s" s="10">
        <v>310</v>
      </c>
      <c r="BE123" t="s" s="10">
        <v>311</v>
      </c>
      <c r="BF123" s="18">
        <v>8</v>
      </c>
      <c r="BG123" s="18">
        <v>16</v>
      </c>
      <c r="BH123" s="11"/>
      <c r="BI123" s="11"/>
      <c r="BJ123" s="11"/>
      <c r="BK123" s="11"/>
      <c r="BL123" s="11"/>
      <c r="BM123" s="11"/>
      <c r="BN123" t="s" s="10">
        <v>78</v>
      </c>
      <c r="BO123" s="12"/>
      <c r="BP123" s="8"/>
    </row>
    <row r="124" ht="9" customHeight="1" hidden="1">
      <c r="A124" t="s" s="13">
        <v>417</v>
      </c>
      <c r="B124" t="s" s="15">
        <v>69</v>
      </c>
      <c r="C124" t="str" s="14" cm="1">
        <f t="array" ref="C124">_xlfn.IFERROR((VLOOKUP(A124,#REF!,2,FALSE)),"")</f>
      </c>
      <c r="D124" t="s" s="15">
        <v>70</v>
      </c>
      <c r="E124" t="s" s="15">
        <v>71</v>
      </c>
      <c r="F124" s="14"/>
      <c r="G124" t="s" s="15">
        <v>418</v>
      </c>
      <c r="H124" t="s" s="15">
        <v>418</v>
      </c>
      <c r="I124" t="s" s="15">
        <v>73</v>
      </c>
      <c r="J124" t="s" s="15">
        <v>74</v>
      </c>
      <c r="K124" t="s" s="15">
        <v>210</v>
      </c>
      <c r="L124" t="s" s="15">
        <v>76</v>
      </c>
      <c r="M124" t="s" s="15">
        <v>77</v>
      </c>
      <c r="N124" t="s" s="15">
        <v>418</v>
      </c>
      <c r="O124" t="s" s="15">
        <v>71</v>
      </c>
      <c r="P124" s="14"/>
      <c r="Q124" t="s" s="15">
        <v>78</v>
      </c>
      <c r="R124" t="s" s="15">
        <v>71</v>
      </c>
      <c r="S124" s="14"/>
      <c r="T124" s="14"/>
      <c r="U124" s="14"/>
      <c r="V124" t="s" s="15">
        <v>78</v>
      </c>
      <c r="W124" t="s" s="15">
        <v>417</v>
      </c>
      <c r="X124" t="s" s="15">
        <v>69</v>
      </c>
      <c r="Y124" s="14"/>
      <c r="Z124" t="s" s="15">
        <v>76</v>
      </c>
      <c r="AA124" s="14"/>
      <c r="AB124" t="s" s="15">
        <v>76</v>
      </c>
      <c r="AC124" s="14"/>
      <c r="AD124" s="14"/>
      <c r="AE124" s="14"/>
      <c r="AF124" s="14"/>
      <c r="AG124" s="14"/>
      <c r="AH124" s="14"/>
      <c r="AI124" t="s" s="15">
        <v>76</v>
      </c>
      <c r="AJ124" t="s" s="15">
        <v>76</v>
      </c>
      <c r="AK124" t="s" s="15">
        <v>79</v>
      </c>
      <c r="AL124" s="14"/>
      <c r="AM124" s="14"/>
      <c r="AN124" s="14"/>
      <c r="AO124" s="14"/>
      <c r="AP124" s="14"/>
      <c r="AQ124" s="14"/>
      <c r="AR124" s="14"/>
      <c r="AS124" s="14"/>
      <c r="AT124" s="14"/>
      <c r="AU124" s="14"/>
      <c r="AV124" s="14"/>
      <c r="AW124" s="14"/>
      <c r="AX124" s="14"/>
      <c r="AY124" s="14"/>
      <c r="AZ124" s="14"/>
      <c r="BA124" s="14"/>
      <c r="BB124" s="14"/>
      <c r="BC124" s="14"/>
      <c r="BD124" t="s" s="15">
        <v>310</v>
      </c>
      <c r="BE124" t="s" s="24">
        <v>419</v>
      </c>
      <c r="BF124" s="20"/>
      <c r="BG124" s="20"/>
      <c r="BH124" s="14"/>
      <c r="BI124" s="14"/>
      <c r="BJ124" s="14"/>
      <c r="BK124" s="14"/>
      <c r="BL124" s="14"/>
      <c r="BM124" s="14"/>
      <c r="BN124" s="14"/>
      <c r="BO124" s="16"/>
      <c r="BP124" s="8"/>
    </row>
    <row r="125" ht="13.55" customHeight="1">
      <c r="A125" t="s" s="9">
        <v>420</v>
      </c>
      <c r="B125" s="11"/>
      <c r="C125" t="str" s="11" cm="1">
        <f t="array" ref="C125">_xlfn.IFERROR((VLOOKUP(A125,#REF!,2,FALSE)),"")</f>
      </c>
      <c r="D125" s="11"/>
      <c r="E125" t="s" s="10">
        <v>421</v>
      </c>
      <c r="F125" s="11"/>
      <c r="G125" t="s" s="10">
        <v>422</v>
      </c>
      <c r="H125" t="s" s="10">
        <v>423</v>
      </c>
      <c r="I125" t="s" s="10">
        <v>111</v>
      </c>
      <c r="J125" t="s" s="10">
        <v>122</v>
      </c>
      <c r="K125" t="s" s="10">
        <v>140</v>
      </c>
      <c r="L125" t="s" s="10">
        <v>76</v>
      </c>
      <c r="M125" t="s" s="10">
        <v>77</v>
      </c>
      <c r="N125" t="s" s="10">
        <v>424</v>
      </c>
      <c r="O125" s="11"/>
      <c r="P125" s="11"/>
      <c r="Q125" t="s" s="10">
        <v>69</v>
      </c>
      <c r="R125" t="s" s="10">
        <v>83</v>
      </c>
      <c r="S125" s="11"/>
      <c r="T125" s="11"/>
      <c r="U125" s="11"/>
      <c r="V125" t="s" s="10">
        <v>69</v>
      </c>
      <c r="W125" s="11"/>
      <c r="X125" t="s" s="10">
        <v>69</v>
      </c>
      <c r="Y125" s="11"/>
      <c r="Z125" t="s" s="10">
        <v>289</v>
      </c>
      <c r="AA125" s="11"/>
      <c r="AB125" t="s" s="10">
        <v>425</v>
      </c>
      <c r="AC125" t="s" s="10">
        <v>420</v>
      </c>
      <c r="AD125" t="s" s="10">
        <v>426</v>
      </c>
      <c r="AE125" s="11"/>
      <c r="AF125" t="s" s="10">
        <v>423</v>
      </c>
      <c r="AG125" t="s" s="10">
        <v>299</v>
      </c>
      <c r="AH125" t="s" s="10">
        <v>114</v>
      </c>
      <c r="AI125" t="s" s="10">
        <v>332</v>
      </c>
      <c r="AJ125" t="s" s="10">
        <v>333</v>
      </c>
      <c r="AK125" t="s" s="10">
        <v>83</v>
      </c>
      <c r="AL125" t="s" s="10">
        <v>293</v>
      </c>
      <c r="AM125" t="s" s="10">
        <v>294</v>
      </c>
      <c r="AN125" t="s" s="10">
        <v>128</v>
      </c>
      <c r="AO125" s="18">
        <v>8</v>
      </c>
      <c r="AP125" s="18">
        <v>49152</v>
      </c>
      <c r="AQ125" s="18">
        <v>1790271</v>
      </c>
      <c r="AR125" s="18">
        <v>1198205</v>
      </c>
      <c r="AS125" t="s" s="10">
        <v>427</v>
      </c>
      <c r="AT125" t="s" s="10">
        <v>301</v>
      </c>
      <c r="AU125" s="11"/>
      <c r="AV125" s="11"/>
      <c r="AW125" s="11"/>
      <c r="AX125" s="11"/>
      <c r="AY125" s="11"/>
      <c r="AZ125" s="11"/>
      <c r="BA125" s="11"/>
      <c r="BB125" s="11"/>
      <c r="BC125" s="11"/>
      <c r="BD125" t="s" s="10">
        <v>428</v>
      </c>
      <c r="BE125" t="s" s="10">
        <v>429</v>
      </c>
      <c r="BF125" s="18">
        <v>8</v>
      </c>
      <c r="BG125" s="18">
        <v>64</v>
      </c>
      <c r="BH125" s="11"/>
      <c r="BI125" s="11"/>
      <c r="BJ125" s="11"/>
      <c r="BK125" s="11"/>
      <c r="BL125" s="11"/>
      <c r="BM125" s="11"/>
      <c r="BN125" t="s" s="10">
        <v>69</v>
      </c>
      <c r="BO125" s="12"/>
      <c r="BP125" s="8"/>
    </row>
    <row r="126" ht="9" customHeight="1" hidden="1">
      <c r="A126" t="s" s="13">
        <v>430</v>
      </c>
      <c r="B126" t="s" s="15">
        <v>69</v>
      </c>
      <c r="C126" t="str" s="14" cm="1">
        <f t="array" ref="C126">_xlfn.IFERROR((VLOOKUP(A126,#REF!,2,FALSE)),"")</f>
      </c>
      <c r="D126" t="s" s="15">
        <v>70</v>
      </c>
      <c r="E126" t="s" s="15">
        <v>71</v>
      </c>
      <c r="F126" s="14"/>
      <c r="G126" t="s" s="15">
        <v>424</v>
      </c>
      <c r="H126" t="s" s="15">
        <v>431</v>
      </c>
      <c r="I126" t="s" s="15">
        <v>73</v>
      </c>
      <c r="J126" t="s" s="15">
        <v>74</v>
      </c>
      <c r="K126" t="s" s="15">
        <v>140</v>
      </c>
      <c r="L126" t="s" s="15">
        <v>76</v>
      </c>
      <c r="M126" t="s" s="15">
        <v>77</v>
      </c>
      <c r="N126" t="s" s="15">
        <v>424</v>
      </c>
      <c r="O126" t="s" s="15">
        <v>71</v>
      </c>
      <c r="P126" s="14"/>
      <c r="Q126" t="s" s="15">
        <v>78</v>
      </c>
      <c r="R126" t="s" s="15">
        <v>71</v>
      </c>
      <c r="S126" s="14"/>
      <c r="T126" s="14"/>
      <c r="U126" s="14"/>
      <c r="V126" t="s" s="15">
        <v>78</v>
      </c>
      <c r="W126" t="s" s="15">
        <v>430</v>
      </c>
      <c r="X126" t="s" s="15">
        <v>69</v>
      </c>
      <c r="Y126" s="14"/>
      <c r="Z126" t="s" s="15">
        <v>76</v>
      </c>
      <c r="AA126" s="14"/>
      <c r="AB126" t="s" s="15">
        <v>76</v>
      </c>
      <c r="AC126" s="14"/>
      <c r="AD126" s="14"/>
      <c r="AE126" s="14"/>
      <c r="AF126" s="14"/>
      <c r="AG126" s="14"/>
      <c r="AH126" s="14"/>
      <c r="AI126" t="s" s="15">
        <v>76</v>
      </c>
      <c r="AJ126" t="s" s="15">
        <v>76</v>
      </c>
      <c r="AK126" t="s" s="15">
        <v>79</v>
      </c>
      <c r="AL126" s="14"/>
      <c r="AM126" s="14"/>
      <c r="AN126" s="14"/>
      <c r="AO126" s="14"/>
      <c r="AP126" s="14"/>
      <c r="AQ126" s="14"/>
      <c r="AR126" s="14"/>
      <c r="AS126" s="14"/>
      <c r="AT126" s="14"/>
      <c r="AU126" s="14"/>
      <c r="AV126" s="14"/>
      <c r="AW126" s="14"/>
      <c r="AX126" s="14"/>
      <c r="AY126" s="14"/>
      <c r="AZ126" s="14"/>
      <c r="BA126" s="14"/>
      <c r="BB126" s="14"/>
      <c r="BC126" s="14"/>
      <c r="BD126" t="s" s="15">
        <v>366</v>
      </c>
      <c r="BE126" t="s" s="15">
        <v>367</v>
      </c>
      <c r="BF126" s="14"/>
      <c r="BG126" s="14"/>
      <c r="BH126" s="14"/>
      <c r="BI126" s="14"/>
      <c r="BJ126" s="14"/>
      <c r="BK126" s="14"/>
      <c r="BL126" s="14"/>
      <c r="BM126" s="14"/>
      <c r="BN126" s="14"/>
      <c r="BO126" s="16"/>
      <c r="BP126" s="8"/>
    </row>
    <row r="127" ht="9" customHeight="1" hidden="1">
      <c r="A127" t="s" s="9">
        <v>432</v>
      </c>
      <c r="B127" t="s" s="10">
        <v>69</v>
      </c>
      <c r="C127" t="str" s="11" cm="1">
        <f t="array" ref="C127">_xlfn.IFERROR((VLOOKUP(A127,#REF!,2,FALSE)),"")</f>
      </c>
      <c r="D127" t="s" s="10">
        <v>70</v>
      </c>
      <c r="E127" t="s" s="10">
        <v>71</v>
      </c>
      <c r="F127" s="11"/>
      <c r="G127" t="s" s="10">
        <v>433</v>
      </c>
      <c r="H127" t="s" s="10">
        <v>434</v>
      </c>
      <c r="I127" t="s" s="10">
        <v>73</v>
      </c>
      <c r="J127" t="s" s="10">
        <v>74</v>
      </c>
      <c r="K127" t="s" s="10">
        <v>140</v>
      </c>
      <c r="L127" t="s" s="10">
        <v>435</v>
      </c>
      <c r="M127" t="s" s="10">
        <v>77</v>
      </c>
      <c r="N127" t="s" s="10">
        <v>433</v>
      </c>
      <c r="O127" t="s" s="10">
        <v>71</v>
      </c>
      <c r="P127" s="11"/>
      <c r="Q127" t="s" s="10">
        <v>78</v>
      </c>
      <c r="R127" t="s" s="10">
        <v>71</v>
      </c>
      <c r="S127" s="11"/>
      <c r="T127" s="11"/>
      <c r="U127" s="11"/>
      <c r="V127" t="s" s="10">
        <v>78</v>
      </c>
      <c r="W127" t="s" s="10">
        <v>432</v>
      </c>
      <c r="X127" t="s" s="10">
        <v>69</v>
      </c>
      <c r="Y127" s="11"/>
      <c r="Z127" t="s" s="10">
        <v>436</v>
      </c>
      <c r="AA127" s="11"/>
      <c r="AB127" t="s" s="10">
        <v>437</v>
      </c>
      <c r="AC127" s="11"/>
      <c r="AD127" s="11"/>
      <c r="AE127" s="11"/>
      <c r="AF127" s="11"/>
      <c r="AG127" s="11"/>
      <c r="AH127" t="s" s="10">
        <v>289</v>
      </c>
      <c r="AI127" t="s" s="10">
        <v>76</v>
      </c>
      <c r="AJ127" t="s" s="10">
        <v>76</v>
      </c>
      <c r="AK127" t="s" s="10">
        <v>79</v>
      </c>
      <c r="AL127" t="s" s="10">
        <v>115</v>
      </c>
      <c r="AM127" s="11"/>
      <c r="AN127" s="11"/>
      <c r="AO127" s="11"/>
      <c r="AP127" s="11"/>
      <c r="AQ127" s="11"/>
      <c r="AR127" s="11"/>
      <c r="AS127" t="s" s="10">
        <v>438</v>
      </c>
      <c r="AT127" s="11"/>
      <c r="AU127" s="11"/>
      <c r="AV127" s="11"/>
      <c r="AW127" s="11"/>
      <c r="AX127" s="11"/>
      <c r="AY127" s="11"/>
      <c r="AZ127" s="11"/>
      <c r="BA127" s="11"/>
      <c r="BB127" s="11"/>
      <c r="BC127" s="11"/>
      <c r="BD127" t="s" s="10">
        <v>310</v>
      </c>
      <c r="BE127" t="s" s="10">
        <v>356</v>
      </c>
      <c r="BF127" s="11"/>
      <c r="BG127" s="11"/>
      <c r="BH127" s="11"/>
      <c r="BI127" s="11"/>
      <c r="BJ127" s="11"/>
      <c r="BK127" s="11"/>
      <c r="BL127" s="11"/>
      <c r="BM127" s="11"/>
      <c r="BN127" s="11"/>
      <c r="BO127" s="12"/>
      <c r="BP127" s="8"/>
    </row>
    <row r="128" ht="15" customHeight="1" hidden="1">
      <c r="A128" t="s" s="13">
        <v>439</v>
      </c>
      <c r="B128" s="14"/>
      <c r="C128" t="str" s="14" cm="1">
        <f t="array" ref="C128">_xlfn.IFERROR((VLOOKUP(A128,#REF!,2,FALSE)),"")</f>
      </c>
      <c r="D128" s="14"/>
      <c r="E128" s="14"/>
      <c r="F128" s="14"/>
      <c r="G128" t="s" s="15">
        <v>434</v>
      </c>
      <c r="H128" t="s" s="15">
        <v>434</v>
      </c>
      <c r="I128" t="s" s="15">
        <v>111</v>
      </c>
      <c r="J128" t="s" s="15">
        <v>112</v>
      </c>
      <c r="K128" t="s" s="15">
        <v>140</v>
      </c>
      <c r="L128" t="s" s="15">
        <v>435</v>
      </c>
      <c r="M128" t="s" s="15">
        <v>77</v>
      </c>
      <c r="N128" t="s" s="15">
        <v>434</v>
      </c>
      <c r="O128" s="14"/>
      <c r="P128" s="14"/>
      <c r="Q128" t="s" s="15">
        <v>78</v>
      </c>
      <c r="R128" t="s" s="15">
        <v>83</v>
      </c>
      <c r="S128" s="14"/>
      <c r="T128" s="14"/>
      <c r="U128" s="14"/>
      <c r="V128" t="s" s="15">
        <v>69</v>
      </c>
      <c r="W128" s="14"/>
      <c r="X128" t="s" s="15">
        <v>69</v>
      </c>
      <c r="Y128" s="14"/>
      <c r="Z128" t="s" s="15">
        <v>436</v>
      </c>
      <c r="AA128" s="14"/>
      <c r="AB128" t="s" s="15">
        <v>437</v>
      </c>
      <c r="AC128" s="14"/>
      <c r="AD128" s="14"/>
      <c r="AE128" t="s" s="15">
        <v>439</v>
      </c>
      <c r="AF128" s="14"/>
      <c r="AG128" t="s" s="15">
        <v>299</v>
      </c>
      <c r="AH128" t="s" s="15">
        <v>289</v>
      </c>
      <c r="AI128" t="s" s="15">
        <v>440</v>
      </c>
      <c r="AJ128" s="14"/>
      <c r="AK128" t="s" s="15">
        <v>83</v>
      </c>
      <c r="AL128" t="s" s="15">
        <v>115</v>
      </c>
      <c r="AM128" s="14"/>
      <c r="AN128" t="s" s="15">
        <v>441</v>
      </c>
      <c r="AO128" s="14"/>
      <c r="AP128" s="14"/>
      <c r="AQ128" s="14"/>
      <c r="AR128" s="14"/>
      <c r="AS128" t="s" s="15">
        <v>442</v>
      </c>
      <c r="AT128" t="s" s="15">
        <v>301</v>
      </c>
      <c r="AU128" s="14"/>
      <c r="AV128" s="14"/>
      <c r="AW128" t="s" s="15">
        <v>443</v>
      </c>
      <c r="AX128" s="14"/>
      <c r="AY128" s="14"/>
      <c r="AZ128" s="14"/>
      <c r="BA128" s="14"/>
      <c r="BB128" s="14"/>
      <c r="BC128" s="14"/>
      <c r="BD128" t="s" s="15">
        <v>83</v>
      </c>
      <c r="BE128" t="s" s="15">
        <v>83</v>
      </c>
      <c r="BF128" s="14"/>
      <c r="BG128" s="14"/>
      <c r="BH128" s="14"/>
      <c r="BI128" s="14"/>
      <c r="BJ128" s="14"/>
      <c r="BK128" s="14"/>
      <c r="BL128" s="14"/>
      <c r="BM128" s="14"/>
      <c r="BN128" s="14"/>
      <c r="BO128" s="16"/>
      <c r="BP128" s="8"/>
    </row>
    <row r="129" ht="15" customHeight="1" hidden="1">
      <c r="A129" t="s" s="9">
        <v>444</v>
      </c>
      <c r="B129" s="11"/>
      <c r="C129" t="str" s="11" cm="1">
        <f t="array" ref="C129">_xlfn.IFERROR((VLOOKUP(A129,#REF!,2,FALSE)),"")</f>
      </c>
      <c r="D129" s="11"/>
      <c r="E129" s="11"/>
      <c r="F129" s="11"/>
      <c r="G129" t="s" s="10">
        <v>445</v>
      </c>
      <c r="H129" t="s" s="10">
        <v>434</v>
      </c>
      <c r="I129" t="s" s="10">
        <v>111</v>
      </c>
      <c r="J129" t="s" s="10">
        <v>322</v>
      </c>
      <c r="K129" t="s" s="10">
        <v>140</v>
      </c>
      <c r="L129" t="s" s="10">
        <v>435</v>
      </c>
      <c r="M129" t="s" s="10">
        <v>77</v>
      </c>
      <c r="N129" t="s" s="10">
        <v>445</v>
      </c>
      <c r="O129" s="11"/>
      <c r="P129" s="11"/>
      <c r="Q129" t="s" s="10">
        <v>78</v>
      </c>
      <c r="R129" t="s" s="10">
        <v>83</v>
      </c>
      <c r="S129" s="11"/>
      <c r="T129" s="11"/>
      <c r="U129" s="11"/>
      <c r="V129" t="s" s="10">
        <v>69</v>
      </c>
      <c r="W129" s="11"/>
      <c r="X129" t="s" s="10">
        <v>69</v>
      </c>
      <c r="Y129" s="11"/>
      <c r="Z129" t="s" s="10">
        <v>436</v>
      </c>
      <c r="AA129" s="11"/>
      <c r="AB129" t="s" s="10">
        <v>437</v>
      </c>
      <c r="AC129" s="11"/>
      <c r="AD129" s="11"/>
      <c r="AE129" t="s" s="10">
        <v>444</v>
      </c>
      <c r="AF129" s="11"/>
      <c r="AG129" t="s" s="10">
        <v>299</v>
      </c>
      <c r="AH129" t="s" s="10">
        <v>289</v>
      </c>
      <c r="AI129" t="s" s="10">
        <v>440</v>
      </c>
      <c r="AJ129" s="11"/>
      <c r="AK129" t="s" s="10">
        <v>83</v>
      </c>
      <c r="AL129" t="s" s="10">
        <v>115</v>
      </c>
      <c r="AM129" s="11"/>
      <c r="AN129" t="s" s="10">
        <v>446</v>
      </c>
      <c r="AO129" s="11"/>
      <c r="AP129" s="11"/>
      <c r="AQ129" s="11"/>
      <c r="AR129" s="11"/>
      <c r="AS129" t="s" s="10">
        <v>447</v>
      </c>
      <c r="AT129" t="s" s="10">
        <v>301</v>
      </c>
      <c r="AU129" s="11"/>
      <c r="AV129" s="11"/>
      <c r="AW129" t="s" s="10">
        <v>448</v>
      </c>
      <c r="AX129" s="11"/>
      <c r="AY129" s="11"/>
      <c r="AZ129" s="11"/>
      <c r="BA129" s="11"/>
      <c r="BB129" s="11"/>
      <c r="BC129" s="11"/>
      <c r="BD129" t="s" s="10">
        <v>83</v>
      </c>
      <c r="BE129" t="s" s="10">
        <v>83</v>
      </c>
      <c r="BF129" s="11"/>
      <c r="BG129" s="11"/>
      <c r="BH129" s="11"/>
      <c r="BI129" s="11"/>
      <c r="BJ129" s="11"/>
      <c r="BK129" s="11"/>
      <c r="BL129" s="11"/>
      <c r="BM129" s="11"/>
      <c r="BN129" s="11"/>
      <c r="BO129" s="12"/>
      <c r="BP129" s="8"/>
    </row>
    <row r="130" ht="15" customHeight="1" hidden="1">
      <c r="A130" t="s" s="13">
        <v>449</v>
      </c>
      <c r="B130" s="14"/>
      <c r="C130" t="str" s="14" cm="1">
        <f t="array" ref="C130">_xlfn.IFERROR((VLOOKUP(A130,#REF!,2,FALSE)),"")</f>
      </c>
      <c r="D130" t="s" s="15">
        <v>70</v>
      </c>
      <c r="E130" t="s" s="15">
        <v>450</v>
      </c>
      <c r="F130" s="14"/>
      <c r="G130" t="s" s="15">
        <v>451</v>
      </c>
      <c r="H130" t="s" s="15">
        <v>434</v>
      </c>
      <c r="I130" t="s" s="15">
        <v>111</v>
      </c>
      <c r="J130" t="s" s="15">
        <v>452</v>
      </c>
      <c r="K130" t="s" s="15">
        <v>140</v>
      </c>
      <c r="L130" t="s" s="15">
        <v>435</v>
      </c>
      <c r="M130" t="s" s="15">
        <v>77</v>
      </c>
      <c r="N130" t="s" s="15">
        <v>451</v>
      </c>
      <c r="O130" s="14"/>
      <c r="P130" s="14"/>
      <c r="Q130" t="s" s="15">
        <v>78</v>
      </c>
      <c r="R130" t="s" s="15">
        <v>83</v>
      </c>
      <c r="S130" s="14"/>
      <c r="T130" s="14"/>
      <c r="U130" s="14"/>
      <c r="V130" t="s" s="15">
        <v>69</v>
      </c>
      <c r="W130" s="14"/>
      <c r="X130" t="s" s="15">
        <v>69</v>
      </c>
      <c r="Y130" s="14"/>
      <c r="Z130" t="s" s="15">
        <v>436</v>
      </c>
      <c r="AA130" s="14"/>
      <c r="AB130" t="s" s="15">
        <v>437</v>
      </c>
      <c r="AC130" s="14"/>
      <c r="AD130" s="14"/>
      <c r="AE130" s="14"/>
      <c r="AF130" s="14"/>
      <c r="AG130" t="s" s="15">
        <v>453</v>
      </c>
      <c r="AH130" t="s" s="15">
        <v>289</v>
      </c>
      <c r="AI130" t="s" s="15">
        <v>440</v>
      </c>
      <c r="AJ130" s="14"/>
      <c r="AK130" t="s" s="15">
        <v>83</v>
      </c>
      <c r="AL130" t="s" s="15">
        <v>115</v>
      </c>
      <c r="AM130" s="14"/>
      <c r="AN130" t="s" s="15">
        <v>454</v>
      </c>
      <c r="AO130" s="14"/>
      <c r="AP130" s="14"/>
      <c r="AQ130" s="14"/>
      <c r="AR130" s="14"/>
      <c r="AS130" t="s" s="15">
        <v>455</v>
      </c>
      <c r="AT130" s="14"/>
      <c r="AU130" s="14"/>
      <c r="AV130" s="14"/>
      <c r="AW130" s="14"/>
      <c r="AX130" s="14"/>
      <c r="AY130" s="14"/>
      <c r="AZ130" s="14"/>
      <c r="BA130" s="14"/>
      <c r="BB130" s="14"/>
      <c r="BC130" s="14"/>
      <c r="BD130" t="s" s="15">
        <v>310</v>
      </c>
      <c r="BE130" t="s" s="24">
        <v>419</v>
      </c>
      <c r="BF130" s="20"/>
      <c r="BG130" s="20"/>
      <c r="BH130" s="14"/>
      <c r="BI130" s="14"/>
      <c r="BJ130" s="14"/>
      <c r="BK130" s="14"/>
      <c r="BL130" s="14"/>
      <c r="BM130" s="14"/>
      <c r="BN130" s="14"/>
      <c r="BO130" s="16"/>
      <c r="BP130" s="8"/>
    </row>
    <row r="131" ht="9" customHeight="1" hidden="1">
      <c r="A131" t="s" s="9">
        <v>456</v>
      </c>
      <c r="B131" s="11"/>
      <c r="C131" t="str" s="11" cm="1">
        <f t="array" ref="C131">_xlfn.IFERROR((VLOOKUP(A131,#REF!,2,FALSE)),"")</f>
      </c>
      <c r="D131" s="11"/>
      <c r="E131" s="11"/>
      <c r="F131" s="11"/>
      <c r="G131" t="s" s="10">
        <v>457</v>
      </c>
      <c r="H131" t="s" s="10">
        <v>434</v>
      </c>
      <c r="I131" t="s" s="10">
        <v>271</v>
      </c>
      <c r="J131" t="s" s="10">
        <v>74</v>
      </c>
      <c r="K131" t="s" s="10">
        <v>140</v>
      </c>
      <c r="L131" t="s" s="10">
        <v>435</v>
      </c>
      <c r="M131" t="s" s="10">
        <v>77</v>
      </c>
      <c r="N131" t="s" s="10">
        <v>457</v>
      </c>
      <c r="O131" s="11"/>
      <c r="P131" s="11"/>
      <c r="Q131" t="s" s="10">
        <v>78</v>
      </c>
      <c r="R131" t="s" s="10">
        <v>339</v>
      </c>
      <c r="S131" s="11"/>
      <c r="T131" s="11"/>
      <c r="U131" s="11"/>
      <c r="V131" t="s" s="10">
        <v>78</v>
      </c>
      <c r="W131" s="11"/>
      <c r="X131" t="s" s="10">
        <v>69</v>
      </c>
      <c r="Y131" s="11"/>
      <c r="Z131" t="s" s="10">
        <v>436</v>
      </c>
      <c r="AA131" s="11"/>
      <c r="AB131" t="s" s="10">
        <v>437</v>
      </c>
      <c r="AC131" s="11"/>
      <c r="AD131" s="11"/>
      <c r="AE131" s="11"/>
      <c r="AF131" s="11"/>
      <c r="AG131" t="s" s="10">
        <v>299</v>
      </c>
      <c r="AH131" t="s" s="10">
        <v>289</v>
      </c>
      <c r="AI131" t="s" s="10">
        <v>440</v>
      </c>
      <c r="AJ131" s="11"/>
      <c r="AK131" t="s" s="10">
        <v>83</v>
      </c>
      <c r="AL131" s="11"/>
      <c r="AM131" s="11"/>
      <c r="AN131" s="11"/>
      <c r="AO131" s="11"/>
      <c r="AP131" s="11"/>
      <c r="AQ131" s="11"/>
      <c r="AR131" s="11"/>
      <c r="AS131" t="s" s="10">
        <v>458</v>
      </c>
      <c r="AT131" t="s" s="10">
        <v>301</v>
      </c>
      <c r="AU131" s="11"/>
      <c r="AV131" s="11"/>
      <c r="AW131" t="s" s="10">
        <v>459</v>
      </c>
      <c r="AX131" s="11"/>
      <c r="AY131" s="11"/>
      <c r="AZ131" s="11"/>
      <c r="BA131" s="11"/>
      <c r="BB131" s="11"/>
      <c r="BC131" s="11"/>
      <c r="BD131" t="s" s="10">
        <v>310</v>
      </c>
      <c r="BE131" t="s" s="10">
        <v>356</v>
      </c>
      <c r="BF131" s="11"/>
      <c r="BG131" s="11"/>
      <c r="BH131" s="11"/>
      <c r="BI131" s="11"/>
      <c r="BJ131" s="11"/>
      <c r="BK131" s="11"/>
      <c r="BL131" s="11"/>
      <c r="BM131" s="11"/>
      <c r="BN131" s="11"/>
      <c r="BO131" s="12"/>
      <c r="BP131" s="8"/>
    </row>
    <row r="132" ht="9" customHeight="1" hidden="1">
      <c r="A132" t="s" s="13">
        <v>460</v>
      </c>
      <c r="B132" t="s" s="15">
        <v>69</v>
      </c>
      <c r="C132" t="str" s="14" cm="1">
        <f t="array" ref="C132">_xlfn.IFERROR((VLOOKUP(A132,#REF!,2,FALSE)),"")</f>
      </c>
      <c r="D132" t="s" s="15">
        <v>70</v>
      </c>
      <c r="E132" t="s" s="15">
        <v>71</v>
      </c>
      <c r="F132" s="14"/>
      <c r="G132" t="s" s="15">
        <v>457</v>
      </c>
      <c r="H132" t="s" s="15">
        <v>434</v>
      </c>
      <c r="I132" t="s" s="15">
        <v>271</v>
      </c>
      <c r="J132" t="s" s="15">
        <v>74</v>
      </c>
      <c r="K132" t="s" s="15">
        <v>140</v>
      </c>
      <c r="L132" t="s" s="15">
        <v>435</v>
      </c>
      <c r="M132" t="s" s="15">
        <v>77</v>
      </c>
      <c r="N132" t="s" s="15">
        <v>457</v>
      </c>
      <c r="O132" t="s" s="15">
        <v>71</v>
      </c>
      <c r="P132" s="14"/>
      <c r="Q132" t="s" s="15">
        <v>78</v>
      </c>
      <c r="R132" t="s" s="15">
        <v>83</v>
      </c>
      <c r="S132" s="14"/>
      <c r="T132" s="14"/>
      <c r="U132" s="14"/>
      <c r="V132" t="s" s="15">
        <v>78</v>
      </c>
      <c r="W132" s="14"/>
      <c r="X132" t="s" s="15">
        <v>69</v>
      </c>
      <c r="Y132" s="14"/>
      <c r="Z132" t="s" s="15">
        <v>436</v>
      </c>
      <c r="AA132" s="14"/>
      <c r="AB132" t="s" s="15">
        <v>437</v>
      </c>
      <c r="AC132" s="14"/>
      <c r="AD132" s="14"/>
      <c r="AE132" s="14"/>
      <c r="AF132" s="14"/>
      <c r="AG132" s="14"/>
      <c r="AH132" t="s" s="15">
        <v>289</v>
      </c>
      <c r="AI132" t="s" s="15">
        <v>76</v>
      </c>
      <c r="AJ132" t="s" s="15">
        <v>76</v>
      </c>
      <c r="AK132" t="s" s="15">
        <v>79</v>
      </c>
      <c r="AL132" s="14"/>
      <c r="AM132" s="14"/>
      <c r="AN132" s="14"/>
      <c r="AO132" s="14"/>
      <c r="AP132" s="14"/>
      <c r="AQ132" s="14"/>
      <c r="AR132" s="14"/>
      <c r="AS132" s="14"/>
      <c r="AT132" s="14"/>
      <c r="AU132" s="14"/>
      <c r="AV132" s="14"/>
      <c r="AW132" s="14"/>
      <c r="AX132" s="14"/>
      <c r="AY132" s="14"/>
      <c r="AZ132" s="14"/>
      <c r="BA132" s="14"/>
      <c r="BB132" s="14"/>
      <c r="BC132" s="14"/>
      <c r="BD132" t="s" s="15">
        <v>310</v>
      </c>
      <c r="BE132" t="s" s="24">
        <v>419</v>
      </c>
      <c r="BF132" s="20"/>
      <c r="BG132" s="20"/>
      <c r="BH132" s="14"/>
      <c r="BI132" s="14"/>
      <c r="BJ132" s="14"/>
      <c r="BK132" s="14"/>
      <c r="BL132" s="14"/>
      <c r="BM132" s="14"/>
      <c r="BN132" s="14"/>
      <c r="BO132" s="16"/>
      <c r="BP132" s="8"/>
    </row>
    <row r="133" ht="9" customHeight="1" hidden="1">
      <c r="A133" t="s" s="9">
        <v>461</v>
      </c>
      <c r="B133" t="s" s="10">
        <v>69</v>
      </c>
      <c r="C133" t="str" s="11" cm="1">
        <f t="array" ref="C133">_xlfn.IFERROR((VLOOKUP(A133,#REF!,2,FALSE)),"")</f>
      </c>
      <c r="D133" t="s" s="10">
        <v>70</v>
      </c>
      <c r="E133" t="s" s="10">
        <v>71</v>
      </c>
      <c r="F133" s="11"/>
      <c r="G133" t="s" s="10">
        <v>462</v>
      </c>
      <c r="H133" t="s" s="10">
        <v>462</v>
      </c>
      <c r="I133" t="s" s="10">
        <v>271</v>
      </c>
      <c r="J133" t="s" s="10">
        <v>74</v>
      </c>
      <c r="K133" t="s" s="10">
        <v>75</v>
      </c>
      <c r="L133" t="s" s="10">
        <v>76</v>
      </c>
      <c r="M133" t="s" s="10">
        <v>77</v>
      </c>
      <c r="N133" t="s" s="10">
        <v>462</v>
      </c>
      <c r="O133" t="s" s="10">
        <v>71</v>
      </c>
      <c r="P133" s="11"/>
      <c r="Q133" t="s" s="10">
        <v>78</v>
      </c>
      <c r="R133" t="s" s="10">
        <v>83</v>
      </c>
      <c r="S133" s="11"/>
      <c r="T133" s="11"/>
      <c r="U133" s="11"/>
      <c r="V133" t="s" s="10">
        <v>78</v>
      </c>
      <c r="W133" s="11"/>
      <c r="X133" t="s" s="10">
        <v>69</v>
      </c>
      <c r="Y133" s="11"/>
      <c r="Z133" t="s" s="10">
        <v>76</v>
      </c>
      <c r="AA133" s="11"/>
      <c r="AB133" t="s" s="10">
        <v>76</v>
      </c>
      <c r="AC133" s="11"/>
      <c r="AD133" s="11"/>
      <c r="AE133" s="11"/>
      <c r="AF133" s="11"/>
      <c r="AG133" s="11"/>
      <c r="AH133" s="11"/>
      <c r="AI133" t="s" s="10">
        <v>76</v>
      </c>
      <c r="AJ133" t="s" s="10">
        <v>76</v>
      </c>
      <c r="AK133" t="s" s="10">
        <v>79</v>
      </c>
      <c r="AL133" s="11"/>
      <c r="AM133" s="11"/>
      <c r="AN133" s="11"/>
      <c r="AO133" s="11"/>
      <c r="AP133" s="11"/>
      <c r="AQ133" s="11"/>
      <c r="AR133" s="11"/>
      <c r="AS133" s="11"/>
      <c r="AT133" s="11"/>
      <c r="AU133" s="11"/>
      <c r="AV133" s="11"/>
      <c r="AW133" s="11"/>
      <c r="AX133" s="11"/>
      <c r="AY133" s="11"/>
      <c r="AZ133" s="11"/>
      <c r="BA133" s="11"/>
      <c r="BB133" s="11"/>
      <c r="BC133" s="11"/>
      <c r="BD133" t="s" s="10">
        <v>310</v>
      </c>
      <c r="BE133" t="s" s="10">
        <v>356</v>
      </c>
      <c r="BF133" s="11"/>
      <c r="BG133" s="11"/>
      <c r="BH133" s="11"/>
      <c r="BI133" s="11"/>
      <c r="BJ133" s="11"/>
      <c r="BK133" s="11"/>
      <c r="BL133" s="11"/>
      <c r="BM133" s="11"/>
      <c r="BN133" s="11"/>
      <c r="BO133" s="12"/>
      <c r="BP133" s="8"/>
    </row>
    <row r="134" ht="9" customHeight="1" hidden="1">
      <c r="A134" t="s" s="13">
        <v>463</v>
      </c>
      <c r="B134" s="14"/>
      <c r="C134" t="str" s="14" cm="1">
        <f t="array" ref="C134">_xlfn.IFERROR((VLOOKUP(A134,#REF!,2,FALSE)),"")</f>
      </c>
      <c r="D134" t="s" s="15">
        <v>70</v>
      </c>
      <c r="E134" t="s" s="15">
        <v>392</v>
      </c>
      <c r="F134" s="14"/>
      <c r="G134" t="s" s="15">
        <v>464</v>
      </c>
      <c r="H134" t="s" s="15">
        <v>464</v>
      </c>
      <c r="I134" t="s" s="15">
        <v>73</v>
      </c>
      <c r="J134" t="s" s="15">
        <v>74</v>
      </c>
      <c r="K134" t="s" s="15">
        <v>75</v>
      </c>
      <c r="L134" t="s" s="15">
        <v>76</v>
      </c>
      <c r="M134" t="s" s="15">
        <v>77</v>
      </c>
      <c r="N134" t="s" s="15">
        <v>464</v>
      </c>
      <c r="O134" t="s" s="15">
        <v>71</v>
      </c>
      <c r="P134" s="14"/>
      <c r="Q134" t="s" s="15">
        <v>78</v>
      </c>
      <c r="R134" t="s" s="15">
        <v>71</v>
      </c>
      <c r="S134" s="14"/>
      <c r="T134" s="14"/>
      <c r="U134" s="14"/>
      <c r="V134" t="s" s="15">
        <v>78</v>
      </c>
      <c r="W134" t="s" s="15">
        <v>463</v>
      </c>
      <c r="X134" t="s" s="15">
        <v>69</v>
      </c>
      <c r="Y134" s="14"/>
      <c r="Z134" t="s" s="15">
        <v>76</v>
      </c>
      <c r="AA134" s="14"/>
      <c r="AB134" t="s" s="15">
        <v>76</v>
      </c>
      <c r="AC134" s="14"/>
      <c r="AD134" s="14"/>
      <c r="AE134" s="14"/>
      <c r="AF134" s="14"/>
      <c r="AG134" s="14"/>
      <c r="AH134" s="14"/>
      <c r="AI134" t="s" s="15">
        <v>76</v>
      </c>
      <c r="AJ134" t="s" s="15">
        <v>76</v>
      </c>
      <c r="AK134" t="s" s="15">
        <v>79</v>
      </c>
      <c r="AL134" s="14"/>
      <c r="AM134" s="14"/>
      <c r="AN134" s="14"/>
      <c r="AO134" s="14"/>
      <c r="AP134" s="14"/>
      <c r="AQ134" s="14"/>
      <c r="AR134" s="14"/>
      <c r="AS134" s="14"/>
      <c r="AT134" s="14"/>
      <c r="AU134" s="14"/>
      <c r="AV134" s="14"/>
      <c r="AW134" s="14"/>
      <c r="AX134" s="14"/>
      <c r="AY134" s="14"/>
      <c r="AZ134" s="14"/>
      <c r="BA134" s="14"/>
      <c r="BB134" s="14"/>
      <c r="BC134" s="14"/>
      <c r="BD134" t="s" s="15">
        <v>310</v>
      </c>
      <c r="BE134" t="s" s="24">
        <v>419</v>
      </c>
      <c r="BF134" s="20"/>
      <c r="BG134" s="20"/>
      <c r="BH134" s="14"/>
      <c r="BI134" s="14"/>
      <c r="BJ134" s="14"/>
      <c r="BK134" s="14"/>
      <c r="BL134" s="14"/>
      <c r="BM134" s="14"/>
      <c r="BN134" s="14"/>
      <c r="BO134" s="16"/>
      <c r="BP134" s="8"/>
    </row>
    <row r="135" ht="9" customHeight="1" hidden="1">
      <c r="A135" t="s" s="9">
        <v>465</v>
      </c>
      <c r="B135" s="11"/>
      <c r="C135" t="str" s="11" cm="1">
        <f t="array" ref="C135">_xlfn.IFERROR((VLOOKUP(A135,#REF!,2,FALSE)),"")</f>
      </c>
      <c r="D135" t="s" s="10">
        <v>70</v>
      </c>
      <c r="E135" t="s" s="10">
        <v>392</v>
      </c>
      <c r="F135" s="11"/>
      <c r="G135" t="s" s="10">
        <v>464</v>
      </c>
      <c r="H135" t="s" s="10">
        <v>464</v>
      </c>
      <c r="I135" t="s" s="10">
        <v>73</v>
      </c>
      <c r="J135" t="s" s="10">
        <v>74</v>
      </c>
      <c r="K135" t="s" s="10">
        <v>75</v>
      </c>
      <c r="L135" t="s" s="10">
        <v>76</v>
      </c>
      <c r="M135" t="s" s="10">
        <v>77</v>
      </c>
      <c r="N135" t="s" s="10">
        <v>464</v>
      </c>
      <c r="O135" t="s" s="10">
        <v>71</v>
      </c>
      <c r="P135" s="11"/>
      <c r="Q135" t="s" s="10">
        <v>78</v>
      </c>
      <c r="R135" t="s" s="10">
        <v>71</v>
      </c>
      <c r="S135" s="11"/>
      <c r="T135" s="11"/>
      <c r="U135" s="11"/>
      <c r="V135" t="s" s="10">
        <v>78</v>
      </c>
      <c r="W135" t="s" s="10">
        <v>465</v>
      </c>
      <c r="X135" t="s" s="10">
        <v>69</v>
      </c>
      <c r="Y135" s="11"/>
      <c r="Z135" t="s" s="10">
        <v>76</v>
      </c>
      <c r="AA135" s="11"/>
      <c r="AB135" t="s" s="10">
        <v>76</v>
      </c>
      <c r="AC135" s="11"/>
      <c r="AD135" s="11"/>
      <c r="AE135" s="11"/>
      <c r="AF135" s="11"/>
      <c r="AG135" s="11"/>
      <c r="AH135" s="11"/>
      <c r="AI135" t="s" s="10">
        <v>76</v>
      </c>
      <c r="AJ135" t="s" s="10">
        <v>76</v>
      </c>
      <c r="AK135" t="s" s="10">
        <v>79</v>
      </c>
      <c r="AL135" s="11"/>
      <c r="AM135" s="11"/>
      <c r="AN135" s="11"/>
      <c r="AO135" s="11"/>
      <c r="AP135" s="11"/>
      <c r="AQ135" s="11"/>
      <c r="AR135" s="11"/>
      <c r="AS135" s="11"/>
      <c r="AT135" s="11"/>
      <c r="AU135" s="11"/>
      <c r="AV135" s="11"/>
      <c r="AW135" s="11"/>
      <c r="AX135" s="11"/>
      <c r="AY135" s="11"/>
      <c r="AZ135" s="11"/>
      <c r="BA135" s="11"/>
      <c r="BB135" s="11"/>
      <c r="BC135" s="11"/>
      <c r="BD135" t="s" s="10">
        <v>310</v>
      </c>
      <c r="BE135" t="s" s="10">
        <v>419</v>
      </c>
      <c r="BF135" s="11"/>
      <c r="BG135" s="11"/>
      <c r="BH135" s="11"/>
      <c r="BI135" s="11"/>
      <c r="BJ135" s="11"/>
      <c r="BK135" s="11"/>
      <c r="BL135" s="11"/>
      <c r="BM135" s="11"/>
      <c r="BN135" s="11"/>
      <c r="BO135" s="12"/>
      <c r="BP135" s="8"/>
    </row>
    <row r="136" ht="9" customHeight="1" hidden="1">
      <c r="A136" t="s" s="13">
        <v>466</v>
      </c>
      <c r="B136" s="14"/>
      <c r="C136" t="str" s="14" cm="1">
        <f t="array" ref="C136">_xlfn.IFERROR((VLOOKUP(A136,#REF!,2,FALSE)),"")</f>
      </c>
      <c r="D136" s="14"/>
      <c r="E136" s="14"/>
      <c r="F136" s="14"/>
      <c r="G136" t="s" s="15">
        <v>467</v>
      </c>
      <c r="H136" t="s" s="15">
        <v>468</v>
      </c>
      <c r="I136" t="s" s="15">
        <v>111</v>
      </c>
      <c r="J136" t="s" s="15">
        <v>469</v>
      </c>
      <c r="K136" t="s" s="15">
        <v>140</v>
      </c>
      <c r="L136" t="s" s="15">
        <v>470</v>
      </c>
      <c r="M136" t="s" s="15">
        <v>77</v>
      </c>
      <c r="N136" t="s" s="15">
        <v>467</v>
      </c>
      <c r="O136" s="14"/>
      <c r="P136" s="14"/>
      <c r="Q136" t="s" s="15">
        <v>69</v>
      </c>
      <c r="R136" t="s" s="15">
        <v>83</v>
      </c>
      <c r="S136" s="14"/>
      <c r="T136" s="14"/>
      <c r="U136" s="14"/>
      <c r="V136" t="s" s="15">
        <v>69</v>
      </c>
      <c r="W136" s="14"/>
      <c r="X136" t="s" s="15">
        <v>69</v>
      </c>
      <c r="Y136" s="14"/>
      <c r="Z136" t="s" s="15">
        <v>471</v>
      </c>
      <c r="AA136" s="14"/>
      <c r="AB136" t="s" s="15">
        <v>472</v>
      </c>
      <c r="AC136" t="s" s="15">
        <v>466</v>
      </c>
      <c r="AD136" s="14"/>
      <c r="AE136" s="14"/>
      <c r="AF136" t="s" s="15">
        <v>468</v>
      </c>
      <c r="AG136" t="s" s="15">
        <v>299</v>
      </c>
      <c r="AH136" t="s" s="15">
        <v>114</v>
      </c>
      <c r="AI136" t="s" s="15">
        <v>332</v>
      </c>
      <c r="AJ136" t="s" s="15">
        <v>473</v>
      </c>
      <c r="AK136" t="s" s="15">
        <v>83</v>
      </c>
      <c r="AL136" t="s" s="15">
        <v>115</v>
      </c>
      <c r="AM136" s="14"/>
      <c r="AN136" t="s" s="15">
        <v>474</v>
      </c>
      <c r="AO136" s="14"/>
      <c r="AP136" s="14"/>
      <c r="AQ136" s="14"/>
      <c r="AR136" s="14"/>
      <c r="AS136" t="s" s="15">
        <v>475</v>
      </c>
      <c r="AT136" t="s" s="15">
        <v>301</v>
      </c>
      <c r="AU136" s="14"/>
      <c r="AV136" s="14"/>
      <c r="AW136" s="14"/>
      <c r="AX136" s="14"/>
      <c r="AY136" s="14"/>
      <c r="AZ136" s="14"/>
      <c r="BA136" s="14"/>
      <c r="BB136" s="14"/>
      <c r="BC136" s="14"/>
      <c r="BD136" t="s" s="15">
        <v>118</v>
      </c>
      <c r="BE136" s="14"/>
      <c r="BF136" s="14"/>
      <c r="BG136" s="14"/>
      <c r="BH136" s="14"/>
      <c r="BI136" s="14"/>
      <c r="BJ136" s="14"/>
      <c r="BK136" s="14"/>
      <c r="BL136" s="14"/>
      <c r="BM136" s="14"/>
      <c r="BN136" s="14"/>
      <c r="BO136" s="16"/>
      <c r="BP136" s="8"/>
    </row>
    <row r="137" ht="9" customHeight="1" hidden="1">
      <c r="A137" t="s" s="9">
        <v>476</v>
      </c>
      <c r="B137" s="11"/>
      <c r="C137" t="str" s="11" cm="1">
        <f t="array" ref="C137">_xlfn.IFERROR((VLOOKUP(A137,#REF!,2,FALSE)),"")</f>
      </c>
      <c r="D137" s="11"/>
      <c r="E137" s="11"/>
      <c r="F137" s="11"/>
      <c r="G137" t="s" s="10">
        <v>477</v>
      </c>
      <c r="H137" t="s" s="10">
        <v>477</v>
      </c>
      <c r="I137" t="s" s="10">
        <v>111</v>
      </c>
      <c r="J137" t="s" s="10">
        <v>478</v>
      </c>
      <c r="K137" t="s" s="10">
        <v>113</v>
      </c>
      <c r="L137" t="s" s="10">
        <v>76</v>
      </c>
      <c r="M137" t="s" s="10">
        <v>77</v>
      </c>
      <c r="N137" t="s" s="10">
        <v>479</v>
      </c>
      <c r="O137" s="11"/>
      <c r="P137" s="11"/>
      <c r="Q137" t="s" s="10">
        <v>78</v>
      </c>
      <c r="R137" t="s" s="10">
        <v>339</v>
      </c>
      <c r="S137" s="11"/>
      <c r="T137" s="11"/>
      <c r="U137" s="11"/>
      <c r="V137" t="s" s="10">
        <v>78</v>
      </c>
      <c r="W137" s="11"/>
      <c r="X137" t="s" s="10">
        <v>69</v>
      </c>
      <c r="Y137" s="11"/>
      <c r="Z137" t="s" s="10">
        <v>76</v>
      </c>
      <c r="AA137" s="11"/>
      <c r="AB137" t="s" s="10">
        <v>76</v>
      </c>
      <c r="AC137" s="11"/>
      <c r="AD137" s="11"/>
      <c r="AE137" s="11"/>
      <c r="AF137" s="11"/>
      <c r="AG137" t="s" s="10">
        <v>299</v>
      </c>
      <c r="AH137" t="s" s="10">
        <v>106</v>
      </c>
      <c r="AI137" t="s" s="10">
        <v>76</v>
      </c>
      <c r="AJ137" t="s" s="10">
        <v>76</v>
      </c>
      <c r="AK137" t="s" s="10">
        <v>79</v>
      </c>
      <c r="AL137" t="s" s="10">
        <v>115</v>
      </c>
      <c r="AM137" s="11"/>
      <c r="AN137" s="11"/>
      <c r="AO137" s="11"/>
      <c r="AP137" s="11"/>
      <c r="AQ137" s="11"/>
      <c r="AR137" s="11"/>
      <c r="AS137" t="s" s="10">
        <v>480</v>
      </c>
      <c r="AT137" t="s" s="10">
        <v>301</v>
      </c>
      <c r="AU137" s="11"/>
      <c r="AV137" s="11"/>
      <c r="AW137" s="11"/>
      <c r="AX137" s="11"/>
      <c r="AY137" s="11"/>
      <c r="AZ137" s="11"/>
      <c r="BA137" s="11"/>
      <c r="BB137" s="11"/>
      <c r="BC137" s="11"/>
      <c r="BD137" t="s" s="10">
        <v>428</v>
      </c>
      <c r="BE137" t="s" s="10">
        <v>481</v>
      </c>
      <c r="BF137" s="11"/>
      <c r="BG137" s="11"/>
      <c r="BH137" s="11"/>
      <c r="BI137" s="11"/>
      <c r="BJ137" s="11"/>
      <c r="BK137" s="11"/>
      <c r="BL137" s="11"/>
      <c r="BM137" s="11"/>
      <c r="BN137" s="11"/>
      <c r="BO137" s="12"/>
      <c r="BP137" s="8"/>
    </row>
    <row r="138" ht="9" customHeight="1" hidden="1">
      <c r="A138" t="s" s="13">
        <v>482</v>
      </c>
      <c r="B138" t="s" s="15">
        <v>69</v>
      </c>
      <c r="C138" t="str" s="14" cm="1">
        <f t="array" ref="C138">_xlfn.IFERROR((VLOOKUP(A138,#REF!,2,FALSE)),"")</f>
      </c>
      <c r="D138" t="s" s="15">
        <v>70</v>
      </c>
      <c r="E138" t="s" s="15">
        <v>71</v>
      </c>
      <c r="F138" s="14"/>
      <c r="G138" t="s" s="15">
        <v>483</v>
      </c>
      <c r="H138" t="s" s="15">
        <v>484</v>
      </c>
      <c r="I138" t="s" s="15">
        <v>271</v>
      </c>
      <c r="J138" t="s" s="15">
        <v>74</v>
      </c>
      <c r="K138" t="s" s="15">
        <v>75</v>
      </c>
      <c r="L138" t="s" s="15">
        <v>76</v>
      </c>
      <c r="M138" t="s" s="15">
        <v>77</v>
      </c>
      <c r="N138" t="s" s="15">
        <v>483</v>
      </c>
      <c r="O138" t="s" s="15">
        <v>71</v>
      </c>
      <c r="P138" s="14"/>
      <c r="Q138" t="s" s="15">
        <v>78</v>
      </c>
      <c r="R138" t="s" s="15">
        <v>83</v>
      </c>
      <c r="S138" s="14"/>
      <c r="T138" s="14"/>
      <c r="U138" s="14"/>
      <c r="V138" t="s" s="15">
        <v>78</v>
      </c>
      <c r="W138" s="14"/>
      <c r="X138" t="s" s="15">
        <v>69</v>
      </c>
      <c r="Y138" s="14"/>
      <c r="Z138" t="s" s="15">
        <v>76</v>
      </c>
      <c r="AA138" s="14"/>
      <c r="AB138" t="s" s="15">
        <v>76</v>
      </c>
      <c r="AC138" s="14"/>
      <c r="AD138" s="14"/>
      <c r="AE138" s="14"/>
      <c r="AF138" s="14"/>
      <c r="AG138" s="14"/>
      <c r="AH138" s="14"/>
      <c r="AI138" t="s" s="15">
        <v>76</v>
      </c>
      <c r="AJ138" t="s" s="15">
        <v>76</v>
      </c>
      <c r="AK138" t="s" s="15">
        <v>79</v>
      </c>
      <c r="AL138" s="14"/>
      <c r="AM138" s="14"/>
      <c r="AN138" s="14"/>
      <c r="AO138" s="14"/>
      <c r="AP138" s="14"/>
      <c r="AQ138" s="14"/>
      <c r="AR138" s="14"/>
      <c r="AS138" s="14"/>
      <c r="AT138" s="14"/>
      <c r="AU138" s="14"/>
      <c r="AV138" s="14"/>
      <c r="AW138" s="14"/>
      <c r="AX138" s="14"/>
      <c r="AY138" s="14"/>
      <c r="AZ138" s="14"/>
      <c r="BA138" s="14"/>
      <c r="BB138" s="14"/>
      <c r="BC138" s="14"/>
      <c r="BD138" t="s" s="15">
        <v>310</v>
      </c>
      <c r="BE138" t="s" s="15">
        <v>356</v>
      </c>
      <c r="BF138" s="14"/>
      <c r="BG138" s="14"/>
      <c r="BH138" s="14"/>
      <c r="BI138" s="14"/>
      <c r="BJ138" s="14"/>
      <c r="BK138" s="14"/>
      <c r="BL138" s="14"/>
      <c r="BM138" s="14"/>
      <c r="BN138" s="14"/>
      <c r="BO138" s="16"/>
      <c r="BP138" s="8"/>
    </row>
    <row r="139" ht="9" customHeight="1" hidden="1">
      <c r="A139" t="s" s="9">
        <v>485</v>
      </c>
      <c r="B139" t="s" s="10">
        <v>69</v>
      </c>
      <c r="C139" t="str" s="11" cm="1">
        <f t="array" ref="C139">_xlfn.IFERROR((VLOOKUP(A139,#REF!,2,FALSE)),"")</f>
      </c>
      <c r="D139" t="s" s="10">
        <v>70</v>
      </c>
      <c r="E139" t="s" s="10">
        <v>71</v>
      </c>
      <c r="F139" s="11"/>
      <c r="G139" t="s" s="10">
        <v>483</v>
      </c>
      <c r="H139" t="s" s="10">
        <v>484</v>
      </c>
      <c r="I139" t="s" s="10">
        <v>271</v>
      </c>
      <c r="J139" t="s" s="10">
        <v>74</v>
      </c>
      <c r="K139" t="s" s="10">
        <v>75</v>
      </c>
      <c r="L139" t="s" s="10">
        <v>76</v>
      </c>
      <c r="M139" t="s" s="10">
        <v>77</v>
      </c>
      <c r="N139" t="s" s="10">
        <v>483</v>
      </c>
      <c r="O139" t="s" s="10">
        <v>71</v>
      </c>
      <c r="P139" s="11"/>
      <c r="Q139" t="s" s="10">
        <v>78</v>
      </c>
      <c r="R139" t="s" s="10">
        <v>83</v>
      </c>
      <c r="S139" s="11"/>
      <c r="T139" s="11"/>
      <c r="U139" s="11"/>
      <c r="V139" t="s" s="10">
        <v>78</v>
      </c>
      <c r="W139" s="11"/>
      <c r="X139" t="s" s="10">
        <v>69</v>
      </c>
      <c r="Y139" s="11"/>
      <c r="Z139" t="s" s="10">
        <v>76</v>
      </c>
      <c r="AA139" s="11"/>
      <c r="AB139" t="s" s="10">
        <v>76</v>
      </c>
      <c r="AC139" s="11"/>
      <c r="AD139" s="11"/>
      <c r="AE139" s="11"/>
      <c r="AF139" s="11"/>
      <c r="AG139" s="11"/>
      <c r="AH139" s="11"/>
      <c r="AI139" t="s" s="10">
        <v>76</v>
      </c>
      <c r="AJ139" t="s" s="10">
        <v>76</v>
      </c>
      <c r="AK139" t="s" s="10">
        <v>79</v>
      </c>
      <c r="AL139" s="11"/>
      <c r="AM139" s="11"/>
      <c r="AN139" s="11"/>
      <c r="AO139" s="11"/>
      <c r="AP139" s="11"/>
      <c r="AQ139" s="11"/>
      <c r="AR139" s="11"/>
      <c r="AS139" s="11"/>
      <c r="AT139" s="11"/>
      <c r="AU139" s="11"/>
      <c r="AV139" s="11"/>
      <c r="AW139" s="11"/>
      <c r="AX139" s="11"/>
      <c r="AY139" s="11"/>
      <c r="AZ139" s="11"/>
      <c r="BA139" s="11"/>
      <c r="BB139" s="11"/>
      <c r="BC139" s="11"/>
      <c r="BD139" t="s" s="10">
        <v>310</v>
      </c>
      <c r="BE139" t="s" s="10">
        <v>356</v>
      </c>
      <c r="BF139" s="11"/>
      <c r="BG139" s="11"/>
      <c r="BH139" s="11"/>
      <c r="BI139" s="11"/>
      <c r="BJ139" s="11"/>
      <c r="BK139" s="11"/>
      <c r="BL139" s="11"/>
      <c r="BM139" s="11"/>
      <c r="BN139" s="11"/>
      <c r="BO139" s="12"/>
      <c r="BP139" s="8"/>
    </row>
    <row r="140" ht="9" customHeight="1" hidden="1">
      <c r="A140" t="s" s="13">
        <v>486</v>
      </c>
      <c r="B140" t="s" s="15">
        <v>69</v>
      </c>
      <c r="C140" t="str" s="14" cm="1">
        <f t="array" ref="C140">_xlfn.IFERROR((VLOOKUP(A140,#REF!,2,FALSE)),"")</f>
      </c>
      <c r="D140" t="s" s="15">
        <v>70</v>
      </c>
      <c r="E140" t="s" s="15">
        <v>71</v>
      </c>
      <c r="F140" s="14"/>
      <c r="G140" t="s" s="15">
        <v>483</v>
      </c>
      <c r="H140" t="s" s="15">
        <v>484</v>
      </c>
      <c r="I140" t="s" s="15">
        <v>271</v>
      </c>
      <c r="J140" t="s" s="15">
        <v>74</v>
      </c>
      <c r="K140" t="s" s="15">
        <v>75</v>
      </c>
      <c r="L140" t="s" s="15">
        <v>76</v>
      </c>
      <c r="M140" t="s" s="15">
        <v>77</v>
      </c>
      <c r="N140" t="s" s="15">
        <v>483</v>
      </c>
      <c r="O140" t="s" s="15">
        <v>71</v>
      </c>
      <c r="P140" s="14"/>
      <c r="Q140" t="s" s="15">
        <v>78</v>
      </c>
      <c r="R140" t="s" s="15">
        <v>83</v>
      </c>
      <c r="S140" s="14"/>
      <c r="T140" s="14"/>
      <c r="U140" s="14"/>
      <c r="V140" t="s" s="15">
        <v>78</v>
      </c>
      <c r="W140" s="14"/>
      <c r="X140" t="s" s="15">
        <v>69</v>
      </c>
      <c r="Y140" s="14"/>
      <c r="Z140" t="s" s="15">
        <v>76</v>
      </c>
      <c r="AA140" s="14"/>
      <c r="AB140" t="s" s="15">
        <v>76</v>
      </c>
      <c r="AC140" s="14"/>
      <c r="AD140" s="14"/>
      <c r="AE140" s="14"/>
      <c r="AF140" s="14"/>
      <c r="AG140" s="14"/>
      <c r="AH140" s="14"/>
      <c r="AI140" t="s" s="15">
        <v>76</v>
      </c>
      <c r="AJ140" t="s" s="15">
        <v>76</v>
      </c>
      <c r="AK140" t="s" s="15">
        <v>79</v>
      </c>
      <c r="AL140" s="14"/>
      <c r="AM140" s="14"/>
      <c r="AN140" s="14"/>
      <c r="AO140" s="14"/>
      <c r="AP140" s="14"/>
      <c r="AQ140" s="14"/>
      <c r="AR140" s="14"/>
      <c r="AS140" s="14"/>
      <c r="AT140" s="14"/>
      <c r="AU140" s="14"/>
      <c r="AV140" s="14"/>
      <c r="AW140" s="14"/>
      <c r="AX140" s="14"/>
      <c r="AY140" s="14"/>
      <c r="AZ140" s="14"/>
      <c r="BA140" s="14"/>
      <c r="BB140" s="14"/>
      <c r="BC140" s="14"/>
      <c r="BD140" t="s" s="15">
        <v>310</v>
      </c>
      <c r="BE140" t="s" s="15">
        <v>356</v>
      </c>
      <c r="BF140" s="14"/>
      <c r="BG140" s="14"/>
      <c r="BH140" s="14"/>
      <c r="BI140" s="14"/>
      <c r="BJ140" s="14"/>
      <c r="BK140" s="14"/>
      <c r="BL140" s="14"/>
      <c r="BM140" s="14"/>
      <c r="BN140" s="14"/>
      <c r="BO140" s="16"/>
      <c r="BP140" s="8"/>
    </row>
    <row r="141" ht="9" customHeight="1" hidden="1">
      <c r="A141" t="s" s="9">
        <v>487</v>
      </c>
      <c r="B141" t="s" s="10">
        <v>69</v>
      </c>
      <c r="C141" t="str" s="11" cm="1">
        <f t="array" ref="C141">_xlfn.IFERROR((VLOOKUP(A141,#REF!,2,FALSE)),"")</f>
      </c>
      <c r="D141" t="s" s="10">
        <v>70</v>
      </c>
      <c r="E141" t="s" s="10">
        <v>71</v>
      </c>
      <c r="F141" s="11"/>
      <c r="G141" t="s" s="10">
        <v>483</v>
      </c>
      <c r="H141" t="s" s="10">
        <v>484</v>
      </c>
      <c r="I141" t="s" s="10">
        <v>271</v>
      </c>
      <c r="J141" t="s" s="10">
        <v>74</v>
      </c>
      <c r="K141" t="s" s="10">
        <v>75</v>
      </c>
      <c r="L141" t="s" s="10">
        <v>76</v>
      </c>
      <c r="M141" t="s" s="10">
        <v>77</v>
      </c>
      <c r="N141" t="s" s="10">
        <v>483</v>
      </c>
      <c r="O141" t="s" s="10">
        <v>71</v>
      </c>
      <c r="P141" s="11"/>
      <c r="Q141" t="s" s="10">
        <v>78</v>
      </c>
      <c r="R141" t="s" s="10">
        <v>83</v>
      </c>
      <c r="S141" s="11"/>
      <c r="T141" s="11"/>
      <c r="U141" s="11"/>
      <c r="V141" t="s" s="10">
        <v>78</v>
      </c>
      <c r="W141" s="11"/>
      <c r="X141" t="s" s="10">
        <v>69</v>
      </c>
      <c r="Y141" s="11"/>
      <c r="Z141" t="s" s="10">
        <v>76</v>
      </c>
      <c r="AA141" s="11"/>
      <c r="AB141" t="s" s="10">
        <v>76</v>
      </c>
      <c r="AC141" s="11"/>
      <c r="AD141" s="11"/>
      <c r="AE141" s="11"/>
      <c r="AF141" s="11"/>
      <c r="AG141" s="11"/>
      <c r="AH141" s="11"/>
      <c r="AI141" t="s" s="10">
        <v>76</v>
      </c>
      <c r="AJ141" t="s" s="10">
        <v>76</v>
      </c>
      <c r="AK141" t="s" s="10">
        <v>79</v>
      </c>
      <c r="AL141" s="11"/>
      <c r="AM141" s="11"/>
      <c r="AN141" s="11"/>
      <c r="AO141" s="11"/>
      <c r="AP141" s="11"/>
      <c r="AQ141" s="11"/>
      <c r="AR141" s="11"/>
      <c r="AS141" s="11"/>
      <c r="AT141" s="11"/>
      <c r="AU141" s="11"/>
      <c r="AV141" s="11"/>
      <c r="AW141" s="11"/>
      <c r="AX141" s="11"/>
      <c r="AY141" s="11"/>
      <c r="AZ141" s="11"/>
      <c r="BA141" s="11"/>
      <c r="BB141" s="11"/>
      <c r="BC141" s="11"/>
      <c r="BD141" t="s" s="10">
        <v>310</v>
      </c>
      <c r="BE141" t="s" s="10">
        <v>356</v>
      </c>
      <c r="BF141" s="11"/>
      <c r="BG141" s="11"/>
      <c r="BH141" s="11"/>
      <c r="BI141" s="11"/>
      <c r="BJ141" s="11"/>
      <c r="BK141" s="11"/>
      <c r="BL141" s="11"/>
      <c r="BM141" s="11"/>
      <c r="BN141" s="11"/>
      <c r="BO141" s="12"/>
      <c r="BP141" s="8"/>
    </row>
    <row r="142" ht="9" customHeight="1" hidden="1">
      <c r="A142" t="s" s="13">
        <v>488</v>
      </c>
      <c r="B142" t="s" s="15">
        <v>69</v>
      </c>
      <c r="C142" t="str" s="14" cm="1">
        <f t="array" ref="C142">_xlfn.IFERROR((VLOOKUP(A142,#REF!,2,FALSE)),"")</f>
      </c>
      <c r="D142" t="s" s="15">
        <v>70</v>
      </c>
      <c r="E142" t="s" s="15">
        <v>71</v>
      </c>
      <c r="F142" s="14"/>
      <c r="G142" t="s" s="15">
        <v>483</v>
      </c>
      <c r="H142" t="s" s="15">
        <v>484</v>
      </c>
      <c r="I142" t="s" s="15">
        <v>271</v>
      </c>
      <c r="J142" t="s" s="15">
        <v>74</v>
      </c>
      <c r="K142" t="s" s="15">
        <v>75</v>
      </c>
      <c r="L142" t="s" s="15">
        <v>76</v>
      </c>
      <c r="M142" t="s" s="15">
        <v>77</v>
      </c>
      <c r="N142" t="s" s="15">
        <v>483</v>
      </c>
      <c r="O142" t="s" s="15">
        <v>71</v>
      </c>
      <c r="P142" s="14"/>
      <c r="Q142" t="s" s="15">
        <v>78</v>
      </c>
      <c r="R142" t="s" s="15">
        <v>83</v>
      </c>
      <c r="S142" s="14"/>
      <c r="T142" s="14"/>
      <c r="U142" s="14"/>
      <c r="V142" t="s" s="15">
        <v>78</v>
      </c>
      <c r="W142" s="14"/>
      <c r="X142" t="s" s="15">
        <v>69</v>
      </c>
      <c r="Y142" s="14"/>
      <c r="Z142" t="s" s="15">
        <v>76</v>
      </c>
      <c r="AA142" s="14"/>
      <c r="AB142" t="s" s="15">
        <v>76</v>
      </c>
      <c r="AC142" s="14"/>
      <c r="AD142" s="14"/>
      <c r="AE142" s="14"/>
      <c r="AF142" s="14"/>
      <c r="AG142" s="14"/>
      <c r="AH142" s="14"/>
      <c r="AI142" t="s" s="15">
        <v>76</v>
      </c>
      <c r="AJ142" t="s" s="15">
        <v>76</v>
      </c>
      <c r="AK142" t="s" s="15">
        <v>79</v>
      </c>
      <c r="AL142" s="14"/>
      <c r="AM142" s="14"/>
      <c r="AN142" s="14"/>
      <c r="AO142" s="14"/>
      <c r="AP142" s="14"/>
      <c r="AQ142" s="14"/>
      <c r="AR142" s="14"/>
      <c r="AS142" s="14"/>
      <c r="AT142" s="14"/>
      <c r="AU142" s="14"/>
      <c r="AV142" s="14"/>
      <c r="AW142" s="14"/>
      <c r="AX142" s="14"/>
      <c r="AY142" s="14"/>
      <c r="AZ142" s="14"/>
      <c r="BA142" s="14"/>
      <c r="BB142" s="14"/>
      <c r="BC142" s="14"/>
      <c r="BD142" t="s" s="15">
        <v>366</v>
      </c>
      <c r="BE142" t="s" s="24">
        <v>489</v>
      </c>
      <c r="BF142" s="20"/>
      <c r="BG142" s="20"/>
      <c r="BH142" s="14"/>
      <c r="BI142" s="14"/>
      <c r="BJ142" s="14"/>
      <c r="BK142" s="14"/>
      <c r="BL142" s="14"/>
      <c r="BM142" s="14"/>
      <c r="BN142" s="14"/>
      <c r="BO142" s="16"/>
      <c r="BP142" s="8"/>
    </row>
    <row r="143" ht="9" customHeight="1" hidden="1">
      <c r="A143" t="s" s="9">
        <v>490</v>
      </c>
      <c r="B143" s="11"/>
      <c r="C143" t="str" s="11" cm="1">
        <f t="array" ref="C143">_xlfn.IFERROR((VLOOKUP(A143,#REF!,2,FALSE)),"")</f>
      </c>
      <c r="D143" t="s" s="10">
        <v>70</v>
      </c>
      <c r="E143" t="s" s="10">
        <v>450</v>
      </c>
      <c r="F143" s="11"/>
      <c r="G143" t="s" s="10">
        <v>491</v>
      </c>
      <c r="H143" t="s" s="10">
        <v>492</v>
      </c>
      <c r="I143" t="s" s="10">
        <v>111</v>
      </c>
      <c r="J143" t="s" s="10">
        <v>452</v>
      </c>
      <c r="K143" t="s" s="10">
        <v>113</v>
      </c>
      <c r="L143" t="s" s="10">
        <v>493</v>
      </c>
      <c r="M143" t="s" s="10">
        <v>77</v>
      </c>
      <c r="N143" t="s" s="10">
        <v>494</v>
      </c>
      <c r="O143" s="11"/>
      <c r="P143" s="11"/>
      <c r="Q143" t="s" s="10">
        <v>69</v>
      </c>
      <c r="R143" t="s" s="10">
        <v>83</v>
      </c>
      <c r="S143" s="11"/>
      <c r="T143" s="11"/>
      <c r="U143" s="11"/>
      <c r="V143" t="s" s="10">
        <v>69</v>
      </c>
      <c r="W143" s="11"/>
      <c r="X143" t="s" s="10">
        <v>69</v>
      </c>
      <c r="Y143" s="11"/>
      <c r="Z143" t="s" s="10">
        <v>495</v>
      </c>
      <c r="AA143" s="11"/>
      <c r="AB143" t="s" s="10">
        <v>495</v>
      </c>
      <c r="AC143" t="s" s="10">
        <v>490</v>
      </c>
      <c r="AD143" s="11"/>
      <c r="AE143" s="11"/>
      <c r="AF143" t="s" s="10">
        <v>492</v>
      </c>
      <c r="AG143" t="s" s="10">
        <v>288</v>
      </c>
      <c r="AH143" t="s" s="10">
        <v>114</v>
      </c>
      <c r="AI143" t="s" s="10">
        <v>332</v>
      </c>
      <c r="AJ143" t="s" s="10">
        <v>473</v>
      </c>
      <c r="AK143" t="s" s="10">
        <v>83</v>
      </c>
      <c r="AL143" t="s" s="10">
        <v>115</v>
      </c>
      <c r="AM143" s="11"/>
      <c r="AN143" t="s" s="10">
        <v>187</v>
      </c>
      <c r="AO143" s="11"/>
      <c r="AP143" s="11"/>
      <c r="AQ143" s="11"/>
      <c r="AR143" s="11"/>
      <c r="AS143" t="s" s="10">
        <v>496</v>
      </c>
      <c r="AT143" s="11"/>
      <c r="AU143" s="11"/>
      <c r="AV143" s="11"/>
      <c r="AW143" s="11"/>
      <c r="AX143" s="11"/>
      <c r="AY143" s="11"/>
      <c r="AZ143" s="11"/>
      <c r="BA143" s="11"/>
      <c r="BB143" s="11"/>
      <c r="BC143" s="11"/>
      <c r="BD143" t="s" s="10">
        <v>118</v>
      </c>
      <c r="BE143" s="11"/>
      <c r="BF143" s="11"/>
      <c r="BG143" s="11"/>
      <c r="BH143" s="11"/>
      <c r="BI143" s="11"/>
      <c r="BJ143" s="11"/>
      <c r="BK143" s="11"/>
      <c r="BL143" s="11"/>
      <c r="BM143" s="11"/>
      <c r="BN143" s="11"/>
      <c r="BO143" s="12"/>
      <c r="BP143" s="8"/>
    </row>
    <row r="144" ht="9" customHeight="1" hidden="1">
      <c r="A144" t="s" s="13">
        <v>497</v>
      </c>
      <c r="B144" t="s" s="15">
        <v>69</v>
      </c>
      <c r="C144" t="str" s="14" cm="1">
        <f t="array" ref="C144">_xlfn.IFERROR((VLOOKUP(A144,#REF!,2,FALSE)),"")</f>
      </c>
      <c r="D144" t="s" s="15">
        <v>70</v>
      </c>
      <c r="E144" t="s" s="15">
        <v>71</v>
      </c>
      <c r="F144" s="14"/>
      <c r="G144" t="s" s="15">
        <v>498</v>
      </c>
      <c r="H144" t="s" s="15">
        <v>498</v>
      </c>
      <c r="I144" t="s" s="15">
        <v>73</v>
      </c>
      <c r="J144" t="s" s="15">
        <v>74</v>
      </c>
      <c r="K144" t="s" s="15">
        <v>75</v>
      </c>
      <c r="L144" t="s" s="15">
        <v>76</v>
      </c>
      <c r="M144" t="s" s="15">
        <v>77</v>
      </c>
      <c r="N144" t="s" s="15">
        <v>498</v>
      </c>
      <c r="O144" t="s" s="15">
        <v>71</v>
      </c>
      <c r="P144" s="14"/>
      <c r="Q144" t="s" s="15">
        <v>78</v>
      </c>
      <c r="R144" t="s" s="15">
        <v>71</v>
      </c>
      <c r="S144" s="14"/>
      <c r="T144" s="14"/>
      <c r="U144" s="14"/>
      <c r="V144" t="s" s="15">
        <v>78</v>
      </c>
      <c r="W144" t="s" s="15">
        <v>497</v>
      </c>
      <c r="X144" t="s" s="15">
        <v>69</v>
      </c>
      <c r="Y144" s="14"/>
      <c r="Z144" t="s" s="15">
        <v>76</v>
      </c>
      <c r="AA144" s="14"/>
      <c r="AB144" t="s" s="15">
        <v>76</v>
      </c>
      <c r="AC144" s="14"/>
      <c r="AD144" s="14"/>
      <c r="AE144" s="14"/>
      <c r="AF144" s="14"/>
      <c r="AG144" s="14"/>
      <c r="AH144" s="14"/>
      <c r="AI144" t="s" s="15">
        <v>76</v>
      </c>
      <c r="AJ144" t="s" s="15">
        <v>76</v>
      </c>
      <c r="AK144" t="s" s="15">
        <v>79</v>
      </c>
      <c r="AL144" t="s" s="15">
        <v>115</v>
      </c>
      <c r="AM144" s="14"/>
      <c r="AN144" s="14"/>
      <c r="AO144" s="14"/>
      <c r="AP144" s="14"/>
      <c r="AQ144" s="14"/>
      <c r="AR144" s="14"/>
      <c r="AS144" t="s" s="15">
        <v>499</v>
      </c>
      <c r="AT144" s="14"/>
      <c r="AU144" s="14"/>
      <c r="AV144" s="14"/>
      <c r="AW144" s="14"/>
      <c r="AX144" s="14"/>
      <c r="AY144" s="14"/>
      <c r="AZ144" s="14"/>
      <c r="BA144" s="14"/>
      <c r="BB144" s="14"/>
      <c r="BC144" s="14"/>
      <c r="BD144" t="s" s="15">
        <v>310</v>
      </c>
      <c r="BE144" t="s" s="15">
        <v>356</v>
      </c>
      <c r="BF144" s="14"/>
      <c r="BG144" s="14"/>
      <c r="BH144" s="14"/>
      <c r="BI144" s="14"/>
      <c r="BJ144" s="14"/>
      <c r="BK144" s="14"/>
      <c r="BL144" s="14"/>
      <c r="BM144" s="14"/>
      <c r="BN144" s="14"/>
      <c r="BO144" s="16"/>
      <c r="BP144" s="8"/>
    </row>
    <row r="145" ht="9" customHeight="1" hidden="1">
      <c r="A145" t="s" s="9">
        <v>500</v>
      </c>
      <c r="B145" t="s" s="10">
        <v>69</v>
      </c>
      <c r="C145" t="str" s="11" cm="1">
        <f t="array" ref="C145">_xlfn.IFERROR((VLOOKUP(A145,#REF!,2,FALSE)),"")</f>
      </c>
      <c r="D145" t="s" s="10">
        <v>70</v>
      </c>
      <c r="E145" t="s" s="10">
        <v>71</v>
      </c>
      <c r="F145" s="11"/>
      <c r="G145" t="s" s="10">
        <v>498</v>
      </c>
      <c r="H145" t="s" s="10">
        <v>498</v>
      </c>
      <c r="I145" t="s" s="10">
        <v>73</v>
      </c>
      <c r="J145" t="s" s="10">
        <v>74</v>
      </c>
      <c r="K145" t="s" s="10">
        <v>75</v>
      </c>
      <c r="L145" t="s" s="10">
        <v>76</v>
      </c>
      <c r="M145" t="s" s="10">
        <v>77</v>
      </c>
      <c r="N145" t="s" s="10">
        <v>498</v>
      </c>
      <c r="O145" t="s" s="10">
        <v>71</v>
      </c>
      <c r="P145" s="11"/>
      <c r="Q145" t="s" s="10">
        <v>78</v>
      </c>
      <c r="R145" t="s" s="10">
        <v>71</v>
      </c>
      <c r="S145" s="11"/>
      <c r="T145" s="11"/>
      <c r="U145" s="11"/>
      <c r="V145" t="s" s="10">
        <v>78</v>
      </c>
      <c r="W145" t="s" s="10">
        <v>500</v>
      </c>
      <c r="X145" t="s" s="10">
        <v>69</v>
      </c>
      <c r="Y145" s="11"/>
      <c r="Z145" t="s" s="10">
        <v>76</v>
      </c>
      <c r="AA145" s="11"/>
      <c r="AB145" t="s" s="10">
        <v>76</v>
      </c>
      <c r="AC145" s="11"/>
      <c r="AD145" s="11"/>
      <c r="AE145" s="11"/>
      <c r="AF145" s="11"/>
      <c r="AG145" s="11"/>
      <c r="AH145" s="11"/>
      <c r="AI145" t="s" s="10">
        <v>76</v>
      </c>
      <c r="AJ145" t="s" s="10">
        <v>76</v>
      </c>
      <c r="AK145" t="s" s="10">
        <v>79</v>
      </c>
      <c r="AL145" t="s" s="10">
        <v>115</v>
      </c>
      <c r="AM145" s="11"/>
      <c r="AN145" s="11"/>
      <c r="AO145" s="11"/>
      <c r="AP145" s="11"/>
      <c r="AQ145" s="11"/>
      <c r="AR145" s="11"/>
      <c r="AS145" t="s" s="10">
        <v>501</v>
      </c>
      <c r="AT145" s="11"/>
      <c r="AU145" s="11"/>
      <c r="AV145" s="11"/>
      <c r="AW145" s="11"/>
      <c r="AX145" s="11"/>
      <c r="AY145" s="11"/>
      <c r="AZ145" s="11"/>
      <c r="BA145" s="11"/>
      <c r="BB145" s="11"/>
      <c r="BC145" s="11"/>
      <c r="BD145" t="s" s="10">
        <v>310</v>
      </c>
      <c r="BE145" t="s" s="10">
        <v>356</v>
      </c>
      <c r="BF145" s="11"/>
      <c r="BG145" s="11"/>
      <c r="BH145" s="11"/>
      <c r="BI145" s="11"/>
      <c r="BJ145" s="11"/>
      <c r="BK145" s="11"/>
      <c r="BL145" s="11"/>
      <c r="BM145" s="11"/>
      <c r="BN145" s="11"/>
      <c r="BO145" s="12"/>
      <c r="BP145" s="8"/>
    </row>
    <row r="146" ht="9" customHeight="1" hidden="1">
      <c r="A146" t="s" s="13">
        <v>502</v>
      </c>
      <c r="B146" t="s" s="15">
        <v>69</v>
      </c>
      <c r="C146" t="str" s="14" cm="1">
        <f t="array" ref="C146">_xlfn.IFERROR((VLOOKUP(A146,#REF!,2,FALSE)),"")</f>
      </c>
      <c r="D146" t="s" s="15">
        <v>70</v>
      </c>
      <c r="E146" t="s" s="15">
        <v>71</v>
      </c>
      <c r="F146" s="14"/>
      <c r="G146" t="s" s="15">
        <v>498</v>
      </c>
      <c r="H146" t="s" s="15">
        <v>498</v>
      </c>
      <c r="I146" t="s" s="15">
        <v>73</v>
      </c>
      <c r="J146" t="s" s="15">
        <v>74</v>
      </c>
      <c r="K146" t="s" s="15">
        <v>75</v>
      </c>
      <c r="L146" t="s" s="15">
        <v>76</v>
      </c>
      <c r="M146" t="s" s="15">
        <v>77</v>
      </c>
      <c r="N146" t="s" s="15">
        <v>498</v>
      </c>
      <c r="O146" t="s" s="15">
        <v>71</v>
      </c>
      <c r="P146" s="14"/>
      <c r="Q146" t="s" s="15">
        <v>78</v>
      </c>
      <c r="R146" t="s" s="15">
        <v>71</v>
      </c>
      <c r="S146" s="14"/>
      <c r="T146" s="14"/>
      <c r="U146" s="14"/>
      <c r="V146" t="s" s="15">
        <v>78</v>
      </c>
      <c r="W146" t="s" s="15">
        <v>502</v>
      </c>
      <c r="X146" t="s" s="15">
        <v>69</v>
      </c>
      <c r="Y146" s="14"/>
      <c r="Z146" t="s" s="15">
        <v>76</v>
      </c>
      <c r="AA146" s="14"/>
      <c r="AB146" t="s" s="15">
        <v>76</v>
      </c>
      <c r="AC146" s="14"/>
      <c r="AD146" s="14"/>
      <c r="AE146" s="14"/>
      <c r="AF146" s="14"/>
      <c r="AG146" s="14"/>
      <c r="AH146" s="14"/>
      <c r="AI146" t="s" s="15">
        <v>76</v>
      </c>
      <c r="AJ146" t="s" s="15">
        <v>76</v>
      </c>
      <c r="AK146" t="s" s="15">
        <v>79</v>
      </c>
      <c r="AL146" t="s" s="15">
        <v>115</v>
      </c>
      <c r="AM146" s="14"/>
      <c r="AN146" s="14"/>
      <c r="AO146" s="14"/>
      <c r="AP146" s="14"/>
      <c r="AQ146" s="14"/>
      <c r="AR146" s="14"/>
      <c r="AS146" t="s" s="15">
        <v>503</v>
      </c>
      <c r="AT146" s="14"/>
      <c r="AU146" s="14"/>
      <c r="AV146" s="14"/>
      <c r="AW146" s="14"/>
      <c r="AX146" s="14"/>
      <c r="AY146" s="14"/>
      <c r="AZ146" s="14"/>
      <c r="BA146" s="14"/>
      <c r="BB146" s="14"/>
      <c r="BC146" s="14"/>
      <c r="BD146" t="s" s="15">
        <v>310</v>
      </c>
      <c r="BE146" t="s" s="15">
        <v>356</v>
      </c>
      <c r="BF146" s="14"/>
      <c r="BG146" s="14"/>
      <c r="BH146" s="14"/>
      <c r="BI146" s="14"/>
      <c r="BJ146" s="14"/>
      <c r="BK146" s="14"/>
      <c r="BL146" s="14"/>
      <c r="BM146" s="14"/>
      <c r="BN146" s="14"/>
      <c r="BO146" s="16"/>
      <c r="BP146" s="8"/>
    </row>
    <row r="147" ht="9" customHeight="1" hidden="1">
      <c r="A147" t="s" s="9">
        <v>504</v>
      </c>
      <c r="B147" s="11"/>
      <c r="C147" t="str" s="11" cm="1">
        <f t="array" ref="C147">_xlfn.IFERROR((VLOOKUP(A147,#REF!,2,FALSE)),"")</f>
      </c>
      <c r="D147" t="s" s="10">
        <v>70</v>
      </c>
      <c r="E147" s="11"/>
      <c r="F147" s="11"/>
      <c r="G147" t="s" s="10">
        <v>505</v>
      </c>
      <c r="H147" t="s" s="10">
        <v>505</v>
      </c>
      <c r="I147" t="s" s="10">
        <v>111</v>
      </c>
      <c r="J147" t="s" s="10">
        <v>122</v>
      </c>
      <c r="K147" t="s" s="10">
        <v>75</v>
      </c>
      <c r="L147" t="s" s="10">
        <v>76</v>
      </c>
      <c r="M147" t="s" s="10">
        <v>77</v>
      </c>
      <c r="N147" t="s" s="10">
        <v>505</v>
      </c>
      <c r="O147" s="11"/>
      <c r="P147" s="11"/>
      <c r="Q147" t="s" s="10">
        <v>78</v>
      </c>
      <c r="R147" t="s" s="10">
        <v>323</v>
      </c>
      <c r="S147" s="11"/>
      <c r="T147" s="11"/>
      <c r="U147" s="11"/>
      <c r="V147" t="s" s="10">
        <v>78</v>
      </c>
      <c r="W147" s="11"/>
      <c r="X147" t="s" s="10">
        <v>69</v>
      </c>
      <c r="Y147" s="11"/>
      <c r="Z147" t="s" s="10">
        <v>76</v>
      </c>
      <c r="AA147" s="11"/>
      <c r="AB147" t="s" s="10">
        <v>76</v>
      </c>
      <c r="AC147" s="11"/>
      <c r="AD147" s="11"/>
      <c r="AE147" s="11"/>
      <c r="AF147" s="11"/>
      <c r="AG147" s="11"/>
      <c r="AH147" s="11"/>
      <c r="AI147" t="s" s="10">
        <v>76</v>
      </c>
      <c r="AJ147" t="s" s="10">
        <v>76</v>
      </c>
      <c r="AK147" t="s" s="10">
        <v>79</v>
      </c>
      <c r="AL147" t="s" s="10">
        <v>115</v>
      </c>
      <c r="AM147" s="11"/>
      <c r="AN147" s="11"/>
      <c r="AO147" s="11"/>
      <c r="AP147" s="11"/>
      <c r="AQ147" s="11"/>
      <c r="AR147" s="11"/>
      <c r="AS147" t="s" s="10">
        <v>506</v>
      </c>
      <c r="AT147" s="11"/>
      <c r="AU147" s="11"/>
      <c r="AV147" s="11"/>
      <c r="AW147" s="11"/>
      <c r="AX147" s="11"/>
      <c r="AY147" s="11"/>
      <c r="AZ147" s="11"/>
      <c r="BA147" s="11"/>
      <c r="BB147" s="11"/>
      <c r="BC147" s="11"/>
      <c r="BD147" t="s" s="10">
        <v>310</v>
      </c>
      <c r="BE147" t="s" s="10">
        <v>356</v>
      </c>
      <c r="BF147" s="11"/>
      <c r="BG147" s="11"/>
      <c r="BH147" s="11"/>
      <c r="BI147" s="11"/>
      <c r="BJ147" s="11"/>
      <c r="BK147" s="11"/>
      <c r="BL147" s="11"/>
      <c r="BM147" s="11"/>
      <c r="BN147" s="11"/>
      <c r="BO147" s="12"/>
      <c r="BP147" s="8"/>
    </row>
    <row r="148" ht="9" customHeight="1" hidden="1">
      <c r="A148" t="s" s="13">
        <v>507</v>
      </c>
      <c r="B148" s="14"/>
      <c r="C148" t="str" s="14" cm="1">
        <f t="array" ref="C148">_xlfn.IFERROR((VLOOKUP(A148,#REF!,2,FALSE)),"")</f>
      </c>
      <c r="D148" s="14"/>
      <c r="E148" s="14"/>
      <c r="F148" s="14"/>
      <c r="G148" t="s" s="15">
        <v>508</v>
      </c>
      <c r="H148" t="s" s="15">
        <v>375</v>
      </c>
      <c r="I148" t="s" s="15">
        <v>111</v>
      </c>
      <c r="J148" t="s" s="15">
        <v>322</v>
      </c>
      <c r="K148" t="s" s="15">
        <v>113</v>
      </c>
      <c r="L148" t="s" s="15">
        <v>76</v>
      </c>
      <c r="M148" t="s" s="15">
        <v>77</v>
      </c>
      <c r="N148" t="s" s="15">
        <v>508</v>
      </c>
      <c r="O148" s="14"/>
      <c r="P148" s="14"/>
      <c r="Q148" t="s" s="15">
        <v>69</v>
      </c>
      <c r="R148" t="s" s="15">
        <v>83</v>
      </c>
      <c r="S148" s="14"/>
      <c r="T148" s="14"/>
      <c r="U148" s="14"/>
      <c r="V148" t="s" s="15">
        <v>69</v>
      </c>
      <c r="W148" s="14"/>
      <c r="X148" t="s" s="15">
        <v>69</v>
      </c>
      <c r="Y148" s="14"/>
      <c r="Z148" t="s" s="15">
        <v>205</v>
      </c>
      <c r="AA148" s="14"/>
      <c r="AB148" t="s" s="15">
        <v>76</v>
      </c>
      <c r="AC148" t="s" s="15">
        <v>507</v>
      </c>
      <c r="AD148" s="14"/>
      <c r="AE148" s="14"/>
      <c r="AF148" s="14"/>
      <c r="AG148" s="14"/>
      <c r="AH148" t="s" s="15">
        <v>114</v>
      </c>
      <c r="AI148" t="s" s="15">
        <v>76</v>
      </c>
      <c r="AJ148" t="s" s="15">
        <v>76</v>
      </c>
      <c r="AK148" t="s" s="15">
        <v>79</v>
      </c>
      <c r="AL148" t="s" s="15">
        <v>115</v>
      </c>
      <c r="AM148" s="14"/>
      <c r="AN148" t="s" s="15">
        <v>128</v>
      </c>
      <c r="AO148" s="14"/>
      <c r="AP148" s="14"/>
      <c r="AQ148" s="14"/>
      <c r="AR148" s="14"/>
      <c r="AS148" t="s" s="15">
        <v>509</v>
      </c>
      <c r="AT148" s="14"/>
      <c r="AU148" s="14"/>
      <c r="AV148" s="14"/>
      <c r="AW148" s="14"/>
      <c r="AX148" s="14"/>
      <c r="AY148" s="14"/>
      <c r="AZ148" s="14"/>
      <c r="BA148" s="14"/>
      <c r="BB148" s="14"/>
      <c r="BC148" s="14"/>
      <c r="BD148" t="s" s="15">
        <v>118</v>
      </c>
      <c r="BE148" s="14"/>
      <c r="BF148" s="14"/>
      <c r="BG148" s="14"/>
      <c r="BH148" s="14"/>
      <c r="BI148" s="14"/>
      <c r="BJ148" s="14"/>
      <c r="BK148" s="14"/>
      <c r="BL148" s="14"/>
      <c r="BM148" s="14"/>
      <c r="BN148" s="14"/>
      <c r="BO148" s="16"/>
      <c r="BP148" s="8"/>
    </row>
    <row r="149" ht="9" customHeight="1" hidden="1">
      <c r="A149" t="s" s="9">
        <v>510</v>
      </c>
      <c r="B149" t="s" s="10">
        <v>69</v>
      </c>
      <c r="C149" t="str" s="11" cm="1">
        <f t="array" ref="C149">_xlfn.IFERROR((VLOOKUP(A149,#REF!,2,FALSE)),"")</f>
      </c>
      <c r="D149" t="s" s="10">
        <v>70</v>
      </c>
      <c r="E149" t="s" s="10">
        <v>71</v>
      </c>
      <c r="F149" s="11"/>
      <c r="G149" t="s" s="10">
        <v>511</v>
      </c>
      <c r="H149" t="s" s="10">
        <v>512</v>
      </c>
      <c r="I149" t="s" s="10">
        <v>73</v>
      </c>
      <c r="J149" t="s" s="10">
        <v>74</v>
      </c>
      <c r="K149" t="s" s="10">
        <v>140</v>
      </c>
      <c r="L149" t="s" s="10">
        <v>76</v>
      </c>
      <c r="M149" t="s" s="10">
        <v>77</v>
      </c>
      <c r="N149" t="s" s="10">
        <v>511</v>
      </c>
      <c r="O149" t="s" s="10">
        <v>71</v>
      </c>
      <c r="P149" s="11"/>
      <c r="Q149" t="s" s="10">
        <v>78</v>
      </c>
      <c r="R149" t="s" s="10">
        <v>71</v>
      </c>
      <c r="S149" s="11"/>
      <c r="T149" s="11"/>
      <c r="U149" s="11"/>
      <c r="V149" t="s" s="10">
        <v>78</v>
      </c>
      <c r="W149" t="s" s="10">
        <v>510</v>
      </c>
      <c r="X149" t="s" s="10">
        <v>69</v>
      </c>
      <c r="Y149" s="11"/>
      <c r="Z149" t="s" s="10">
        <v>76</v>
      </c>
      <c r="AA149" s="11"/>
      <c r="AB149" t="s" s="10">
        <v>76</v>
      </c>
      <c r="AC149" s="11"/>
      <c r="AD149" s="11"/>
      <c r="AE149" s="11"/>
      <c r="AF149" s="11"/>
      <c r="AG149" s="11"/>
      <c r="AH149" s="11"/>
      <c r="AI149" t="s" s="10">
        <v>76</v>
      </c>
      <c r="AJ149" t="s" s="10">
        <v>76</v>
      </c>
      <c r="AK149" t="s" s="10">
        <v>79</v>
      </c>
      <c r="AL149" s="11"/>
      <c r="AM149" s="11"/>
      <c r="AN149" s="11"/>
      <c r="AO149" s="11"/>
      <c r="AP149" s="11"/>
      <c r="AQ149" s="11"/>
      <c r="AR149" s="11"/>
      <c r="AS149" s="11"/>
      <c r="AT149" s="11"/>
      <c r="AU149" s="11"/>
      <c r="AV149" s="11"/>
      <c r="AW149" s="11"/>
      <c r="AX149" s="11"/>
      <c r="AY149" s="11"/>
      <c r="AZ149" s="11"/>
      <c r="BA149" s="11"/>
      <c r="BB149" s="11"/>
      <c r="BC149" s="11"/>
      <c r="BD149" t="s" s="10">
        <v>310</v>
      </c>
      <c r="BE149" t="s" s="10">
        <v>356</v>
      </c>
      <c r="BF149" s="11"/>
      <c r="BG149" s="11"/>
      <c r="BH149" s="11"/>
      <c r="BI149" s="11"/>
      <c r="BJ149" s="11"/>
      <c r="BK149" s="11"/>
      <c r="BL149" s="11"/>
      <c r="BM149" s="11"/>
      <c r="BN149" s="11"/>
      <c r="BO149" s="12"/>
      <c r="BP149" s="8"/>
    </row>
    <row r="150" ht="9" customHeight="1" hidden="1">
      <c r="A150" t="s" s="13">
        <v>513</v>
      </c>
      <c r="B150" s="14"/>
      <c r="C150" t="str" s="14" cm="1">
        <f t="array" ref="C150">_xlfn.IFERROR((VLOOKUP(A150,#REF!,2,FALSE)),"")</f>
      </c>
      <c r="D150" s="14"/>
      <c r="E150" t="s" s="15">
        <v>514</v>
      </c>
      <c r="F150" s="14"/>
      <c r="G150" t="s" s="15">
        <v>515</v>
      </c>
      <c r="H150" t="s" s="15">
        <v>516</v>
      </c>
      <c r="I150" t="s" s="15">
        <v>111</v>
      </c>
      <c r="J150" t="s" s="15">
        <v>517</v>
      </c>
      <c r="K150" t="s" s="15">
        <v>140</v>
      </c>
      <c r="L150" t="s" s="15">
        <v>518</v>
      </c>
      <c r="M150" t="s" s="15">
        <v>77</v>
      </c>
      <c r="N150" t="s" s="15">
        <v>519</v>
      </c>
      <c r="O150" t="s" s="15">
        <v>346</v>
      </c>
      <c r="P150" s="14"/>
      <c r="Q150" t="s" s="15">
        <v>78</v>
      </c>
      <c r="R150" t="s" s="15">
        <v>83</v>
      </c>
      <c r="S150" s="14"/>
      <c r="T150" t="s" s="15">
        <v>69</v>
      </c>
      <c r="U150" s="14"/>
      <c r="V150" t="s" s="15">
        <v>69</v>
      </c>
      <c r="W150" s="14"/>
      <c r="X150" t="s" s="15">
        <v>69</v>
      </c>
      <c r="Y150" s="14"/>
      <c r="Z150" t="s" s="15">
        <v>205</v>
      </c>
      <c r="AA150" s="14"/>
      <c r="AB150" t="s" s="15">
        <v>520</v>
      </c>
      <c r="AC150" s="14"/>
      <c r="AD150" s="14"/>
      <c r="AE150" t="s" s="15">
        <v>521</v>
      </c>
      <c r="AF150" t="s" s="15">
        <v>522</v>
      </c>
      <c r="AG150" t="s" s="15">
        <v>299</v>
      </c>
      <c r="AH150" t="s" s="15">
        <v>289</v>
      </c>
      <c r="AI150" t="s" s="15">
        <v>332</v>
      </c>
      <c r="AJ150" t="s" s="15">
        <v>523</v>
      </c>
      <c r="AK150" t="s" s="15">
        <v>524</v>
      </c>
      <c r="AL150" t="s" s="15">
        <v>115</v>
      </c>
      <c r="AM150" s="14"/>
      <c r="AN150" t="s" s="15">
        <v>525</v>
      </c>
      <c r="AO150" s="14"/>
      <c r="AP150" s="14"/>
      <c r="AQ150" s="14"/>
      <c r="AR150" s="14"/>
      <c r="AS150" t="s" s="15">
        <v>526</v>
      </c>
      <c r="AT150" t="s" s="15">
        <v>301</v>
      </c>
      <c r="AU150" s="14"/>
      <c r="AV150" s="14"/>
      <c r="AW150" t="s" s="15">
        <v>527</v>
      </c>
      <c r="AX150" s="14"/>
      <c r="AY150" s="14"/>
      <c r="AZ150" s="14"/>
      <c r="BA150" s="14"/>
      <c r="BB150" s="14"/>
      <c r="BC150" s="14"/>
      <c r="BD150" t="s" s="15">
        <v>428</v>
      </c>
      <c r="BE150" t="s" s="24">
        <v>481</v>
      </c>
      <c r="BF150" s="20"/>
      <c r="BG150" s="20"/>
      <c r="BH150" s="14"/>
      <c r="BI150" s="14"/>
      <c r="BJ150" s="14"/>
      <c r="BK150" s="14"/>
      <c r="BL150" s="14"/>
      <c r="BM150" s="14"/>
      <c r="BN150" s="14"/>
      <c r="BO150" s="16"/>
      <c r="BP150" s="8"/>
    </row>
    <row r="151" ht="9" customHeight="1" hidden="1">
      <c r="A151" t="s" s="9">
        <v>528</v>
      </c>
      <c r="B151" t="s" s="10">
        <v>69</v>
      </c>
      <c r="C151" t="str" s="11" cm="1">
        <f t="array" ref="C151">_xlfn.IFERROR((VLOOKUP(A151,#REF!,2,FALSE)),"")</f>
      </c>
      <c r="D151" t="s" s="10">
        <v>70</v>
      </c>
      <c r="E151" t="s" s="10">
        <v>71</v>
      </c>
      <c r="F151" s="11"/>
      <c r="G151" t="s" s="10">
        <v>462</v>
      </c>
      <c r="H151" t="s" s="10">
        <v>462</v>
      </c>
      <c r="I151" t="s" s="10">
        <v>271</v>
      </c>
      <c r="J151" t="s" s="10">
        <v>74</v>
      </c>
      <c r="K151" t="s" s="10">
        <v>75</v>
      </c>
      <c r="L151" t="s" s="10">
        <v>76</v>
      </c>
      <c r="M151" t="s" s="10">
        <v>77</v>
      </c>
      <c r="N151" t="s" s="10">
        <v>462</v>
      </c>
      <c r="O151" t="s" s="10">
        <v>71</v>
      </c>
      <c r="P151" s="11"/>
      <c r="Q151" t="s" s="10">
        <v>78</v>
      </c>
      <c r="R151" t="s" s="10">
        <v>83</v>
      </c>
      <c r="S151" s="11"/>
      <c r="T151" s="11"/>
      <c r="U151" s="11"/>
      <c r="V151" t="s" s="10">
        <v>78</v>
      </c>
      <c r="W151" s="11"/>
      <c r="X151" t="s" s="10">
        <v>69</v>
      </c>
      <c r="Y151" s="11"/>
      <c r="Z151" t="s" s="10">
        <v>76</v>
      </c>
      <c r="AA151" s="11"/>
      <c r="AB151" t="s" s="10">
        <v>76</v>
      </c>
      <c r="AC151" s="11"/>
      <c r="AD151" s="11"/>
      <c r="AE151" s="11"/>
      <c r="AF151" s="11"/>
      <c r="AG151" s="11"/>
      <c r="AH151" s="11"/>
      <c r="AI151" t="s" s="10">
        <v>76</v>
      </c>
      <c r="AJ151" t="s" s="10">
        <v>76</v>
      </c>
      <c r="AK151" t="s" s="10">
        <v>79</v>
      </c>
      <c r="AL151" s="11"/>
      <c r="AM151" s="11"/>
      <c r="AN151" s="11"/>
      <c r="AO151" s="11"/>
      <c r="AP151" s="11"/>
      <c r="AQ151" s="11"/>
      <c r="AR151" s="11"/>
      <c r="AS151" s="11"/>
      <c r="AT151" s="11"/>
      <c r="AU151" s="11"/>
      <c r="AV151" s="11"/>
      <c r="AW151" s="11"/>
      <c r="AX151" s="11"/>
      <c r="AY151" s="11"/>
      <c r="AZ151" s="11"/>
      <c r="BA151" s="11"/>
      <c r="BB151" s="11"/>
      <c r="BC151" s="11"/>
      <c r="BD151" t="s" s="10">
        <v>366</v>
      </c>
      <c r="BE151" t="s" s="25">
        <v>489</v>
      </c>
      <c r="BF151" s="23"/>
      <c r="BG151" s="23"/>
      <c r="BH151" s="11"/>
      <c r="BI151" s="11"/>
      <c r="BJ151" s="11"/>
      <c r="BK151" s="11"/>
      <c r="BL151" s="11"/>
      <c r="BM151" s="11"/>
      <c r="BN151" s="11"/>
      <c r="BO151" s="12"/>
      <c r="BP151" s="8"/>
    </row>
    <row r="152" ht="9" customHeight="1" hidden="1">
      <c r="A152" t="s" s="13">
        <v>529</v>
      </c>
      <c r="B152" t="s" s="15">
        <v>69</v>
      </c>
      <c r="C152" t="str" s="14" cm="1">
        <f t="array" ref="C152">_xlfn.IFERROR((VLOOKUP(A152,#REF!,2,FALSE)),"")</f>
      </c>
      <c r="D152" t="s" s="15">
        <v>70</v>
      </c>
      <c r="E152" t="s" s="15">
        <v>71</v>
      </c>
      <c r="F152" s="14"/>
      <c r="G152" t="s" s="15">
        <v>530</v>
      </c>
      <c r="H152" t="s" s="15">
        <v>434</v>
      </c>
      <c r="I152" t="s" s="15">
        <v>73</v>
      </c>
      <c r="J152" t="s" s="15">
        <v>74</v>
      </c>
      <c r="K152" t="s" s="15">
        <v>140</v>
      </c>
      <c r="L152" t="s" s="15">
        <v>435</v>
      </c>
      <c r="M152" t="s" s="15">
        <v>77</v>
      </c>
      <c r="N152" t="s" s="15">
        <v>530</v>
      </c>
      <c r="O152" t="s" s="15">
        <v>71</v>
      </c>
      <c r="P152" s="14"/>
      <c r="Q152" t="s" s="15">
        <v>78</v>
      </c>
      <c r="R152" t="s" s="15">
        <v>71</v>
      </c>
      <c r="S152" s="14"/>
      <c r="T152" s="14"/>
      <c r="U152" s="14"/>
      <c r="V152" t="s" s="15">
        <v>78</v>
      </c>
      <c r="W152" t="s" s="15">
        <v>529</v>
      </c>
      <c r="X152" t="s" s="15">
        <v>69</v>
      </c>
      <c r="Y152" s="14"/>
      <c r="Z152" t="s" s="15">
        <v>436</v>
      </c>
      <c r="AA152" s="14"/>
      <c r="AB152" t="s" s="15">
        <v>437</v>
      </c>
      <c r="AC152" s="14"/>
      <c r="AD152" s="14"/>
      <c r="AE152" s="14"/>
      <c r="AF152" s="14"/>
      <c r="AG152" s="14"/>
      <c r="AH152" t="s" s="15">
        <v>289</v>
      </c>
      <c r="AI152" t="s" s="15">
        <v>76</v>
      </c>
      <c r="AJ152" t="s" s="15">
        <v>76</v>
      </c>
      <c r="AK152" t="s" s="15">
        <v>79</v>
      </c>
      <c r="AL152" s="14"/>
      <c r="AM152" s="14"/>
      <c r="AN152" s="14"/>
      <c r="AO152" s="14"/>
      <c r="AP152" s="14"/>
      <c r="AQ152" s="14"/>
      <c r="AR152" s="14"/>
      <c r="AS152" s="14"/>
      <c r="AT152" s="14"/>
      <c r="AU152" s="14"/>
      <c r="AV152" s="14"/>
      <c r="AW152" s="14"/>
      <c r="AX152" s="14"/>
      <c r="AY152" s="14"/>
      <c r="AZ152" s="14"/>
      <c r="BA152" s="14"/>
      <c r="BB152" s="14"/>
      <c r="BC152" s="14"/>
      <c r="BD152" t="s" s="15">
        <v>310</v>
      </c>
      <c r="BE152" t="s" s="15">
        <v>356</v>
      </c>
      <c r="BF152" s="14"/>
      <c r="BG152" s="14"/>
      <c r="BH152" s="14"/>
      <c r="BI152" s="14"/>
      <c r="BJ152" s="14"/>
      <c r="BK152" s="14"/>
      <c r="BL152" s="14"/>
      <c r="BM152" s="14"/>
      <c r="BN152" s="14"/>
      <c r="BO152" s="16"/>
      <c r="BP152" s="8"/>
    </row>
    <row r="153" ht="9" customHeight="1" hidden="1">
      <c r="A153" t="s" s="9">
        <v>531</v>
      </c>
      <c r="B153" t="s" s="10">
        <v>69</v>
      </c>
      <c r="C153" t="str" s="11" cm="1">
        <f t="array" ref="C153">_xlfn.IFERROR((VLOOKUP(A153,#REF!,2,FALSE)),"")</f>
      </c>
      <c r="D153" t="s" s="10">
        <v>70</v>
      </c>
      <c r="E153" t="s" s="10">
        <v>71</v>
      </c>
      <c r="F153" s="11"/>
      <c r="G153" t="s" s="10">
        <v>532</v>
      </c>
      <c r="H153" t="s" s="10">
        <v>532</v>
      </c>
      <c r="I153" t="s" s="10">
        <v>73</v>
      </c>
      <c r="J153" t="s" s="10">
        <v>74</v>
      </c>
      <c r="K153" t="s" s="10">
        <v>113</v>
      </c>
      <c r="L153" t="s" s="10">
        <v>76</v>
      </c>
      <c r="M153" t="s" s="10">
        <v>77</v>
      </c>
      <c r="N153" t="s" s="10">
        <v>532</v>
      </c>
      <c r="O153" t="s" s="10">
        <v>71</v>
      </c>
      <c r="P153" s="11"/>
      <c r="Q153" t="s" s="10">
        <v>78</v>
      </c>
      <c r="R153" t="s" s="10">
        <v>323</v>
      </c>
      <c r="S153" s="11"/>
      <c r="T153" s="11"/>
      <c r="U153" s="11"/>
      <c r="V153" t="s" s="10">
        <v>78</v>
      </c>
      <c r="W153" t="s" s="10">
        <v>531</v>
      </c>
      <c r="X153" t="s" s="10">
        <v>69</v>
      </c>
      <c r="Y153" s="11"/>
      <c r="Z153" t="s" s="10">
        <v>205</v>
      </c>
      <c r="AA153" s="11"/>
      <c r="AB153" t="s" s="10">
        <v>76</v>
      </c>
      <c r="AC153" s="11"/>
      <c r="AD153" s="11"/>
      <c r="AE153" s="11"/>
      <c r="AF153" s="11"/>
      <c r="AG153" s="11"/>
      <c r="AH153" t="s" s="10">
        <v>114</v>
      </c>
      <c r="AI153" t="s" s="10">
        <v>76</v>
      </c>
      <c r="AJ153" t="s" s="10">
        <v>76</v>
      </c>
      <c r="AK153" t="s" s="10">
        <v>79</v>
      </c>
      <c r="AL153" s="11"/>
      <c r="AM153" s="11"/>
      <c r="AN153" s="11"/>
      <c r="AO153" s="11"/>
      <c r="AP153" s="11"/>
      <c r="AQ153" s="11"/>
      <c r="AR153" s="11"/>
      <c r="AS153" s="11"/>
      <c r="AT153" s="11"/>
      <c r="AU153" s="11"/>
      <c r="AV153" s="11"/>
      <c r="AW153" s="11"/>
      <c r="AX153" s="11"/>
      <c r="AY153" s="11"/>
      <c r="AZ153" s="11"/>
      <c r="BA153" s="11"/>
      <c r="BB153" s="11"/>
      <c r="BC153" s="11"/>
      <c r="BD153" t="s" s="10">
        <v>118</v>
      </c>
      <c r="BE153" s="11"/>
      <c r="BF153" s="11"/>
      <c r="BG153" s="11"/>
      <c r="BH153" s="11"/>
      <c r="BI153" s="11"/>
      <c r="BJ153" s="11"/>
      <c r="BK153" s="11"/>
      <c r="BL153" s="11"/>
      <c r="BM153" s="11"/>
      <c r="BN153" s="11"/>
      <c r="BO153" s="12"/>
      <c r="BP153" s="8"/>
    </row>
    <row r="154" ht="9" customHeight="1" hidden="1">
      <c r="A154" t="s" s="13">
        <v>533</v>
      </c>
      <c r="B154" t="s" s="15">
        <v>69</v>
      </c>
      <c r="C154" t="str" s="14" cm="1">
        <f t="array" ref="C154">_xlfn.IFERROR((VLOOKUP(A154,#REF!,2,FALSE)),"")</f>
      </c>
      <c r="D154" t="s" s="15">
        <v>70</v>
      </c>
      <c r="E154" t="s" s="15">
        <v>71</v>
      </c>
      <c r="F154" s="14"/>
      <c r="G154" t="s" s="15">
        <v>534</v>
      </c>
      <c r="H154" t="s" s="15">
        <v>534</v>
      </c>
      <c r="I154" t="s" s="15">
        <v>73</v>
      </c>
      <c r="J154" t="s" s="15">
        <v>74</v>
      </c>
      <c r="K154" t="s" s="15">
        <v>140</v>
      </c>
      <c r="L154" t="s" s="15">
        <v>76</v>
      </c>
      <c r="M154" t="s" s="15">
        <v>77</v>
      </c>
      <c r="N154" t="s" s="15">
        <v>534</v>
      </c>
      <c r="O154" t="s" s="15">
        <v>71</v>
      </c>
      <c r="P154" s="14"/>
      <c r="Q154" t="s" s="15">
        <v>78</v>
      </c>
      <c r="R154" t="s" s="15">
        <v>71</v>
      </c>
      <c r="S154" s="14"/>
      <c r="T154" s="14"/>
      <c r="U154" s="14"/>
      <c r="V154" t="s" s="15">
        <v>78</v>
      </c>
      <c r="W154" t="s" s="15">
        <v>533</v>
      </c>
      <c r="X154" t="s" s="15">
        <v>69</v>
      </c>
      <c r="Y154" s="14"/>
      <c r="Z154" t="s" s="15">
        <v>76</v>
      </c>
      <c r="AA154" s="14"/>
      <c r="AB154" t="s" s="15">
        <v>76</v>
      </c>
      <c r="AC154" s="14"/>
      <c r="AD154" s="14"/>
      <c r="AE154" s="14"/>
      <c r="AF154" s="14"/>
      <c r="AG154" s="14"/>
      <c r="AH154" s="14"/>
      <c r="AI154" t="s" s="15">
        <v>76</v>
      </c>
      <c r="AJ154" t="s" s="15">
        <v>76</v>
      </c>
      <c r="AK154" t="s" s="15">
        <v>79</v>
      </c>
      <c r="AL154" s="14"/>
      <c r="AM154" s="14"/>
      <c r="AN154" s="14"/>
      <c r="AO154" s="14"/>
      <c r="AP154" s="14"/>
      <c r="AQ154" s="14"/>
      <c r="AR154" s="14"/>
      <c r="AS154" s="14"/>
      <c r="AT154" s="14"/>
      <c r="AU154" s="14"/>
      <c r="AV154" s="14"/>
      <c r="AW154" s="14"/>
      <c r="AX154" s="14"/>
      <c r="AY154" s="14"/>
      <c r="AZ154" s="14"/>
      <c r="BA154" s="14"/>
      <c r="BB154" s="14"/>
      <c r="BC154" s="14"/>
      <c r="BD154" t="s" s="15">
        <v>310</v>
      </c>
      <c r="BE154" t="s" s="15">
        <v>394</v>
      </c>
      <c r="BF154" s="14"/>
      <c r="BG154" s="14"/>
      <c r="BH154" s="14"/>
      <c r="BI154" s="14"/>
      <c r="BJ154" s="14"/>
      <c r="BK154" s="14"/>
      <c r="BL154" s="14"/>
      <c r="BM154" s="14"/>
      <c r="BN154" s="14"/>
      <c r="BO154" s="16"/>
      <c r="BP154" s="8"/>
    </row>
    <row r="155" ht="9" customHeight="1" hidden="1">
      <c r="A155" t="s" s="9">
        <v>535</v>
      </c>
      <c r="B155" t="s" s="10">
        <v>69</v>
      </c>
      <c r="C155" t="str" s="11" cm="1">
        <f t="array" ref="C155">_xlfn.IFERROR((VLOOKUP(A155,#REF!,2,FALSE)),"")</f>
      </c>
      <c r="D155" s="11"/>
      <c r="E155" t="s" s="10">
        <v>536</v>
      </c>
      <c r="F155" s="11"/>
      <c r="G155" t="s" s="10">
        <v>537</v>
      </c>
      <c r="H155" t="s" s="10">
        <v>434</v>
      </c>
      <c r="I155" t="s" s="10">
        <v>73</v>
      </c>
      <c r="J155" t="s" s="10">
        <v>74</v>
      </c>
      <c r="K155" t="s" s="10">
        <v>140</v>
      </c>
      <c r="L155" t="s" s="10">
        <v>435</v>
      </c>
      <c r="M155" t="s" s="10">
        <v>77</v>
      </c>
      <c r="N155" t="s" s="10">
        <v>537</v>
      </c>
      <c r="O155" t="s" s="10">
        <v>71</v>
      </c>
      <c r="P155" s="11"/>
      <c r="Q155" t="s" s="10">
        <v>78</v>
      </c>
      <c r="R155" t="s" s="10">
        <v>71</v>
      </c>
      <c r="S155" s="11"/>
      <c r="T155" s="11"/>
      <c r="U155" s="11"/>
      <c r="V155" t="s" s="10">
        <v>78</v>
      </c>
      <c r="W155" t="s" s="10">
        <v>535</v>
      </c>
      <c r="X155" t="s" s="10">
        <v>69</v>
      </c>
      <c r="Y155" s="11"/>
      <c r="Z155" t="s" s="10">
        <v>436</v>
      </c>
      <c r="AA155" s="11"/>
      <c r="AB155" t="s" s="10">
        <v>437</v>
      </c>
      <c r="AC155" s="11"/>
      <c r="AD155" t="s" s="10">
        <v>538</v>
      </c>
      <c r="AE155" s="11"/>
      <c r="AF155" s="11"/>
      <c r="AG155" t="s" s="10">
        <v>299</v>
      </c>
      <c r="AH155" t="s" s="10">
        <v>289</v>
      </c>
      <c r="AI155" t="s" s="10">
        <v>76</v>
      </c>
      <c r="AJ155" t="s" s="10">
        <v>76</v>
      </c>
      <c r="AK155" t="s" s="10">
        <v>79</v>
      </c>
      <c r="AL155" t="s" s="10">
        <v>115</v>
      </c>
      <c r="AM155" s="11"/>
      <c r="AN155" s="11"/>
      <c r="AO155" s="11"/>
      <c r="AP155" s="11"/>
      <c r="AQ155" s="11"/>
      <c r="AR155" s="11"/>
      <c r="AS155" t="s" s="10">
        <v>539</v>
      </c>
      <c r="AT155" t="s" s="10">
        <v>301</v>
      </c>
      <c r="AU155" s="11"/>
      <c r="AV155" s="11"/>
      <c r="AW155" s="11"/>
      <c r="AX155" s="11"/>
      <c r="AY155" s="11"/>
      <c r="AZ155" s="11"/>
      <c r="BA155" s="11"/>
      <c r="BB155" s="11"/>
      <c r="BC155" s="11"/>
      <c r="BD155" t="s" s="10">
        <v>366</v>
      </c>
      <c r="BE155" t="s" s="10">
        <v>394</v>
      </c>
      <c r="BF155" s="11"/>
      <c r="BG155" s="11"/>
      <c r="BH155" s="11"/>
      <c r="BI155" s="11"/>
      <c r="BJ155" s="11"/>
      <c r="BK155" s="11"/>
      <c r="BL155" s="11"/>
      <c r="BM155" s="11"/>
      <c r="BN155" s="11"/>
      <c r="BO155" s="12"/>
      <c r="BP155" s="8"/>
    </row>
    <row r="156" ht="9" customHeight="1" hidden="1">
      <c r="A156" t="s" s="13">
        <v>540</v>
      </c>
      <c r="B156" t="s" s="15">
        <v>69</v>
      </c>
      <c r="C156" t="str" s="14" cm="1">
        <f t="array" ref="C156">_xlfn.IFERROR((VLOOKUP(A156,#REF!,2,FALSE)),"")</f>
      </c>
      <c r="D156" t="s" s="15">
        <v>70</v>
      </c>
      <c r="E156" t="s" s="15">
        <v>71</v>
      </c>
      <c r="F156" s="14"/>
      <c r="G156" t="s" s="15">
        <v>411</v>
      </c>
      <c r="H156" t="s" s="15">
        <v>411</v>
      </c>
      <c r="I156" t="s" s="15">
        <v>73</v>
      </c>
      <c r="J156" t="s" s="15">
        <v>74</v>
      </c>
      <c r="K156" t="s" s="15">
        <v>210</v>
      </c>
      <c r="L156" t="s" s="15">
        <v>76</v>
      </c>
      <c r="M156" t="s" s="15">
        <v>77</v>
      </c>
      <c r="N156" t="s" s="15">
        <v>411</v>
      </c>
      <c r="O156" t="s" s="15">
        <v>71</v>
      </c>
      <c r="P156" s="14"/>
      <c r="Q156" t="s" s="15">
        <v>78</v>
      </c>
      <c r="R156" t="s" s="15">
        <v>71</v>
      </c>
      <c r="S156" s="14"/>
      <c r="T156" s="14"/>
      <c r="U156" s="14"/>
      <c r="V156" t="s" s="15">
        <v>78</v>
      </c>
      <c r="W156" t="s" s="15">
        <v>540</v>
      </c>
      <c r="X156" t="s" s="15">
        <v>69</v>
      </c>
      <c r="Y156" s="14"/>
      <c r="Z156" t="s" s="15">
        <v>76</v>
      </c>
      <c r="AA156" s="14"/>
      <c r="AB156" t="s" s="15">
        <v>324</v>
      </c>
      <c r="AC156" s="14"/>
      <c r="AD156" s="14"/>
      <c r="AE156" s="14"/>
      <c r="AF156" s="14"/>
      <c r="AG156" t="s" s="15">
        <v>299</v>
      </c>
      <c r="AH156" t="s" s="15">
        <v>114</v>
      </c>
      <c r="AI156" t="s" s="15">
        <v>76</v>
      </c>
      <c r="AJ156" t="s" s="15">
        <v>76</v>
      </c>
      <c r="AK156" t="s" s="15">
        <v>79</v>
      </c>
      <c r="AL156" t="s" s="15">
        <v>115</v>
      </c>
      <c r="AM156" s="14"/>
      <c r="AN156" s="14"/>
      <c r="AO156" s="14"/>
      <c r="AP156" s="14"/>
      <c r="AQ156" s="14"/>
      <c r="AR156" s="14"/>
      <c r="AS156" t="s" s="15">
        <v>541</v>
      </c>
      <c r="AT156" s="14"/>
      <c r="AU156" s="14"/>
      <c r="AV156" s="14"/>
      <c r="AW156" s="14"/>
      <c r="AX156" s="14"/>
      <c r="AY156" s="14"/>
      <c r="AZ156" s="14"/>
      <c r="BA156" s="14"/>
      <c r="BB156" s="14"/>
      <c r="BC156" s="14"/>
      <c r="BD156" t="s" s="15">
        <v>118</v>
      </c>
      <c r="BE156" s="14"/>
      <c r="BF156" s="14"/>
      <c r="BG156" s="14"/>
      <c r="BH156" s="14"/>
      <c r="BI156" s="14"/>
      <c r="BJ156" s="14"/>
      <c r="BK156" s="14"/>
      <c r="BL156" s="14"/>
      <c r="BM156" s="14"/>
      <c r="BN156" s="14"/>
      <c r="BO156" s="16"/>
      <c r="BP156" s="8"/>
    </row>
    <row r="157" ht="9" customHeight="1" hidden="1">
      <c r="A157" t="s" s="9">
        <v>542</v>
      </c>
      <c r="B157" t="s" s="10">
        <v>69</v>
      </c>
      <c r="C157" t="str" s="11" cm="1">
        <f t="array" ref="C157">_xlfn.IFERROR((VLOOKUP(A157,#REF!,2,FALSE)),"")</f>
      </c>
      <c r="D157" t="s" s="10">
        <v>70</v>
      </c>
      <c r="E157" t="s" s="10">
        <v>543</v>
      </c>
      <c r="F157" s="11"/>
      <c r="G157" t="s" s="10">
        <v>530</v>
      </c>
      <c r="H157" t="s" s="10">
        <v>434</v>
      </c>
      <c r="I157" t="s" s="10">
        <v>73</v>
      </c>
      <c r="J157" t="s" s="10">
        <v>74</v>
      </c>
      <c r="K157" t="s" s="10">
        <v>140</v>
      </c>
      <c r="L157" t="s" s="10">
        <v>435</v>
      </c>
      <c r="M157" t="s" s="10">
        <v>77</v>
      </c>
      <c r="N157" t="s" s="10">
        <v>530</v>
      </c>
      <c r="O157" t="s" s="10">
        <v>71</v>
      </c>
      <c r="P157" s="11"/>
      <c r="Q157" t="s" s="10">
        <v>78</v>
      </c>
      <c r="R157" t="s" s="10">
        <v>71</v>
      </c>
      <c r="S157" s="11"/>
      <c r="T157" s="11"/>
      <c r="U157" s="11"/>
      <c r="V157" t="s" s="10">
        <v>78</v>
      </c>
      <c r="W157" t="s" s="10">
        <v>542</v>
      </c>
      <c r="X157" t="s" s="10">
        <v>69</v>
      </c>
      <c r="Y157" s="11"/>
      <c r="Z157" t="s" s="10">
        <v>436</v>
      </c>
      <c r="AA157" s="11"/>
      <c r="AB157" t="s" s="10">
        <v>437</v>
      </c>
      <c r="AC157" s="11"/>
      <c r="AD157" s="11"/>
      <c r="AE157" s="11"/>
      <c r="AF157" s="11"/>
      <c r="AG157" s="11"/>
      <c r="AH157" t="s" s="10">
        <v>289</v>
      </c>
      <c r="AI157" t="s" s="10">
        <v>76</v>
      </c>
      <c r="AJ157" t="s" s="10">
        <v>76</v>
      </c>
      <c r="AK157" t="s" s="10">
        <v>79</v>
      </c>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2"/>
      <c r="BP157" s="8"/>
    </row>
    <row r="158" ht="9" customHeight="1" hidden="1">
      <c r="A158" t="s" s="13">
        <v>544</v>
      </c>
      <c r="B158" t="s" s="15">
        <v>69</v>
      </c>
      <c r="C158" t="str" s="14" cm="1">
        <f t="array" ref="C158">_xlfn.IFERROR((VLOOKUP(A158,#REF!,2,FALSE)),"")</f>
      </c>
      <c r="D158" t="s" s="15">
        <v>70</v>
      </c>
      <c r="E158" t="s" s="15">
        <v>71</v>
      </c>
      <c r="F158" s="14"/>
      <c r="G158" t="s" s="15">
        <v>545</v>
      </c>
      <c r="H158" t="s" s="15">
        <v>484</v>
      </c>
      <c r="I158" t="s" s="15">
        <v>73</v>
      </c>
      <c r="J158" t="s" s="15">
        <v>74</v>
      </c>
      <c r="K158" t="s" s="15">
        <v>75</v>
      </c>
      <c r="L158" t="s" s="15">
        <v>76</v>
      </c>
      <c r="M158" t="s" s="15">
        <v>77</v>
      </c>
      <c r="N158" t="s" s="15">
        <v>545</v>
      </c>
      <c r="O158" t="s" s="15">
        <v>71</v>
      </c>
      <c r="P158" s="14"/>
      <c r="Q158" t="s" s="15">
        <v>78</v>
      </c>
      <c r="R158" t="s" s="15">
        <v>71</v>
      </c>
      <c r="S158" s="14"/>
      <c r="T158" s="14"/>
      <c r="U158" s="14"/>
      <c r="V158" t="s" s="15">
        <v>78</v>
      </c>
      <c r="W158" t="s" s="15">
        <v>544</v>
      </c>
      <c r="X158" t="s" s="15">
        <v>69</v>
      </c>
      <c r="Y158" s="14"/>
      <c r="Z158" t="s" s="15">
        <v>76</v>
      </c>
      <c r="AA158" s="14"/>
      <c r="AB158" t="s" s="15">
        <v>76</v>
      </c>
      <c r="AC158" s="14"/>
      <c r="AD158" s="14"/>
      <c r="AE158" s="14"/>
      <c r="AF158" s="14"/>
      <c r="AG158" s="14"/>
      <c r="AH158" s="14"/>
      <c r="AI158" t="s" s="15">
        <v>76</v>
      </c>
      <c r="AJ158" t="s" s="15">
        <v>76</v>
      </c>
      <c r="AK158" t="s" s="15">
        <v>79</v>
      </c>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6"/>
      <c r="BP158" s="8"/>
    </row>
    <row r="159" ht="9" customHeight="1" hidden="1">
      <c r="A159" t="s" s="9">
        <v>546</v>
      </c>
      <c r="B159" t="s" s="10">
        <v>69</v>
      </c>
      <c r="C159" t="str" s="11" cm="1">
        <f t="array" ref="C159">_xlfn.IFERROR((VLOOKUP(A159,#REF!,2,FALSE)),"")</f>
      </c>
      <c r="D159" t="s" s="10">
        <v>70</v>
      </c>
      <c r="E159" t="s" s="10">
        <v>71</v>
      </c>
      <c r="F159" s="11"/>
      <c r="G159" t="s" s="10">
        <v>545</v>
      </c>
      <c r="H159" t="s" s="10">
        <v>484</v>
      </c>
      <c r="I159" t="s" s="10">
        <v>73</v>
      </c>
      <c r="J159" t="s" s="10">
        <v>74</v>
      </c>
      <c r="K159" t="s" s="10">
        <v>75</v>
      </c>
      <c r="L159" t="s" s="10">
        <v>76</v>
      </c>
      <c r="M159" t="s" s="10">
        <v>77</v>
      </c>
      <c r="N159" t="s" s="10">
        <v>545</v>
      </c>
      <c r="O159" t="s" s="10">
        <v>71</v>
      </c>
      <c r="P159" s="11"/>
      <c r="Q159" t="s" s="10">
        <v>78</v>
      </c>
      <c r="R159" t="s" s="10">
        <v>71</v>
      </c>
      <c r="S159" s="11"/>
      <c r="T159" s="11"/>
      <c r="U159" s="11"/>
      <c r="V159" t="s" s="10">
        <v>78</v>
      </c>
      <c r="W159" t="s" s="10">
        <v>546</v>
      </c>
      <c r="X159" t="s" s="10">
        <v>69</v>
      </c>
      <c r="Y159" s="11"/>
      <c r="Z159" t="s" s="10">
        <v>76</v>
      </c>
      <c r="AA159" s="11"/>
      <c r="AB159" t="s" s="10">
        <v>76</v>
      </c>
      <c r="AC159" s="11"/>
      <c r="AD159" s="11"/>
      <c r="AE159" s="11"/>
      <c r="AF159" s="11"/>
      <c r="AG159" s="11"/>
      <c r="AH159" s="11"/>
      <c r="AI159" t="s" s="10">
        <v>76</v>
      </c>
      <c r="AJ159" t="s" s="10">
        <v>76</v>
      </c>
      <c r="AK159" t="s" s="10">
        <v>79</v>
      </c>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2"/>
      <c r="BP159" s="8"/>
    </row>
    <row r="160" ht="9" customHeight="1" hidden="1">
      <c r="A160" t="s" s="13">
        <v>547</v>
      </c>
      <c r="B160" t="s" s="15">
        <v>69</v>
      </c>
      <c r="C160" t="str" s="14" cm="1">
        <f t="array" ref="C160">_xlfn.IFERROR((VLOOKUP(A160,#REF!,2,FALSE)),"")</f>
      </c>
      <c r="D160" t="s" s="15">
        <v>70</v>
      </c>
      <c r="E160" t="s" s="15">
        <v>71</v>
      </c>
      <c r="F160" s="14"/>
      <c r="G160" t="s" s="15">
        <v>545</v>
      </c>
      <c r="H160" t="s" s="15">
        <v>484</v>
      </c>
      <c r="I160" t="s" s="15">
        <v>73</v>
      </c>
      <c r="J160" t="s" s="15">
        <v>74</v>
      </c>
      <c r="K160" t="s" s="15">
        <v>75</v>
      </c>
      <c r="L160" t="s" s="15">
        <v>76</v>
      </c>
      <c r="M160" t="s" s="15">
        <v>77</v>
      </c>
      <c r="N160" t="s" s="15">
        <v>545</v>
      </c>
      <c r="O160" t="s" s="15">
        <v>71</v>
      </c>
      <c r="P160" s="14"/>
      <c r="Q160" t="s" s="15">
        <v>78</v>
      </c>
      <c r="R160" t="s" s="15">
        <v>71</v>
      </c>
      <c r="S160" s="14"/>
      <c r="T160" s="14"/>
      <c r="U160" s="14"/>
      <c r="V160" t="s" s="15">
        <v>78</v>
      </c>
      <c r="W160" t="s" s="15">
        <v>547</v>
      </c>
      <c r="X160" t="s" s="15">
        <v>69</v>
      </c>
      <c r="Y160" s="14"/>
      <c r="Z160" t="s" s="15">
        <v>76</v>
      </c>
      <c r="AA160" s="14"/>
      <c r="AB160" t="s" s="15">
        <v>76</v>
      </c>
      <c r="AC160" s="14"/>
      <c r="AD160" s="14"/>
      <c r="AE160" s="14"/>
      <c r="AF160" s="14"/>
      <c r="AG160" s="14"/>
      <c r="AH160" s="14"/>
      <c r="AI160" t="s" s="15">
        <v>76</v>
      </c>
      <c r="AJ160" t="s" s="15">
        <v>76</v>
      </c>
      <c r="AK160" t="s" s="15">
        <v>79</v>
      </c>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6"/>
      <c r="BP160" s="8"/>
    </row>
    <row r="161" ht="15" customHeight="1" hidden="1">
      <c r="A161" t="s" s="9">
        <v>548</v>
      </c>
      <c r="B161" s="11"/>
      <c r="C161" t="str" s="11" cm="1">
        <f t="array" ref="C161">_xlfn.IFERROR((VLOOKUP(A161,#REF!,2,FALSE)),"")</f>
      </c>
      <c r="D161" s="11"/>
      <c r="E161" s="11"/>
      <c r="F161" s="11"/>
      <c r="G161" t="s" s="10">
        <v>549</v>
      </c>
      <c r="H161" t="s" s="10">
        <v>550</v>
      </c>
      <c r="I161" t="s" s="10">
        <v>111</v>
      </c>
      <c r="J161" t="s" s="10">
        <v>122</v>
      </c>
      <c r="K161" t="s" s="10">
        <v>113</v>
      </c>
      <c r="L161" t="s" s="10">
        <v>518</v>
      </c>
      <c r="M161" t="s" s="10">
        <v>77</v>
      </c>
      <c r="N161" t="s" s="10">
        <v>551</v>
      </c>
      <c r="O161" s="11"/>
      <c r="P161" s="11"/>
      <c r="Q161" t="s" s="10">
        <v>69</v>
      </c>
      <c r="R161" t="s" s="10">
        <v>323</v>
      </c>
      <c r="S161" s="11"/>
      <c r="T161" s="11"/>
      <c r="U161" s="11"/>
      <c r="V161" t="s" s="10">
        <v>69</v>
      </c>
      <c r="W161" s="11"/>
      <c r="X161" t="s" s="10">
        <v>69</v>
      </c>
      <c r="Y161" s="11"/>
      <c r="Z161" t="s" s="10">
        <v>552</v>
      </c>
      <c r="AA161" s="11"/>
      <c r="AB161" t="s" s="10">
        <v>553</v>
      </c>
      <c r="AC161" t="s" s="10">
        <v>548</v>
      </c>
      <c r="AD161" s="11"/>
      <c r="AE161" s="11"/>
      <c r="AF161" s="11"/>
      <c r="AG161" t="s" s="10">
        <v>299</v>
      </c>
      <c r="AH161" t="s" s="10">
        <v>114</v>
      </c>
      <c r="AI161" t="s" s="10">
        <v>440</v>
      </c>
      <c r="AJ161" s="11"/>
      <c r="AK161" t="s" s="10">
        <v>83</v>
      </c>
      <c r="AL161" t="s" s="10">
        <v>115</v>
      </c>
      <c r="AM161" s="11"/>
      <c r="AN161" t="s" s="10">
        <v>264</v>
      </c>
      <c r="AO161" s="11"/>
      <c r="AP161" s="11"/>
      <c r="AQ161" s="11"/>
      <c r="AR161" s="11"/>
      <c r="AS161" t="s" s="10">
        <v>554</v>
      </c>
      <c r="AT161" t="s" s="10">
        <v>301</v>
      </c>
      <c r="AU161" s="11"/>
      <c r="AV161" s="11"/>
      <c r="AW161" s="11"/>
      <c r="AX161" s="11"/>
      <c r="AY161" s="11"/>
      <c r="AZ161" s="11"/>
      <c r="BA161" s="11"/>
      <c r="BB161" s="11"/>
      <c r="BC161" s="11"/>
      <c r="BD161" t="s" s="10">
        <v>118</v>
      </c>
      <c r="BE161" s="11"/>
      <c r="BF161" s="11"/>
      <c r="BG161" s="11"/>
      <c r="BH161" s="11"/>
      <c r="BI161" s="11"/>
      <c r="BJ161" s="11"/>
      <c r="BK161" s="11"/>
      <c r="BL161" s="11"/>
      <c r="BM161" s="11"/>
      <c r="BN161" s="11"/>
      <c r="BO161" s="12"/>
      <c r="BP161" s="8"/>
    </row>
    <row r="162" ht="9" customHeight="1" hidden="1">
      <c r="A162" t="s" s="13">
        <v>555</v>
      </c>
      <c r="B162" s="14"/>
      <c r="C162" t="str" s="14" cm="1">
        <f t="array" ref="C162">_xlfn.IFERROR((VLOOKUP(A162,#REF!,2,FALSE)),"")</f>
      </c>
      <c r="D162" s="14"/>
      <c r="E162" s="14"/>
      <c r="F162" s="14"/>
      <c r="G162" t="s" s="15">
        <v>549</v>
      </c>
      <c r="H162" t="s" s="15">
        <v>550</v>
      </c>
      <c r="I162" t="s" s="15">
        <v>111</v>
      </c>
      <c r="J162" t="s" s="15">
        <v>122</v>
      </c>
      <c r="K162" t="s" s="15">
        <v>113</v>
      </c>
      <c r="L162" t="s" s="15">
        <v>518</v>
      </c>
      <c r="M162" t="s" s="15">
        <v>77</v>
      </c>
      <c r="N162" t="s" s="15">
        <v>551</v>
      </c>
      <c r="O162" s="14"/>
      <c r="P162" s="14"/>
      <c r="Q162" t="s" s="15">
        <v>69</v>
      </c>
      <c r="R162" t="s" s="15">
        <v>323</v>
      </c>
      <c r="S162" s="14"/>
      <c r="T162" s="14"/>
      <c r="U162" s="14"/>
      <c r="V162" t="s" s="15">
        <v>69</v>
      </c>
      <c r="W162" s="14"/>
      <c r="X162" t="s" s="15">
        <v>69</v>
      </c>
      <c r="Y162" s="14"/>
      <c r="Z162" t="s" s="15">
        <v>552</v>
      </c>
      <c r="AA162" s="14"/>
      <c r="AB162" t="s" s="15">
        <v>553</v>
      </c>
      <c r="AC162" t="s" s="15">
        <v>555</v>
      </c>
      <c r="AD162" s="14"/>
      <c r="AE162" s="14"/>
      <c r="AF162" s="14"/>
      <c r="AG162" t="s" s="15">
        <v>299</v>
      </c>
      <c r="AH162" t="s" s="15">
        <v>114</v>
      </c>
      <c r="AI162" t="s" s="15">
        <v>440</v>
      </c>
      <c r="AJ162" s="14"/>
      <c r="AK162" t="s" s="15">
        <v>83</v>
      </c>
      <c r="AL162" t="s" s="15">
        <v>115</v>
      </c>
      <c r="AM162" s="14"/>
      <c r="AN162" t="s" s="15">
        <v>264</v>
      </c>
      <c r="AO162" s="14"/>
      <c r="AP162" s="14"/>
      <c r="AQ162" s="14"/>
      <c r="AR162" s="14"/>
      <c r="AS162" t="s" s="15">
        <v>556</v>
      </c>
      <c r="AT162" t="s" s="15">
        <v>301</v>
      </c>
      <c r="AU162" s="14"/>
      <c r="AV162" s="14"/>
      <c r="AW162" s="14"/>
      <c r="AX162" s="14"/>
      <c r="AY162" s="14"/>
      <c r="AZ162" s="14"/>
      <c r="BA162" s="14"/>
      <c r="BB162" s="14"/>
      <c r="BC162" s="14"/>
      <c r="BD162" t="s" s="15">
        <v>118</v>
      </c>
      <c r="BE162" s="14"/>
      <c r="BF162" s="14"/>
      <c r="BG162" s="14"/>
      <c r="BH162" s="14"/>
      <c r="BI162" s="14"/>
      <c r="BJ162" s="14"/>
      <c r="BK162" s="14"/>
      <c r="BL162" s="14"/>
      <c r="BM162" s="14"/>
      <c r="BN162" s="14"/>
      <c r="BO162" s="16"/>
      <c r="BP162" s="8"/>
    </row>
    <row r="163" ht="9" customHeight="1" hidden="1">
      <c r="A163" t="s" s="9">
        <v>557</v>
      </c>
      <c r="B163" t="s" s="10">
        <v>69</v>
      </c>
      <c r="C163" t="str" s="11" cm="1">
        <f t="array" ref="C163">_xlfn.IFERROR((VLOOKUP(A163,#REF!,2,FALSE)),"")</f>
      </c>
      <c r="D163" t="s" s="10">
        <v>70</v>
      </c>
      <c r="E163" t="s" s="10">
        <v>71</v>
      </c>
      <c r="F163" s="11"/>
      <c r="G163" t="s" s="10">
        <v>558</v>
      </c>
      <c r="H163" t="s" s="10">
        <v>558</v>
      </c>
      <c r="I163" t="s" s="10">
        <v>271</v>
      </c>
      <c r="J163" t="s" s="10">
        <v>74</v>
      </c>
      <c r="K163" t="s" s="10">
        <v>105</v>
      </c>
      <c r="L163" t="s" s="10">
        <v>76</v>
      </c>
      <c r="M163" t="s" s="10">
        <v>77</v>
      </c>
      <c r="N163" t="s" s="10">
        <v>558</v>
      </c>
      <c r="O163" t="s" s="10">
        <v>71</v>
      </c>
      <c r="P163" s="11"/>
      <c r="Q163" t="s" s="10">
        <v>78</v>
      </c>
      <c r="R163" t="s" s="10">
        <v>83</v>
      </c>
      <c r="S163" s="11"/>
      <c r="T163" s="11"/>
      <c r="U163" s="11"/>
      <c r="V163" t="s" s="10">
        <v>78</v>
      </c>
      <c r="W163" s="11"/>
      <c r="X163" t="s" s="10">
        <v>69</v>
      </c>
      <c r="Y163" s="11"/>
      <c r="Z163" t="s" s="10">
        <v>76</v>
      </c>
      <c r="AA163" s="11"/>
      <c r="AB163" t="s" s="10">
        <v>76</v>
      </c>
      <c r="AC163" s="11"/>
      <c r="AD163" s="11"/>
      <c r="AE163" s="11"/>
      <c r="AF163" s="11"/>
      <c r="AG163" s="11"/>
      <c r="AH163" s="11"/>
      <c r="AI163" t="s" s="10">
        <v>76</v>
      </c>
      <c r="AJ163" t="s" s="10">
        <v>76</v>
      </c>
      <c r="AK163" t="s" s="10">
        <v>79</v>
      </c>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2"/>
      <c r="BP163" s="8"/>
    </row>
    <row r="164" ht="9" customHeight="1" hidden="1">
      <c r="A164" t="s" s="13">
        <v>559</v>
      </c>
      <c r="B164" t="s" s="15">
        <v>69</v>
      </c>
      <c r="C164" t="str" s="14" cm="1">
        <f t="array" ref="C164">_xlfn.IFERROR((VLOOKUP(A164,#REF!,2,FALSE)),"")</f>
      </c>
      <c r="D164" t="s" s="15">
        <v>70</v>
      </c>
      <c r="E164" t="s" s="15">
        <v>71</v>
      </c>
      <c r="F164" s="14"/>
      <c r="G164" t="s" s="15">
        <v>560</v>
      </c>
      <c r="H164" t="s" s="15">
        <v>560</v>
      </c>
      <c r="I164" t="s" s="15">
        <v>271</v>
      </c>
      <c r="J164" t="s" s="15">
        <v>74</v>
      </c>
      <c r="K164" t="s" s="15">
        <v>105</v>
      </c>
      <c r="L164" t="s" s="15">
        <v>76</v>
      </c>
      <c r="M164" t="s" s="15">
        <v>77</v>
      </c>
      <c r="N164" t="s" s="15">
        <v>560</v>
      </c>
      <c r="O164" t="s" s="15">
        <v>71</v>
      </c>
      <c r="P164" s="14"/>
      <c r="Q164" t="s" s="15">
        <v>78</v>
      </c>
      <c r="R164" t="s" s="15">
        <v>83</v>
      </c>
      <c r="S164" s="14"/>
      <c r="T164" s="14"/>
      <c r="U164" s="14"/>
      <c r="V164" t="s" s="15">
        <v>78</v>
      </c>
      <c r="W164" s="14"/>
      <c r="X164" t="s" s="15">
        <v>69</v>
      </c>
      <c r="Y164" s="14"/>
      <c r="Z164" t="s" s="15">
        <v>76</v>
      </c>
      <c r="AA164" s="14"/>
      <c r="AB164" t="s" s="15">
        <v>76</v>
      </c>
      <c r="AC164" s="14"/>
      <c r="AD164" s="14"/>
      <c r="AE164" s="14"/>
      <c r="AF164" s="14"/>
      <c r="AG164" s="14"/>
      <c r="AH164" s="14"/>
      <c r="AI164" t="s" s="15">
        <v>76</v>
      </c>
      <c r="AJ164" t="s" s="15">
        <v>76</v>
      </c>
      <c r="AK164" t="s" s="15">
        <v>79</v>
      </c>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6"/>
      <c r="BP164" s="8"/>
    </row>
    <row r="165" ht="9" customHeight="1" hidden="1">
      <c r="A165" t="s" s="9">
        <v>561</v>
      </c>
      <c r="B165" s="11"/>
      <c r="C165" t="str" s="11" cm="1">
        <f t="array" ref="C165">_xlfn.IFERROR((VLOOKUP(A165,#REF!,2,FALSE)),"")</f>
      </c>
      <c r="D165" t="s" s="10">
        <v>70</v>
      </c>
      <c r="E165" t="s" s="10">
        <v>392</v>
      </c>
      <c r="F165" s="11"/>
      <c r="G165" t="s" s="10">
        <v>464</v>
      </c>
      <c r="H165" t="s" s="10">
        <v>464</v>
      </c>
      <c r="I165" t="s" s="10">
        <v>73</v>
      </c>
      <c r="J165" t="s" s="10">
        <v>74</v>
      </c>
      <c r="K165" t="s" s="10">
        <v>75</v>
      </c>
      <c r="L165" t="s" s="10">
        <v>76</v>
      </c>
      <c r="M165" t="s" s="10">
        <v>77</v>
      </c>
      <c r="N165" t="s" s="10">
        <v>464</v>
      </c>
      <c r="O165" t="s" s="10">
        <v>71</v>
      </c>
      <c r="P165" s="11"/>
      <c r="Q165" t="s" s="10">
        <v>78</v>
      </c>
      <c r="R165" t="s" s="10">
        <v>71</v>
      </c>
      <c r="S165" s="11"/>
      <c r="T165" s="11"/>
      <c r="U165" s="11"/>
      <c r="V165" t="s" s="10">
        <v>78</v>
      </c>
      <c r="W165" t="s" s="10">
        <v>561</v>
      </c>
      <c r="X165" t="s" s="10">
        <v>69</v>
      </c>
      <c r="Y165" s="11"/>
      <c r="Z165" t="s" s="10">
        <v>76</v>
      </c>
      <c r="AA165" s="11"/>
      <c r="AB165" t="s" s="10">
        <v>76</v>
      </c>
      <c r="AC165" s="11"/>
      <c r="AD165" s="11"/>
      <c r="AE165" s="11"/>
      <c r="AF165" s="11"/>
      <c r="AG165" s="11"/>
      <c r="AH165" s="11"/>
      <c r="AI165" t="s" s="10">
        <v>76</v>
      </c>
      <c r="AJ165" t="s" s="10">
        <v>76</v>
      </c>
      <c r="AK165" t="s" s="10">
        <v>79</v>
      </c>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2"/>
      <c r="BP165" s="8"/>
    </row>
    <row r="166" ht="9" customHeight="1" hidden="1">
      <c r="A166" t="s" s="13">
        <v>562</v>
      </c>
      <c r="B166" s="14"/>
      <c r="C166" t="str" s="14" cm="1">
        <f t="array" ref="C166">_xlfn.IFERROR((VLOOKUP(A166,#REF!,2,FALSE)),"")</f>
      </c>
      <c r="D166" t="s" s="15">
        <v>70</v>
      </c>
      <c r="E166" t="s" s="15">
        <v>563</v>
      </c>
      <c r="F166" s="14"/>
      <c r="G166" t="s" s="15">
        <v>564</v>
      </c>
      <c r="H166" t="s" s="15">
        <v>565</v>
      </c>
      <c r="I166" t="s" s="15">
        <v>111</v>
      </c>
      <c r="J166" t="s" s="15">
        <v>452</v>
      </c>
      <c r="K166" t="s" s="15">
        <v>140</v>
      </c>
      <c r="L166" t="s" s="15">
        <v>76</v>
      </c>
      <c r="M166" t="s" s="15">
        <v>77</v>
      </c>
      <c r="N166" t="s" s="15">
        <v>564</v>
      </c>
      <c r="O166" t="s" s="15">
        <v>71</v>
      </c>
      <c r="P166" s="14"/>
      <c r="Q166" t="s" s="15">
        <v>78</v>
      </c>
      <c r="R166" t="s" s="15">
        <v>339</v>
      </c>
      <c r="S166" s="14"/>
      <c r="T166" s="14"/>
      <c r="U166" s="14"/>
      <c r="V166" t="s" s="15">
        <v>69</v>
      </c>
      <c r="W166" s="14"/>
      <c r="X166" t="s" s="15">
        <v>69</v>
      </c>
      <c r="Y166" s="14"/>
      <c r="Z166" t="s" s="15">
        <v>76</v>
      </c>
      <c r="AA166" s="14"/>
      <c r="AB166" t="s" s="15">
        <v>76</v>
      </c>
      <c r="AC166" s="14"/>
      <c r="AD166" s="14"/>
      <c r="AE166" s="14"/>
      <c r="AF166" s="14"/>
      <c r="AG166" t="s" s="15">
        <v>288</v>
      </c>
      <c r="AH166" t="s" s="15">
        <v>106</v>
      </c>
      <c r="AI166" t="s" s="15">
        <v>76</v>
      </c>
      <c r="AJ166" t="s" s="15">
        <v>76</v>
      </c>
      <c r="AK166" t="s" s="15">
        <v>79</v>
      </c>
      <c r="AL166" t="s" s="15">
        <v>115</v>
      </c>
      <c r="AM166" t="s" s="15">
        <v>196</v>
      </c>
      <c r="AN166" t="s" s="15">
        <v>566</v>
      </c>
      <c r="AO166" s="14"/>
      <c r="AP166" s="14"/>
      <c r="AQ166" s="14"/>
      <c r="AR166" s="14"/>
      <c r="AS166" t="s" s="15">
        <v>567</v>
      </c>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6"/>
      <c r="BP166" s="8"/>
    </row>
    <row r="167" ht="9" customHeight="1" hidden="1">
      <c r="A167" t="s" s="9">
        <v>568</v>
      </c>
      <c r="B167" t="s" s="10">
        <v>69</v>
      </c>
      <c r="C167" t="str" s="11" cm="1">
        <f t="array" ref="C167">_xlfn.IFERROR((VLOOKUP(A167,#REF!,2,FALSE)),"")</f>
      </c>
      <c r="D167" t="s" s="10">
        <v>70</v>
      </c>
      <c r="E167" t="s" s="10">
        <v>71</v>
      </c>
      <c r="F167" s="11"/>
      <c r="G167" t="s" s="10">
        <v>569</v>
      </c>
      <c r="H167" t="s" s="10">
        <v>570</v>
      </c>
      <c r="I167" t="s" s="10">
        <v>271</v>
      </c>
      <c r="J167" t="s" s="10">
        <v>74</v>
      </c>
      <c r="K167" t="s" s="10">
        <v>351</v>
      </c>
      <c r="L167" t="s" s="10">
        <v>76</v>
      </c>
      <c r="M167" t="s" s="10">
        <v>77</v>
      </c>
      <c r="N167" t="s" s="10">
        <v>571</v>
      </c>
      <c r="O167" t="s" s="10">
        <v>71</v>
      </c>
      <c r="P167" s="11"/>
      <c r="Q167" t="s" s="10">
        <v>78</v>
      </c>
      <c r="R167" t="s" s="10">
        <v>83</v>
      </c>
      <c r="S167" s="11"/>
      <c r="T167" s="11"/>
      <c r="U167" s="11"/>
      <c r="V167" t="s" s="10">
        <v>78</v>
      </c>
      <c r="W167" s="11"/>
      <c r="X167" t="s" s="10">
        <v>69</v>
      </c>
      <c r="Y167" s="11"/>
      <c r="Z167" t="s" s="10">
        <v>76</v>
      </c>
      <c r="AA167" s="11"/>
      <c r="AB167" t="s" s="10">
        <v>76</v>
      </c>
      <c r="AC167" s="11"/>
      <c r="AD167" s="11"/>
      <c r="AE167" s="11"/>
      <c r="AF167" s="11"/>
      <c r="AG167" s="11"/>
      <c r="AH167" t="s" s="10">
        <v>114</v>
      </c>
      <c r="AI167" t="s" s="10">
        <v>76</v>
      </c>
      <c r="AJ167" t="s" s="10">
        <v>76</v>
      </c>
      <c r="AK167" t="s" s="10">
        <v>79</v>
      </c>
      <c r="AL167" s="11"/>
      <c r="AM167" s="11"/>
      <c r="AN167" s="11"/>
      <c r="AO167" s="11"/>
      <c r="AP167" s="11"/>
      <c r="AQ167" s="11"/>
      <c r="AR167" s="11"/>
      <c r="AS167" s="11"/>
      <c r="AT167" s="11"/>
      <c r="AU167" s="11"/>
      <c r="AV167" s="11"/>
      <c r="AW167" s="11"/>
      <c r="AX167" s="11"/>
      <c r="AY167" s="11"/>
      <c r="AZ167" s="11"/>
      <c r="BA167" s="11"/>
      <c r="BB167" s="11"/>
      <c r="BC167" s="11"/>
      <c r="BD167" t="s" s="10">
        <v>118</v>
      </c>
      <c r="BE167" s="11"/>
      <c r="BF167" s="11"/>
      <c r="BG167" s="11"/>
      <c r="BH167" s="11"/>
      <c r="BI167" s="11"/>
      <c r="BJ167" s="11"/>
      <c r="BK167" s="11"/>
      <c r="BL167" s="11"/>
      <c r="BM167" s="11"/>
      <c r="BN167" s="11"/>
      <c r="BO167" s="12"/>
      <c r="BP167" s="8"/>
    </row>
    <row r="168" ht="9" customHeight="1" hidden="1">
      <c r="A168" t="s" s="13">
        <v>572</v>
      </c>
      <c r="B168" t="s" s="15">
        <v>69</v>
      </c>
      <c r="C168" t="str" s="14" cm="1">
        <f t="array" ref="C168">_xlfn.IFERROR((VLOOKUP(A168,#REF!,2,FALSE)),"")</f>
      </c>
      <c r="D168" t="s" s="15">
        <v>70</v>
      </c>
      <c r="E168" t="s" s="15">
        <v>71</v>
      </c>
      <c r="F168" s="14"/>
      <c r="G168" t="s" s="15">
        <v>569</v>
      </c>
      <c r="H168" t="s" s="15">
        <v>570</v>
      </c>
      <c r="I168" t="s" s="15">
        <v>271</v>
      </c>
      <c r="J168" t="s" s="15">
        <v>74</v>
      </c>
      <c r="K168" t="s" s="15">
        <v>351</v>
      </c>
      <c r="L168" t="s" s="15">
        <v>76</v>
      </c>
      <c r="M168" t="s" s="15">
        <v>77</v>
      </c>
      <c r="N168" t="s" s="15">
        <v>571</v>
      </c>
      <c r="O168" t="s" s="15">
        <v>71</v>
      </c>
      <c r="P168" s="14"/>
      <c r="Q168" t="s" s="15">
        <v>78</v>
      </c>
      <c r="R168" t="s" s="15">
        <v>83</v>
      </c>
      <c r="S168" s="14"/>
      <c r="T168" s="14"/>
      <c r="U168" s="14"/>
      <c r="V168" t="s" s="15">
        <v>78</v>
      </c>
      <c r="W168" s="14"/>
      <c r="X168" t="s" s="15">
        <v>69</v>
      </c>
      <c r="Y168" s="14"/>
      <c r="Z168" t="s" s="15">
        <v>76</v>
      </c>
      <c r="AA168" s="14"/>
      <c r="AB168" t="s" s="15">
        <v>76</v>
      </c>
      <c r="AC168" s="14"/>
      <c r="AD168" s="14"/>
      <c r="AE168" s="14"/>
      <c r="AF168" s="14"/>
      <c r="AG168" s="14"/>
      <c r="AH168" t="s" s="15">
        <v>114</v>
      </c>
      <c r="AI168" t="s" s="15">
        <v>76</v>
      </c>
      <c r="AJ168" t="s" s="15">
        <v>76</v>
      </c>
      <c r="AK168" t="s" s="15">
        <v>79</v>
      </c>
      <c r="AL168" s="14"/>
      <c r="AM168" s="14"/>
      <c r="AN168" s="14"/>
      <c r="AO168" s="14"/>
      <c r="AP168" s="14"/>
      <c r="AQ168" s="14"/>
      <c r="AR168" s="14"/>
      <c r="AS168" s="14"/>
      <c r="AT168" s="14"/>
      <c r="AU168" s="14"/>
      <c r="AV168" s="14"/>
      <c r="AW168" s="14"/>
      <c r="AX168" s="14"/>
      <c r="AY168" s="14"/>
      <c r="AZ168" s="14"/>
      <c r="BA168" s="14"/>
      <c r="BB168" s="14"/>
      <c r="BC168" s="14"/>
      <c r="BD168" t="s" s="15">
        <v>118</v>
      </c>
      <c r="BE168" s="14"/>
      <c r="BF168" s="14"/>
      <c r="BG168" s="14"/>
      <c r="BH168" s="14"/>
      <c r="BI168" s="14"/>
      <c r="BJ168" s="14"/>
      <c r="BK168" s="14"/>
      <c r="BL168" s="14"/>
      <c r="BM168" s="14"/>
      <c r="BN168" s="14"/>
      <c r="BO168" s="16"/>
      <c r="BP168" s="8"/>
    </row>
    <row r="169" ht="9" customHeight="1" hidden="1">
      <c r="A169" t="s" s="9">
        <v>573</v>
      </c>
      <c r="B169" t="s" s="10">
        <v>69</v>
      </c>
      <c r="C169" t="str" s="11" cm="1">
        <f t="array" ref="C169">_xlfn.IFERROR((VLOOKUP(A169,#REF!,2,FALSE)),"")</f>
      </c>
      <c r="D169" t="s" s="10">
        <v>70</v>
      </c>
      <c r="E169" t="s" s="10">
        <v>71</v>
      </c>
      <c r="F169" s="11"/>
      <c r="G169" t="s" s="10">
        <v>569</v>
      </c>
      <c r="H169" t="s" s="10">
        <v>570</v>
      </c>
      <c r="I169" t="s" s="10">
        <v>271</v>
      </c>
      <c r="J169" t="s" s="10">
        <v>74</v>
      </c>
      <c r="K169" t="s" s="10">
        <v>351</v>
      </c>
      <c r="L169" t="s" s="10">
        <v>76</v>
      </c>
      <c r="M169" t="s" s="10">
        <v>77</v>
      </c>
      <c r="N169" t="s" s="10">
        <v>571</v>
      </c>
      <c r="O169" t="s" s="10">
        <v>71</v>
      </c>
      <c r="P169" s="11"/>
      <c r="Q169" t="s" s="10">
        <v>78</v>
      </c>
      <c r="R169" t="s" s="10">
        <v>83</v>
      </c>
      <c r="S169" s="11"/>
      <c r="T169" s="11"/>
      <c r="U169" s="11"/>
      <c r="V169" t="s" s="10">
        <v>78</v>
      </c>
      <c r="W169" s="11"/>
      <c r="X169" t="s" s="10">
        <v>69</v>
      </c>
      <c r="Y169" s="11"/>
      <c r="Z169" t="s" s="10">
        <v>76</v>
      </c>
      <c r="AA169" s="11"/>
      <c r="AB169" t="s" s="10">
        <v>76</v>
      </c>
      <c r="AC169" s="11"/>
      <c r="AD169" s="11"/>
      <c r="AE169" s="11"/>
      <c r="AF169" s="11"/>
      <c r="AG169" s="11"/>
      <c r="AH169" t="s" s="10">
        <v>114</v>
      </c>
      <c r="AI169" t="s" s="10">
        <v>76</v>
      </c>
      <c r="AJ169" t="s" s="10">
        <v>76</v>
      </c>
      <c r="AK169" t="s" s="10">
        <v>79</v>
      </c>
      <c r="AL169" s="11"/>
      <c r="AM169" s="11"/>
      <c r="AN169" s="11"/>
      <c r="AO169" s="11"/>
      <c r="AP169" s="11"/>
      <c r="AQ169" s="11"/>
      <c r="AR169" s="11"/>
      <c r="AS169" s="11"/>
      <c r="AT169" s="11"/>
      <c r="AU169" s="11"/>
      <c r="AV169" s="11"/>
      <c r="AW169" s="11"/>
      <c r="AX169" s="11"/>
      <c r="AY169" s="11"/>
      <c r="AZ169" s="11"/>
      <c r="BA169" s="11"/>
      <c r="BB169" s="11"/>
      <c r="BC169" s="11"/>
      <c r="BD169" t="s" s="10">
        <v>118</v>
      </c>
      <c r="BE169" s="11"/>
      <c r="BF169" s="11"/>
      <c r="BG169" s="11"/>
      <c r="BH169" s="11"/>
      <c r="BI169" s="11"/>
      <c r="BJ169" s="11"/>
      <c r="BK169" s="11"/>
      <c r="BL169" s="11"/>
      <c r="BM169" s="11"/>
      <c r="BN169" s="11"/>
      <c r="BO169" s="12"/>
      <c r="BP169" s="8"/>
    </row>
    <row r="170" ht="9" customHeight="1" hidden="1">
      <c r="A170" t="s" s="13">
        <v>574</v>
      </c>
      <c r="B170" t="s" s="15">
        <v>69</v>
      </c>
      <c r="C170" t="str" s="14" cm="1">
        <f t="array" ref="C170">_xlfn.IFERROR((VLOOKUP(A170,#REF!,2,FALSE)),"")</f>
      </c>
      <c r="D170" t="s" s="15">
        <v>70</v>
      </c>
      <c r="E170" t="s" s="15">
        <v>71</v>
      </c>
      <c r="F170" s="14"/>
      <c r="G170" t="s" s="15">
        <v>575</v>
      </c>
      <c r="H170" t="s" s="15">
        <v>576</v>
      </c>
      <c r="I170" t="s" s="15">
        <v>271</v>
      </c>
      <c r="J170" t="s" s="15">
        <v>74</v>
      </c>
      <c r="K170" t="s" s="15">
        <v>210</v>
      </c>
      <c r="L170" t="s" s="15">
        <v>76</v>
      </c>
      <c r="M170" t="s" s="15">
        <v>77</v>
      </c>
      <c r="N170" t="s" s="15">
        <v>575</v>
      </c>
      <c r="O170" t="s" s="15">
        <v>71</v>
      </c>
      <c r="P170" s="14"/>
      <c r="Q170" t="s" s="15">
        <v>78</v>
      </c>
      <c r="R170" t="s" s="15">
        <v>83</v>
      </c>
      <c r="S170" s="14"/>
      <c r="T170" s="14"/>
      <c r="U170" s="14"/>
      <c r="V170" t="s" s="15">
        <v>78</v>
      </c>
      <c r="W170" s="14"/>
      <c r="X170" t="s" s="15">
        <v>69</v>
      </c>
      <c r="Y170" s="14"/>
      <c r="Z170" t="s" s="15">
        <v>76</v>
      </c>
      <c r="AA170" s="14"/>
      <c r="AB170" t="s" s="15">
        <v>76</v>
      </c>
      <c r="AC170" s="14"/>
      <c r="AD170" s="14"/>
      <c r="AE170" s="14"/>
      <c r="AF170" s="14"/>
      <c r="AG170" s="14"/>
      <c r="AH170" s="14"/>
      <c r="AI170" t="s" s="15">
        <v>76</v>
      </c>
      <c r="AJ170" t="s" s="15">
        <v>76</v>
      </c>
      <c r="AK170" t="s" s="15">
        <v>79</v>
      </c>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6"/>
      <c r="BP170" s="8"/>
    </row>
    <row r="171" ht="9" customHeight="1" hidden="1">
      <c r="A171" t="s" s="9">
        <v>577</v>
      </c>
      <c r="B171" t="s" s="10">
        <v>69</v>
      </c>
      <c r="C171" t="str" s="11" cm="1">
        <f t="array" ref="C171">_xlfn.IFERROR((VLOOKUP(A171,#REF!,2,FALSE)),"")</f>
      </c>
      <c r="D171" t="s" s="10">
        <v>70</v>
      </c>
      <c r="E171" t="s" s="10">
        <v>71</v>
      </c>
      <c r="F171" s="11"/>
      <c r="G171" t="s" s="10">
        <v>569</v>
      </c>
      <c r="H171" t="s" s="10">
        <v>570</v>
      </c>
      <c r="I171" t="s" s="10">
        <v>271</v>
      </c>
      <c r="J171" t="s" s="10">
        <v>74</v>
      </c>
      <c r="K171" t="s" s="10">
        <v>351</v>
      </c>
      <c r="L171" t="s" s="10">
        <v>76</v>
      </c>
      <c r="M171" t="s" s="10">
        <v>77</v>
      </c>
      <c r="N171" t="s" s="10">
        <v>571</v>
      </c>
      <c r="O171" t="s" s="10">
        <v>71</v>
      </c>
      <c r="P171" s="11"/>
      <c r="Q171" t="s" s="10">
        <v>78</v>
      </c>
      <c r="R171" t="s" s="10">
        <v>83</v>
      </c>
      <c r="S171" s="11"/>
      <c r="T171" s="11"/>
      <c r="U171" s="11"/>
      <c r="V171" t="s" s="10">
        <v>78</v>
      </c>
      <c r="W171" s="11"/>
      <c r="X171" t="s" s="10">
        <v>69</v>
      </c>
      <c r="Y171" s="11"/>
      <c r="Z171" t="s" s="10">
        <v>76</v>
      </c>
      <c r="AA171" s="11"/>
      <c r="AB171" t="s" s="10">
        <v>76</v>
      </c>
      <c r="AC171" s="11"/>
      <c r="AD171" s="11"/>
      <c r="AE171" s="11"/>
      <c r="AF171" s="11"/>
      <c r="AG171" s="11"/>
      <c r="AH171" t="s" s="10">
        <v>114</v>
      </c>
      <c r="AI171" t="s" s="10">
        <v>76</v>
      </c>
      <c r="AJ171" t="s" s="10">
        <v>76</v>
      </c>
      <c r="AK171" t="s" s="10">
        <v>79</v>
      </c>
      <c r="AL171" s="11"/>
      <c r="AM171" s="11"/>
      <c r="AN171" s="11"/>
      <c r="AO171" s="11"/>
      <c r="AP171" s="11"/>
      <c r="AQ171" s="11"/>
      <c r="AR171" s="11"/>
      <c r="AS171" s="11"/>
      <c r="AT171" s="11"/>
      <c r="AU171" s="11"/>
      <c r="AV171" s="11"/>
      <c r="AW171" s="11"/>
      <c r="AX171" s="11"/>
      <c r="AY171" s="11"/>
      <c r="AZ171" s="11"/>
      <c r="BA171" s="11"/>
      <c r="BB171" s="11"/>
      <c r="BC171" s="11"/>
      <c r="BD171" t="s" s="10">
        <v>118</v>
      </c>
      <c r="BE171" s="11"/>
      <c r="BF171" s="11"/>
      <c r="BG171" s="11"/>
      <c r="BH171" s="11"/>
      <c r="BI171" s="11"/>
      <c r="BJ171" s="11"/>
      <c r="BK171" s="11"/>
      <c r="BL171" s="11"/>
      <c r="BM171" s="11"/>
      <c r="BN171" s="11"/>
      <c r="BO171" s="12"/>
      <c r="BP171" s="8"/>
    </row>
    <row r="172" ht="9" customHeight="1" hidden="1">
      <c r="A172" t="s" s="13">
        <v>578</v>
      </c>
      <c r="B172" t="s" s="15">
        <v>69</v>
      </c>
      <c r="C172" t="str" s="14" cm="1">
        <f t="array" ref="C172">_xlfn.IFERROR((VLOOKUP(A172,#REF!,2,FALSE)),"")</f>
      </c>
      <c r="D172" t="s" s="15">
        <v>70</v>
      </c>
      <c r="E172" t="s" s="15">
        <v>71</v>
      </c>
      <c r="F172" s="14"/>
      <c r="G172" t="s" s="15">
        <v>575</v>
      </c>
      <c r="H172" t="s" s="15">
        <v>576</v>
      </c>
      <c r="I172" t="s" s="15">
        <v>271</v>
      </c>
      <c r="J172" t="s" s="15">
        <v>74</v>
      </c>
      <c r="K172" t="s" s="15">
        <v>210</v>
      </c>
      <c r="L172" t="s" s="15">
        <v>76</v>
      </c>
      <c r="M172" t="s" s="15">
        <v>77</v>
      </c>
      <c r="N172" t="s" s="15">
        <v>575</v>
      </c>
      <c r="O172" t="s" s="15">
        <v>71</v>
      </c>
      <c r="P172" s="14"/>
      <c r="Q172" t="s" s="15">
        <v>78</v>
      </c>
      <c r="R172" t="s" s="15">
        <v>83</v>
      </c>
      <c r="S172" s="14"/>
      <c r="T172" s="14"/>
      <c r="U172" s="14"/>
      <c r="V172" t="s" s="15">
        <v>78</v>
      </c>
      <c r="W172" s="14"/>
      <c r="X172" t="s" s="15">
        <v>69</v>
      </c>
      <c r="Y172" s="14"/>
      <c r="Z172" t="s" s="15">
        <v>76</v>
      </c>
      <c r="AA172" s="14"/>
      <c r="AB172" t="s" s="15">
        <v>76</v>
      </c>
      <c r="AC172" s="14"/>
      <c r="AD172" s="14"/>
      <c r="AE172" s="14"/>
      <c r="AF172" s="14"/>
      <c r="AG172" s="14"/>
      <c r="AH172" s="14"/>
      <c r="AI172" t="s" s="15">
        <v>76</v>
      </c>
      <c r="AJ172" t="s" s="15">
        <v>76</v>
      </c>
      <c r="AK172" t="s" s="15">
        <v>79</v>
      </c>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6"/>
      <c r="BP172" s="8"/>
    </row>
    <row r="173" ht="9" customHeight="1" hidden="1">
      <c r="A173" t="s" s="9">
        <v>579</v>
      </c>
      <c r="B173" t="s" s="10">
        <v>69</v>
      </c>
      <c r="C173" t="str" s="11" cm="1">
        <f t="array" ref="C173">_xlfn.IFERROR((VLOOKUP(A173,#REF!,2,FALSE)),"")</f>
      </c>
      <c r="D173" t="s" s="10">
        <v>70</v>
      </c>
      <c r="E173" t="s" s="10">
        <v>71</v>
      </c>
      <c r="F173" s="11"/>
      <c r="G173" t="s" s="10">
        <v>580</v>
      </c>
      <c r="H173" t="s" s="10">
        <v>580</v>
      </c>
      <c r="I173" t="s" s="10">
        <v>271</v>
      </c>
      <c r="J173" t="s" s="10">
        <v>74</v>
      </c>
      <c r="K173" t="s" s="10">
        <v>140</v>
      </c>
      <c r="L173" t="s" s="10">
        <v>76</v>
      </c>
      <c r="M173" t="s" s="10">
        <v>77</v>
      </c>
      <c r="N173" t="s" s="10">
        <v>580</v>
      </c>
      <c r="O173" t="s" s="10">
        <v>71</v>
      </c>
      <c r="P173" s="11"/>
      <c r="Q173" t="s" s="10">
        <v>78</v>
      </c>
      <c r="R173" t="s" s="10">
        <v>83</v>
      </c>
      <c r="S173" s="11"/>
      <c r="T173" s="11"/>
      <c r="U173" s="11"/>
      <c r="V173" t="s" s="10">
        <v>78</v>
      </c>
      <c r="W173" s="11"/>
      <c r="X173" t="s" s="10">
        <v>69</v>
      </c>
      <c r="Y173" s="11"/>
      <c r="Z173" t="s" s="10">
        <v>205</v>
      </c>
      <c r="AA173" s="11"/>
      <c r="AB173" t="s" s="10">
        <v>330</v>
      </c>
      <c r="AC173" s="11"/>
      <c r="AD173" s="11"/>
      <c r="AE173" s="11"/>
      <c r="AF173" s="11"/>
      <c r="AG173" s="11"/>
      <c r="AH173" s="11"/>
      <c r="AI173" t="s" s="10">
        <v>76</v>
      </c>
      <c r="AJ173" t="s" s="10">
        <v>76</v>
      </c>
      <c r="AK173" t="s" s="10">
        <v>79</v>
      </c>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2"/>
      <c r="BP173" s="8"/>
    </row>
    <row r="174" ht="9" customHeight="1" hidden="1">
      <c r="A174" t="s" s="13">
        <v>581</v>
      </c>
      <c r="B174" t="s" s="15">
        <v>69</v>
      </c>
      <c r="C174" t="str" s="14" cm="1">
        <f t="array" ref="C174">_xlfn.IFERROR((VLOOKUP(A174,#REF!,2,FALSE)),"")</f>
      </c>
      <c r="D174" t="s" s="15">
        <v>70</v>
      </c>
      <c r="E174" t="s" s="15">
        <v>71</v>
      </c>
      <c r="F174" s="14"/>
      <c r="G174" t="s" s="15">
        <v>569</v>
      </c>
      <c r="H174" t="s" s="15">
        <v>570</v>
      </c>
      <c r="I174" t="s" s="15">
        <v>271</v>
      </c>
      <c r="J174" t="s" s="15">
        <v>74</v>
      </c>
      <c r="K174" t="s" s="15">
        <v>351</v>
      </c>
      <c r="L174" t="s" s="15">
        <v>76</v>
      </c>
      <c r="M174" t="s" s="15">
        <v>77</v>
      </c>
      <c r="N174" t="s" s="15">
        <v>571</v>
      </c>
      <c r="O174" t="s" s="15">
        <v>71</v>
      </c>
      <c r="P174" s="14"/>
      <c r="Q174" t="s" s="15">
        <v>78</v>
      </c>
      <c r="R174" t="s" s="15">
        <v>83</v>
      </c>
      <c r="S174" s="14"/>
      <c r="T174" s="14"/>
      <c r="U174" s="14"/>
      <c r="V174" t="s" s="15">
        <v>78</v>
      </c>
      <c r="W174" s="14"/>
      <c r="X174" t="s" s="15">
        <v>69</v>
      </c>
      <c r="Y174" s="14"/>
      <c r="Z174" t="s" s="15">
        <v>76</v>
      </c>
      <c r="AA174" s="14"/>
      <c r="AB174" t="s" s="15">
        <v>76</v>
      </c>
      <c r="AC174" s="14"/>
      <c r="AD174" s="14"/>
      <c r="AE174" s="14"/>
      <c r="AF174" s="14"/>
      <c r="AG174" s="14"/>
      <c r="AH174" t="s" s="15">
        <v>114</v>
      </c>
      <c r="AI174" t="s" s="15">
        <v>76</v>
      </c>
      <c r="AJ174" t="s" s="15">
        <v>76</v>
      </c>
      <c r="AK174" t="s" s="15">
        <v>79</v>
      </c>
      <c r="AL174" s="14"/>
      <c r="AM174" s="14"/>
      <c r="AN174" s="14"/>
      <c r="AO174" s="14"/>
      <c r="AP174" s="14"/>
      <c r="AQ174" s="14"/>
      <c r="AR174" s="14"/>
      <c r="AS174" s="14"/>
      <c r="AT174" s="14"/>
      <c r="AU174" s="14"/>
      <c r="AV174" s="14"/>
      <c r="AW174" s="14"/>
      <c r="AX174" s="14"/>
      <c r="AY174" s="14"/>
      <c r="AZ174" s="14"/>
      <c r="BA174" s="14"/>
      <c r="BB174" s="14"/>
      <c r="BC174" s="14"/>
      <c r="BD174" t="s" s="15">
        <v>118</v>
      </c>
      <c r="BE174" s="14"/>
      <c r="BF174" s="14"/>
      <c r="BG174" s="14"/>
      <c r="BH174" s="14"/>
      <c r="BI174" s="14"/>
      <c r="BJ174" s="14"/>
      <c r="BK174" s="14"/>
      <c r="BL174" s="14"/>
      <c r="BM174" s="14"/>
      <c r="BN174" s="14"/>
      <c r="BO174" s="16"/>
      <c r="BP174" s="8"/>
    </row>
    <row r="175" ht="9" customHeight="1" hidden="1">
      <c r="A175" t="s" s="9">
        <v>582</v>
      </c>
      <c r="B175" s="11"/>
      <c r="C175" t="str" s="11" cm="1">
        <f t="array" ref="C175">_xlfn.IFERROR((VLOOKUP(A175,#REF!,2,FALSE)),"")</f>
      </c>
      <c r="D175" s="11"/>
      <c r="E175" s="11"/>
      <c r="F175" s="11"/>
      <c r="G175" t="s" s="10">
        <v>583</v>
      </c>
      <c r="H175" t="s" s="10">
        <v>434</v>
      </c>
      <c r="I175" t="s" s="10">
        <v>111</v>
      </c>
      <c r="J175" t="s" s="10">
        <v>122</v>
      </c>
      <c r="K175" t="s" s="10">
        <v>113</v>
      </c>
      <c r="L175" t="s" s="10">
        <v>435</v>
      </c>
      <c r="M175" t="s" s="10">
        <v>77</v>
      </c>
      <c r="N175" t="s" s="10">
        <v>583</v>
      </c>
      <c r="O175" s="11"/>
      <c r="P175" s="11"/>
      <c r="Q175" t="s" s="10">
        <v>78</v>
      </c>
      <c r="R175" t="s" s="10">
        <v>83</v>
      </c>
      <c r="S175" s="11"/>
      <c r="T175" s="11"/>
      <c r="U175" s="11"/>
      <c r="V175" t="s" s="10">
        <v>69</v>
      </c>
      <c r="W175" s="11"/>
      <c r="X175" t="s" s="10">
        <v>69</v>
      </c>
      <c r="Y175" s="11"/>
      <c r="Z175" t="s" s="10">
        <v>436</v>
      </c>
      <c r="AA175" s="11"/>
      <c r="AB175" t="s" s="10">
        <v>437</v>
      </c>
      <c r="AC175" s="11"/>
      <c r="AD175" s="11"/>
      <c r="AE175" t="s" s="10">
        <v>582</v>
      </c>
      <c r="AF175" s="11"/>
      <c r="AG175" t="s" s="10">
        <v>299</v>
      </c>
      <c r="AH175" t="s" s="10">
        <v>289</v>
      </c>
      <c r="AI175" t="s" s="10">
        <v>440</v>
      </c>
      <c r="AJ175" s="11"/>
      <c r="AK175" t="s" s="10">
        <v>83</v>
      </c>
      <c r="AL175" t="s" s="10">
        <v>115</v>
      </c>
      <c r="AM175" s="11"/>
      <c r="AN175" t="s" s="10">
        <v>441</v>
      </c>
      <c r="AO175" s="11"/>
      <c r="AP175" s="11"/>
      <c r="AQ175" s="11"/>
      <c r="AR175" s="11"/>
      <c r="AS175" t="s" s="10">
        <v>584</v>
      </c>
      <c r="AT175" t="s" s="10">
        <v>301</v>
      </c>
      <c r="AU175" s="11"/>
      <c r="AV175" s="11"/>
      <c r="AW175" t="s" s="10">
        <v>585</v>
      </c>
      <c r="AX175" s="11"/>
      <c r="AY175" s="11"/>
      <c r="AZ175" s="11"/>
      <c r="BA175" s="11"/>
      <c r="BB175" s="11"/>
      <c r="BC175" s="11"/>
      <c r="BD175" s="11"/>
      <c r="BE175" s="11"/>
      <c r="BF175" s="11"/>
      <c r="BG175" s="11"/>
      <c r="BH175" s="11"/>
      <c r="BI175" s="11"/>
      <c r="BJ175" s="11"/>
      <c r="BK175" s="11"/>
      <c r="BL175" s="11"/>
      <c r="BM175" s="11"/>
      <c r="BN175" s="11"/>
      <c r="BO175" s="12"/>
      <c r="BP175" s="8"/>
    </row>
    <row r="176" ht="15" customHeight="1" hidden="1">
      <c r="A176" t="s" s="13">
        <v>586</v>
      </c>
      <c r="B176" s="14"/>
      <c r="C176" t="str" s="14" cm="1">
        <f t="array" ref="C176">_xlfn.IFERROR((VLOOKUP(A176,#REF!,2,FALSE)),"")</f>
      </c>
      <c r="D176" s="14"/>
      <c r="E176" s="14"/>
      <c r="F176" s="14"/>
      <c r="G176" t="s" s="15">
        <v>587</v>
      </c>
      <c r="H176" t="s" s="15">
        <v>434</v>
      </c>
      <c r="I176" t="s" s="15">
        <v>111</v>
      </c>
      <c r="J176" t="s" s="15">
        <v>122</v>
      </c>
      <c r="K176" t="s" s="15">
        <v>140</v>
      </c>
      <c r="L176" t="s" s="15">
        <v>435</v>
      </c>
      <c r="M176" t="s" s="15">
        <v>77</v>
      </c>
      <c r="N176" t="s" s="15">
        <v>587</v>
      </c>
      <c r="O176" s="14"/>
      <c r="P176" s="14"/>
      <c r="Q176" t="s" s="15">
        <v>78</v>
      </c>
      <c r="R176" t="s" s="15">
        <v>83</v>
      </c>
      <c r="S176" s="14"/>
      <c r="T176" s="14"/>
      <c r="U176" s="14"/>
      <c r="V176" t="s" s="15">
        <v>69</v>
      </c>
      <c r="W176" s="14"/>
      <c r="X176" t="s" s="15">
        <v>69</v>
      </c>
      <c r="Y176" s="14"/>
      <c r="Z176" t="s" s="15">
        <v>436</v>
      </c>
      <c r="AA176" s="14"/>
      <c r="AB176" t="s" s="15">
        <v>437</v>
      </c>
      <c r="AC176" s="14"/>
      <c r="AD176" s="14"/>
      <c r="AE176" t="s" s="15">
        <v>586</v>
      </c>
      <c r="AF176" s="14"/>
      <c r="AG176" t="s" s="15">
        <v>299</v>
      </c>
      <c r="AH176" t="s" s="15">
        <v>289</v>
      </c>
      <c r="AI176" t="s" s="15">
        <v>440</v>
      </c>
      <c r="AJ176" s="14"/>
      <c r="AK176" t="s" s="15">
        <v>83</v>
      </c>
      <c r="AL176" t="s" s="15">
        <v>115</v>
      </c>
      <c r="AM176" s="14"/>
      <c r="AN176" t="s" s="15">
        <v>588</v>
      </c>
      <c r="AO176" s="14"/>
      <c r="AP176" s="14"/>
      <c r="AQ176" s="14"/>
      <c r="AR176" s="14"/>
      <c r="AS176" t="s" s="15">
        <v>589</v>
      </c>
      <c r="AT176" t="s" s="15">
        <v>301</v>
      </c>
      <c r="AU176" s="14"/>
      <c r="AV176" s="14"/>
      <c r="AW176" t="s" s="15">
        <v>590</v>
      </c>
      <c r="AX176" s="14"/>
      <c r="AY176" s="14"/>
      <c r="AZ176" s="14"/>
      <c r="BA176" s="14"/>
      <c r="BB176" s="14"/>
      <c r="BC176" s="14"/>
      <c r="BD176" s="14"/>
      <c r="BE176" s="14"/>
      <c r="BF176" s="14"/>
      <c r="BG176" s="14"/>
      <c r="BH176" s="14"/>
      <c r="BI176" s="14"/>
      <c r="BJ176" s="14"/>
      <c r="BK176" s="14"/>
      <c r="BL176" s="14"/>
      <c r="BM176" s="14"/>
      <c r="BN176" s="14"/>
      <c r="BO176" s="16"/>
      <c r="BP176" s="8"/>
    </row>
    <row r="177" ht="9" customHeight="1" hidden="1">
      <c r="A177" t="s" s="9">
        <v>591</v>
      </c>
      <c r="B177" t="s" s="10">
        <v>69</v>
      </c>
      <c r="C177" t="str" s="11" cm="1">
        <f t="array" ref="C177">_xlfn.IFERROR((VLOOKUP(A177,#REF!,2,FALSE)),"")</f>
      </c>
      <c r="D177" t="s" s="10">
        <v>70</v>
      </c>
      <c r="E177" t="s" s="10">
        <v>71</v>
      </c>
      <c r="F177" s="11"/>
      <c r="G177" t="s" s="10">
        <v>592</v>
      </c>
      <c r="H177" t="s" s="10">
        <v>593</v>
      </c>
      <c r="I177" t="s" s="10">
        <v>73</v>
      </c>
      <c r="J177" t="s" s="10">
        <v>74</v>
      </c>
      <c r="K177" t="s" s="10">
        <v>140</v>
      </c>
      <c r="L177" t="s" s="10">
        <v>76</v>
      </c>
      <c r="M177" t="s" s="10">
        <v>77</v>
      </c>
      <c r="N177" t="s" s="10">
        <v>592</v>
      </c>
      <c r="O177" t="s" s="10">
        <v>71</v>
      </c>
      <c r="P177" s="11"/>
      <c r="Q177" t="s" s="10">
        <v>78</v>
      </c>
      <c r="R177" t="s" s="10">
        <v>71</v>
      </c>
      <c r="S177" s="11"/>
      <c r="T177" s="11"/>
      <c r="U177" s="11"/>
      <c r="V177" t="s" s="10">
        <v>78</v>
      </c>
      <c r="W177" t="s" s="10">
        <v>591</v>
      </c>
      <c r="X177" t="s" s="10">
        <v>69</v>
      </c>
      <c r="Y177" s="11"/>
      <c r="Z177" t="s" s="10">
        <v>76</v>
      </c>
      <c r="AA177" s="11"/>
      <c r="AB177" t="s" s="10">
        <v>76</v>
      </c>
      <c r="AC177" s="11"/>
      <c r="AD177" s="11"/>
      <c r="AE177" s="11"/>
      <c r="AF177" s="11"/>
      <c r="AG177" s="11"/>
      <c r="AH177" s="11"/>
      <c r="AI177" t="s" s="10">
        <v>76</v>
      </c>
      <c r="AJ177" t="s" s="10">
        <v>76</v>
      </c>
      <c r="AK177" t="s" s="10">
        <v>79</v>
      </c>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2"/>
      <c r="BP177" s="8"/>
    </row>
    <row r="178" ht="9" customHeight="1" hidden="1">
      <c r="A178" t="s" s="13">
        <v>594</v>
      </c>
      <c r="B178" t="s" s="15">
        <v>69</v>
      </c>
      <c r="C178" t="str" s="14" cm="1">
        <f t="array" ref="C178">_xlfn.IFERROR((VLOOKUP(A178,#REF!,2,FALSE)),"")</f>
      </c>
      <c r="D178" t="s" s="15">
        <v>70</v>
      </c>
      <c r="E178" t="s" s="15">
        <v>71</v>
      </c>
      <c r="F178" s="14"/>
      <c r="G178" t="s" s="15">
        <v>595</v>
      </c>
      <c r="H178" t="s" s="15">
        <v>595</v>
      </c>
      <c r="I178" t="s" s="15">
        <v>73</v>
      </c>
      <c r="J178" t="s" s="15">
        <v>74</v>
      </c>
      <c r="K178" t="s" s="15">
        <v>127</v>
      </c>
      <c r="L178" t="s" s="15">
        <v>76</v>
      </c>
      <c r="M178" t="s" s="15">
        <v>77</v>
      </c>
      <c r="N178" t="s" s="15">
        <v>595</v>
      </c>
      <c r="O178" t="s" s="15">
        <v>71</v>
      </c>
      <c r="P178" s="14"/>
      <c r="Q178" t="s" s="15">
        <v>78</v>
      </c>
      <c r="R178" t="s" s="15">
        <v>71</v>
      </c>
      <c r="S178" s="14"/>
      <c r="T178" s="14"/>
      <c r="U178" s="14"/>
      <c r="V178" t="s" s="15">
        <v>78</v>
      </c>
      <c r="W178" t="s" s="15">
        <v>594</v>
      </c>
      <c r="X178" t="s" s="15">
        <v>69</v>
      </c>
      <c r="Y178" s="14"/>
      <c r="Z178" t="s" s="15">
        <v>76</v>
      </c>
      <c r="AA178" s="14"/>
      <c r="AB178" t="s" s="15">
        <v>76</v>
      </c>
      <c r="AC178" s="14"/>
      <c r="AD178" s="14"/>
      <c r="AE178" s="14"/>
      <c r="AF178" s="14"/>
      <c r="AG178" s="14"/>
      <c r="AH178" s="14"/>
      <c r="AI178" t="s" s="15">
        <v>76</v>
      </c>
      <c r="AJ178" t="s" s="15">
        <v>76</v>
      </c>
      <c r="AK178" t="s" s="15">
        <v>79</v>
      </c>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6"/>
      <c r="BP178" s="8"/>
    </row>
    <row r="179" ht="9" customHeight="1" hidden="1">
      <c r="A179" t="s" s="9">
        <v>596</v>
      </c>
      <c r="B179" s="11"/>
      <c r="C179" t="str" s="11" cm="1">
        <f t="array" ref="C179">_xlfn.IFERROR((VLOOKUP(A179,#REF!,2,FALSE)),"")</f>
      </c>
      <c r="D179" s="11"/>
      <c r="E179" t="s" s="10">
        <v>369</v>
      </c>
      <c r="F179" s="11"/>
      <c r="G179" t="s" s="10">
        <v>534</v>
      </c>
      <c r="H179" t="s" s="10">
        <v>534</v>
      </c>
      <c r="I179" t="s" s="10">
        <v>111</v>
      </c>
      <c r="J179" t="s" s="10">
        <v>122</v>
      </c>
      <c r="K179" t="s" s="10">
        <v>140</v>
      </c>
      <c r="L179" t="s" s="10">
        <v>76</v>
      </c>
      <c r="M179" t="s" s="10">
        <v>77</v>
      </c>
      <c r="N179" t="s" s="10">
        <v>534</v>
      </c>
      <c r="O179" s="11"/>
      <c r="P179" s="11"/>
      <c r="Q179" t="s" s="10">
        <v>69</v>
      </c>
      <c r="R179" t="s" s="10">
        <v>83</v>
      </c>
      <c r="S179" s="11"/>
      <c r="T179" s="11"/>
      <c r="U179" s="11"/>
      <c r="V179" t="s" s="10">
        <v>69</v>
      </c>
      <c r="W179" s="11"/>
      <c r="X179" t="s" s="10">
        <v>69</v>
      </c>
      <c r="Y179" s="11"/>
      <c r="Z179" t="s" s="10">
        <v>76</v>
      </c>
      <c r="AA179" s="11"/>
      <c r="AB179" t="s" s="10">
        <v>76</v>
      </c>
      <c r="AC179" t="s" s="10">
        <v>596</v>
      </c>
      <c r="AD179" s="11"/>
      <c r="AE179" s="11"/>
      <c r="AF179" s="11"/>
      <c r="AG179" t="s" s="10">
        <v>299</v>
      </c>
      <c r="AH179" t="s" s="10">
        <v>106</v>
      </c>
      <c r="AI179" t="s" s="10">
        <v>76</v>
      </c>
      <c r="AJ179" t="s" s="10">
        <v>76</v>
      </c>
      <c r="AK179" t="s" s="10">
        <v>79</v>
      </c>
      <c r="AL179" s="11"/>
      <c r="AM179" s="11"/>
      <c r="AN179" t="s" s="10">
        <v>128</v>
      </c>
      <c r="AO179" s="11"/>
      <c r="AP179" s="11"/>
      <c r="AQ179" s="11"/>
      <c r="AR179" s="11"/>
      <c r="AS179" t="s" s="10">
        <v>597</v>
      </c>
      <c r="AT179" t="s" s="10">
        <v>301</v>
      </c>
      <c r="AU179" s="11"/>
      <c r="AV179" s="11"/>
      <c r="AW179" s="11"/>
      <c r="AX179" s="11"/>
      <c r="AY179" s="11"/>
      <c r="AZ179" s="11"/>
      <c r="BA179" s="11"/>
      <c r="BB179" s="11"/>
      <c r="BC179" s="11"/>
      <c r="BD179" s="11"/>
      <c r="BE179" s="11"/>
      <c r="BF179" s="11"/>
      <c r="BG179" s="11"/>
      <c r="BH179" s="11"/>
      <c r="BI179" s="11"/>
      <c r="BJ179" s="11"/>
      <c r="BK179" s="11"/>
      <c r="BL179" s="11"/>
      <c r="BM179" s="11"/>
      <c r="BN179" s="11"/>
      <c r="BO179" s="12"/>
      <c r="BP179" s="8"/>
    </row>
    <row r="180" ht="9" customHeight="1" hidden="1">
      <c r="A180" t="s" s="13">
        <v>598</v>
      </c>
      <c r="B180" t="s" s="15">
        <v>69</v>
      </c>
      <c r="C180" t="str" s="14" cm="1">
        <f t="array" ref="C180">_xlfn.IFERROR((VLOOKUP(A180,#REF!,2,FALSE)),"")</f>
      </c>
      <c r="D180" t="s" s="15">
        <v>70</v>
      </c>
      <c r="E180" t="s" s="15">
        <v>71</v>
      </c>
      <c r="F180" s="14"/>
      <c r="G180" t="s" s="15">
        <v>599</v>
      </c>
      <c r="H180" t="s" s="15">
        <v>599</v>
      </c>
      <c r="I180" t="s" s="15">
        <v>73</v>
      </c>
      <c r="J180" t="s" s="15">
        <v>74</v>
      </c>
      <c r="K180" t="s" s="15">
        <v>140</v>
      </c>
      <c r="L180" t="s" s="15">
        <v>76</v>
      </c>
      <c r="M180" t="s" s="15">
        <v>77</v>
      </c>
      <c r="N180" t="s" s="15">
        <v>599</v>
      </c>
      <c r="O180" t="s" s="15">
        <v>71</v>
      </c>
      <c r="P180" s="14"/>
      <c r="Q180" t="s" s="15">
        <v>78</v>
      </c>
      <c r="R180" t="s" s="15">
        <v>71</v>
      </c>
      <c r="S180" s="14"/>
      <c r="T180" s="14"/>
      <c r="U180" s="14"/>
      <c r="V180" t="s" s="15">
        <v>78</v>
      </c>
      <c r="W180" t="s" s="15">
        <v>598</v>
      </c>
      <c r="X180" t="s" s="15">
        <v>69</v>
      </c>
      <c r="Y180" s="14"/>
      <c r="Z180" t="s" s="15">
        <v>76</v>
      </c>
      <c r="AA180" s="14"/>
      <c r="AB180" t="s" s="15">
        <v>76</v>
      </c>
      <c r="AC180" s="14"/>
      <c r="AD180" s="14"/>
      <c r="AE180" s="14"/>
      <c r="AF180" s="14"/>
      <c r="AG180" s="14"/>
      <c r="AH180" s="14"/>
      <c r="AI180" t="s" s="15">
        <v>76</v>
      </c>
      <c r="AJ180" t="s" s="15">
        <v>76</v>
      </c>
      <c r="AK180" t="s" s="15">
        <v>79</v>
      </c>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6"/>
      <c r="BP180" s="8"/>
    </row>
    <row r="181" ht="15" customHeight="1" hidden="1">
      <c r="A181" t="s" s="9">
        <v>600</v>
      </c>
      <c r="B181" s="11"/>
      <c r="C181" t="str" s="11" cm="1">
        <f t="array" ref="C181">_xlfn.IFERROR((VLOOKUP(A181,#REF!,2,FALSE)),"")</f>
      </c>
      <c r="D181" s="11"/>
      <c r="E181" t="s" s="10">
        <v>601</v>
      </c>
      <c r="F181" s="11"/>
      <c r="G181" t="s" s="10">
        <v>602</v>
      </c>
      <c r="H181" t="s" s="10">
        <v>603</v>
      </c>
      <c r="I181" t="s" s="10">
        <v>111</v>
      </c>
      <c r="J181" t="s" s="10">
        <v>122</v>
      </c>
      <c r="K181" t="s" s="10">
        <v>140</v>
      </c>
      <c r="L181" t="s" s="10">
        <v>76</v>
      </c>
      <c r="M181" t="s" s="10">
        <v>77</v>
      </c>
      <c r="N181" t="s" s="10">
        <v>602</v>
      </c>
      <c r="O181" s="11"/>
      <c r="P181" s="11"/>
      <c r="Q181" t="s" s="10">
        <v>69</v>
      </c>
      <c r="R181" t="s" s="10">
        <v>83</v>
      </c>
      <c r="S181" s="11"/>
      <c r="T181" s="11"/>
      <c r="U181" s="11"/>
      <c r="V181" t="s" s="10">
        <v>69</v>
      </c>
      <c r="W181" s="11"/>
      <c r="X181" t="s" s="10">
        <v>69</v>
      </c>
      <c r="Y181" s="11"/>
      <c r="Z181" t="s" s="10">
        <v>76</v>
      </c>
      <c r="AA181" s="11"/>
      <c r="AB181" t="s" s="10">
        <v>76</v>
      </c>
      <c r="AC181" t="s" s="10">
        <v>600</v>
      </c>
      <c r="AD181" s="11"/>
      <c r="AE181" s="11"/>
      <c r="AF181" s="11"/>
      <c r="AG181" t="s" s="10">
        <v>299</v>
      </c>
      <c r="AH181" t="s" s="10">
        <v>114</v>
      </c>
      <c r="AI181" t="s" s="10">
        <v>604</v>
      </c>
      <c r="AJ181" s="11"/>
      <c r="AK181" t="s" s="10">
        <v>83</v>
      </c>
      <c r="AL181" t="s" s="10">
        <v>115</v>
      </c>
      <c r="AM181" s="11"/>
      <c r="AN181" t="s" s="10">
        <v>605</v>
      </c>
      <c r="AO181" s="11"/>
      <c r="AP181" s="11"/>
      <c r="AQ181" s="11"/>
      <c r="AR181" s="11"/>
      <c r="AS181" t="s" s="10">
        <v>606</v>
      </c>
      <c r="AT181" t="s" s="10">
        <v>301</v>
      </c>
      <c r="AU181" s="11"/>
      <c r="AV181" s="11"/>
      <c r="AW181" s="11"/>
      <c r="AX181" s="11"/>
      <c r="AY181" s="11"/>
      <c r="AZ181" s="11"/>
      <c r="BA181" s="11"/>
      <c r="BB181" s="11"/>
      <c r="BC181" s="11"/>
      <c r="BD181" t="s" s="10">
        <v>118</v>
      </c>
      <c r="BE181" s="11"/>
      <c r="BF181" s="11"/>
      <c r="BG181" s="11"/>
      <c r="BH181" s="11"/>
      <c r="BI181" s="11"/>
      <c r="BJ181" s="11"/>
      <c r="BK181" s="11"/>
      <c r="BL181" s="11"/>
      <c r="BM181" s="11"/>
      <c r="BN181" s="11"/>
      <c r="BO181" s="12"/>
      <c r="BP181" s="8"/>
    </row>
    <row r="182" ht="9" customHeight="1" hidden="1">
      <c r="A182" t="s" s="13">
        <v>607</v>
      </c>
      <c r="B182" s="14"/>
      <c r="C182" t="str" s="14" cm="1">
        <f t="array" ref="C182">_xlfn.IFERROR((VLOOKUP(A182,#REF!,2,FALSE)),"")</f>
      </c>
      <c r="D182" s="14"/>
      <c r="E182" s="14"/>
      <c r="F182" s="14"/>
      <c r="G182" t="s" s="15">
        <v>608</v>
      </c>
      <c r="H182" t="s" s="15">
        <v>609</v>
      </c>
      <c r="I182" t="s" s="15">
        <v>271</v>
      </c>
      <c r="J182" t="s" s="15">
        <v>74</v>
      </c>
      <c r="K182" t="s" s="15">
        <v>210</v>
      </c>
      <c r="L182" t="s" s="15">
        <v>76</v>
      </c>
      <c r="M182" t="s" s="15">
        <v>77</v>
      </c>
      <c r="N182" t="s" s="15">
        <v>608</v>
      </c>
      <c r="O182" s="14"/>
      <c r="P182" s="14"/>
      <c r="Q182" t="s" s="15">
        <v>69</v>
      </c>
      <c r="R182" t="s" s="15">
        <v>339</v>
      </c>
      <c r="S182" s="14"/>
      <c r="T182" s="14"/>
      <c r="U182" s="14"/>
      <c r="V182" t="s" s="15">
        <v>69</v>
      </c>
      <c r="W182" s="14"/>
      <c r="X182" t="s" s="15">
        <v>69</v>
      </c>
      <c r="Y182" s="14"/>
      <c r="Z182" t="s" s="15">
        <v>76</v>
      </c>
      <c r="AA182" s="14"/>
      <c r="AB182" t="s" s="15">
        <v>76</v>
      </c>
      <c r="AC182" t="s" s="15">
        <v>607</v>
      </c>
      <c r="AD182" s="14"/>
      <c r="AE182" s="14"/>
      <c r="AF182" s="14"/>
      <c r="AG182" s="14"/>
      <c r="AH182" t="s" s="15">
        <v>106</v>
      </c>
      <c r="AI182" t="s" s="15">
        <v>76</v>
      </c>
      <c r="AJ182" t="s" s="15">
        <v>76</v>
      </c>
      <c r="AK182" t="s" s="15">
        <v>79</v>
      </c>
      <c r="AL182" t="s" s="15">
        <v>115</v>
      </c>
      <c r="AM182" s="14"/>
      <c r="AN182" t="s" s="15">
        <v>116</v>
      </c>
      <c r="AO182" s="14"/>
      <c r="AP182" s="14"/>
      <c r="AQ182" s="14"/>
      <c r="AR182" s="14"/>
      <c r="AS182" t="s" s="15">
        <v>610</v>
      </c>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6"/>
      <c r="BP182" s="8"/>
    </row>
    <row r="183" ht="9" customHeight="1" hidden="1">
      <c r="A183" t="s" s="9">
        <v>611</v>
      </c>
      <c r="B183" s="11"/>
      <c r="C183" t="str" s="11" cm="1">
        <f t="array" ref="C183">_xlfn.IFERROR((VLOOKUP(A183,#REF!,2,FALSE)),"")</f>
      </c>
      <c r="D183" s="11"/>
      <c r="E183" t="s" s="10">
        <v>612</v>
      </c>
      <c r="F183" s="11"/>
      <c r="G183" t="s" s="10">
        <v>613</v>
      </c>
      <c r="H183" t="s" s="10">
        <v>614</v>
      </c>
      <c r="I183" t="s" s="10">
        <v>111</v>
      </c>
      <c r="J183" t="s" s="10">
        <v>122</v>
      </c>
      <c r="K183" t="s" s="10">
        <v>351</v>
      </c>
      <c r="L183" t="s" s="10">
        <v>76</v>
      </c>
      <c r="M183" t="s" s="10">
        <v>77</v>
      </c>
      <c r="N183" t="s" s="10">
        <v>613</v>
      </c>
      <c r="O183" s="11"/>
      <c r="P183" s="11"/>
      <c r="Q183" t="s" s="10">
        <v>69</v>
      </c>
      <c r="R183" t="s" s="10">
        <v>83</v>
      </c>
      <c r="S183" s="11"/>
      <c r="T183" s="11"/>
      <c r="U183" s="11"/>
      <c r="V183" t="s" s="10">
        <v>69</v>
      </c>
      <c r="W183" s="11"/>
      <c r="X183" t="s" s="10">
        <v>69</v>
      </c>
      <c r="Y183" s="11"/>
      <c r="Z183" t="s" s="10">
        <v>76</v>
      </c>
      <c r="AA183" s="11"/>
      <c r="AB183" t="s" s="10">
        <v>324</v>
      </c>
      <c r="AC183" t="s" s="10">
        <v>611</v>
      </c>
      <c r="AD183" s="11"/>
      <c r="AE183" s="11"/>
      <c r="AF183" t="s" s="10">
        <v>614</v>
      </c>
      <c r="AG183" t="s" s="10">
        <v>299</v>
      </c>
      <c r="AH183" t="s" s="10">
        <v>114</v>
      </c>
      <c r="AI183" t="s" s="10">
        <v>332</v>
      </c>
      <c r="AJ183" t="s" s="10">
        <v>523</v>
      </c>
      <c r="AK183" t="s" s="10">
        <v>83</v>
      </c>
      <c r="AL183" t="s" s="10">
        <v>115</v>
      </c>
      <c r="AM183" s="11"/>
      <c r="AN183" t="s" s="10">
        <v>128</v>
      </c>
      <c r="AO183" s="11"/>
      <c r="AP183" s="11"/>
      <c r="AQ183" s="11"/>
      <c r="AR183" s="11"/>
      <c r="AS183" t="s" s="10">
        <v>615</v>
      </c>
      <c r="AT183" t="s" s="10">
        <v>301</v>
      </c>
      <c r="AU183" s="11"/>
      <c r="AV183" s="11"/>
      <c r="AW183" s="11"/>
      <c r="AX183" s="11"/>
      <c r="AY183" s="11"/>
      <c r="AZ183" s="11"/>
      <c r="BA183" s="11"/>
      <c r="BB183" s="11"/>
      <c r="BC183" s="11"/>
      <c r="BD183" t="s" s="10">
        <v>118</v>
      </c>
      <c r="BE183" s="11"/>
      <c r="BF183" s="11"/>
      <c r="BG183" s="11"/>
      <c r="BH183" s="11"/>
      <c r="BI183" s="11"/>
      <c r="BJ183" s="11"/>
      <c r="BK183" s="11"/>
      <c r="BL183" s="11"/>
      <c r="BM183" s="11"/>
      <c r="BN183" s="11"/>
      <c r="BO183" s="12"/>
      <c r="BP183" s="8"/>
    </row>
    <row r="184" ht="15" customHeight="1" hidden="1">
      <c r="A184" t="s" s="13">
        <v>616</v>
      </c>
      <c r="B184" s="14"/>
      <c r="C184" t="str" s="14" cm="1">
        <f t="array" ref="C184">_xlfn.IFERROR((VLOOKUP(A184,#REF!,2,FALSE)),"")</f>
      </c>
      <c r="D184" s="14"/>
      <c r="E184" t="s" s="15">
        <v>617</v>
      </c>
      <c r="F184" s="14"/>
      <c r="G184" t="s" s="15">
        <v>411</v>
      </c>
      <c r="H184" t="s" s="15">
        <v>404</v>
      </c>
      <c r="I184" t="s" s="15">
        <v>111</v>
      </c>
      <c r="J184" t="s" s="15">
        <v>122</v>
      </c>
      <c r="K184" t="s" s="15">
        <v>351</v>
      </c>
      <c r="L184" t="s" s="15">
        <v>76</v>
      </c>
      <c r="M184" t="s" s="15">
        <v>77</v>
      </c>
      <c r="N184" t="s" s="15">
        <v>411</v>
      </c>
      <c r="O184" t="s" s="15">
        <v>286</v>
      </c>
      <c r="P184" s="14"/>
      <c r="Q184" t="s" s="15">
        <v>78</v>
      </c>
      <c r="R184" t="s" s="15">
        <v>323</v>
      </c>
      <c r="S184" s="14"/>
      <c r="T184" s="14"/>
      <c r="U184" s="14"/>
      <c r="V184" t="s" s="15">
        <v>78</v>
      </c>
      <c r="W184" s="14"/>
      <c r="X184" t="s" s="15">
        <v>69</v>
      </c>
      <c r="Y184" s="14"/>
      <c r="Z184" t="s" s="15">
        <v>76</v>
      </c>
      <c r="AA184" s="14"/>
      <c r="AB184" t="s" s="15">
        <v>324</v>
      </c>
      <c r="AC184" s="14"/>
      <c r="AD184" s="14"/>
      <c r="AE184" s="14"/>
      <c r="AF184" t="s" s="15">
        <v>404</v>
      </c>
      <c r="AG184" t="s" s="15">
        <v>299</v>
      </c>
      <c r="AH184" t="s" s="15">
        <v>114</v>
      </c>
      <c r="AI184" t="s" s="15">
        <v>332</v>
      </c>
      <c r="AJ184" t="s" s="15">
        <v>405</v>
      </c>
      <c r="AK184" t="s" s="15">
        <v>83</v>
      </c>
      <c r="AL184" t="s" s="15">
        <v>115</v>
      </c>
      <c r="AM184" s="14"/>
      <c r="AN184" s="14"/>
      <c r="AO184" s="14"/>
      <c r="AP184" s="14"/>
      <c r="AQ184" s="14"/>
      <c r="AR184" s="14"/>
      <c r="AS184" t="s" s="15">
        <v>618</v>
      </c>
      <c r="AT184" t="s" s="15">
        <v>301</v>
      </c>
      <c r="AU184" s="14"/>
      <c r="AV184" s="14"/>
      <c r="AW184" s="14"/>
      <c r="AX184" s="14"/>
      <c r="AY184" s="14"/>
      <c r="AZ184" s="14"/>
      <c r="BA184" s="14"/>
      <c r="BB184" s="14"/>
      <c r="BC184" s="14"/>
      <c r="BD184" t="s" s="15">
        <v>118</v>
      </c>
      <c r="BE184" s="14"/>
      <c r="BF184" s="14"/>
      <c r="BG184" s="14"/>
      <c r="BH184" s="14"/>
      <c r="BI184" s="14"/>
      <c r="BJ184" s="14"/>
      <c r="BK184" s="14"/>
      <c r="BL184" s="14"/>
      <c r="BM184" s="14"/>
      <c r="BN184" s="14"/>
      <c r="BO184" t="s" s="21">
        <v>115</v>
      </c>
      <c r="BP184" s="8"/>
    </row>
    <row r="185" ht="9" customHeight="1" hidden="1">
      <c r="A185" t="s" s="9">
        <v>619</v>
      </c>
      <c r="B185" s="11"/>
      <c r="C185" t="str" s="11" cm="1">
        <f t="array" ref="C185">_xlfn.IFERROR((VLOOKUP(A185,#REF!,2,FALSE)),"")</f>
      </c>
      <c r="D185" t="s" s="10">
        <v>70</v>
      </c>
      <c r="E185" t="s" s="10">
        <v>620</v>
      </c>
      <c r="F185" s="11"/>
      <c r="G185" t="s" s="10">
        <v>621</v>
      </c>
      <c r="H185" t="s" s="10">
        <v>622</v>
      </c>
      <c r="I185" t="s" s="10">
        <v>271</v>
      </c>
      <c r="J185" t="s" s="10">
        <v>74</v>
      </c>
      <c r="K185" t="s" s="10">
        <v>210</v>
      </c>
      <c r="L185" t="s" s="10">
        <v>76</v>
      </c>
      <c r="M185" t="s" s="10">
        <v>77</v>
      </c>
      <c r="N185" t="s" s="10">
        <v>621</v>
      </c>
      <c r="O185" t="s" s="10">
        <v>71</v>
      </c>
      <c r="P185" s="11"/>
      <c r="Q185" t="s" s="10">
        <v>69</v>
      </c>
      <c r="R185" t="s" s="10">
        <v>339</v>
      </c>
      <c r="S185" s="11"/>
      <c r="T185" s="11"/>
      <c r="U185" s="11"/>
      <c r="V185" t="s" s="10">
        <v>69</v>
      </c>
      <c r="W185" s="11"/>
      <c r="X185" t="s" s="10">
        <v>69</v>
      </c>
      <c r="Y185" s="11"/>
      <c r="Z185" t="s" s="10">
        <v>76</v>
      </c>
      <c r="AA185" s="11"/>
      <c r="AB185" t="s" s="10">
        <v>76</v>
      </c>
      <c r="AC185" t="s" s="10">
        <v>619</v>
      </c>
      <c r="AD185" s="11"/>
      <c r="AE185" s="11"/>
      <c r="AF185" s="11"/>
      <c r="AG185" t="s" s="10">
        <v>299</v>
      </c>
      <c r="AH185" t="s" s="10">
        <v>106</v>
      </c>
      <c r="AI185" t="s" s="10">
        <v>76</v>
      </c>
      <c r="AJ185" t="s" s="10">
        <v>76</v>
      </c>
      <c r="AK185" t="s" s="10">
        <v>79</v>
      </c>
      <c r="AL185" t="s" s="10">
        <v>115</v>
      </c>
      <c r="AM185" s="11"/>
      <c r="AN185" t="s" s="10">
        <v>116</v>
      </c>
      <c r="AO185" s="11"/>
      <c r="AP185" s="11"/>
      <c r="AQ185" s="11"/>
      <c r="AR185" s="11"/>
      <c r="AS185" t="s" s="10">
        <v>623</v>
      </c>
      <c r="AT185" t="s" s="10">
        <v>301</v>
      </c>
      <c r="AU185" s="11"/>
      <c r="AV185" s="11"/>
      <c r="AW185" s="11"/>
      <c r="AX185" s="11"/>
      <c r="AY185" s="11"/>
      <c r="AZ185" s="11"/>
      <c r="BA185" s="11"/>
      <c r="BB185" s="11"/>
      <c r="BC185" s="11"/>
      <c r="BD185" s="11"/>
      <c r="BE185" s="11"/>
      <c r="BF185" s="11"/>
      <c r="BG185" s="11"/>
      <c r="BH185" s="11"/>
      <c r="BI185" s="11"/>
      <c r="BJ185" s="11"/>
      <c r="BK185" s="11"/>
      <c r="BL185" s="11"/>
      <c r="BM185" s="11"/>
      <c r="BN185" s="11"/>
      <c r="BO185" s="12"/>
      <c r="BP185" s="8"/>
    </row>
    <row r="186" ht="9" customHeight="1" hidden="1">
      <c r="A186" t="s" s="13">
        <v>624</v>
      </c>
      <c r="B186" s="14"/>
      <c r="C186" t="str" s="14" cm="1">
        <f t="array" ref="C186">_xlfn.IFERROR((VLOOKUP(A186,#REF!,2,FALSE)),"")</f>
      </c>
      <c r="D186" t="s" s="15">
        <v>70</v>
      </c>
      <c r="E186" t="s" s="15">
        <v>620</v>
      </c>
      <c r="F186" s="14"/>
      <c r="G186" t="s" s="15">
        <v>621</v>
      </c>
      <c r="H186" t="s" s="15">
        <v>622</v>
      </c>
      <c r="I186" t="s" s="15">
        <v>271</v>
      </c>
      <c r="J186" t="s" s="15">
        <v>74</v>
      </c>
      <c r="K186" t="s" s="15">
        <v>210</v>
      </c>
      <c r="L186" t="s" s="15">
        <v>76</v>
      </c>
      <c r="M186" t="s" s="15">
        <v>77</v>
      </c>
      <c r="N186" t="s" s="15">
        <v>621</v>
      </c>
      <c r="O186" t="s" s="15">
        <v>71</v>
      </c>
      <c r="P186" s="14"/>
      <c r="Q186" t="s" s="15">
        <v>69</v>
      </c>
      <c r="R186" t="s" s="15">
        <v>339</v>
      </c>
      <c r="S186" s="14"/>
      <c r="T186" s="14"/>
      <c r="U186" s="14"/>
      <c r="V186" t="s" s="15">
        <v>69</v>
      </c>
      <c r="W186" s="14"/>
      <c r="X186" t="s" s="15">
        <v>69</v>
      </c>
      <c r="Y186" s="14"/>
      <c r="Z186" t="s" s="15">
        <v>76</v>
      </c>
      <c r="AA186" s="14"/>
      <c r="AB186" t="s" s="15">
        <v>76</v>
      </c>
      <c r="AC186" t="s" s="15">
        <v>624</v>
      </c>
      <c r="AD186" s="14"/>
      <c r="AE186" s="14"/>
      <c r="AF186" s="14"/>
      <c r="AG186" t="s" s="15">
        <v>299</v>
      </c>
      <c r="AH186" t="s" s="15">
        <v>106</v>
      </c>
      <c r="AI186" t="s" s="15">
        <v>76</v>
      </c>
      <c r="AJ186" t="s" s="15">
        <v>76</v>
      </c>
      <c r="AK186" t="s" s="15">
        <v>79</v>
      </c>
      <c r="AL186" t="s" s="15">
        <v>115</v>
      </c>
      <c r="AM186" s="14"/>
      <c r="AN186" t="s" s="15">
        <v>116</v>
      </c>
      <c r="AO186" s="14"/>
      <c r="AP186" s="14"/>
      <c r="AQ186" s="14"/>
      <c r="AR186" s="14"/>
      <c r="AS186" t="s" s="15">
        <v>625</v>
      </c>
      <c r="AT186" t="s" s="15">
        <v>301</v>
      </c>
      <c r="AU186" s="14"/>
      <c r="AV186" s="14"/>
      <c r="AW186" s="14"/>
      <c r="AX186" s="14"/>
      <c r="AY186" s="14"/>
      <c r="AZ186" s="14"/>
      <c r="BA186" s="14"/>
      <c r="BB186" s="14"/>
      <c r="BC186" s="14"/>
      <c r="BD186" s="14"/>
      <c r="BE186" s="14"/>
      <c r="BF186" s="14"/>
      <c r="BG186" s="14"/>
      <c r="BH186" s="14"/>
      <c r="BI186" s="14"/>
      <c r="BJ186" s="14"/>
      <c r="BK186" s="14"/>
      <c r="BL186" s="14"/>
      <c r="BM186" s="14"/>
      <c r="BN186" s="14"/>
      <c r="BO186" s="16"/>
      <c r="BP186" s="8"/>
    </row>
    <row r="187" ht="9" customHeight="1" hidden="1">
      <c r="A187" t="s" s="9">
        <v>626</v>
      </c>
      <c r="B187" s="11"/>
      <c r="C187" t="str" s="11" cm="1">
        <f t="array" ref="C187">_xlfn.IFERROR((VLOOKUP(A187,#REF!,2,FALSE)),"")</f>
      </c>
      <c r="D187" t="s" s="10">
        <v>70</v>
      </c>
      <c r="E187" t="s" s="10">
        <v>620</v>
      </c>
      <c r="F187" s="11"/>
      <c r="G187" t="s" s="10">
        <v>627</v>
      </c>
      <c r="H187" t="s" s="10">
        <v>609</v>
      </c>
      <c r="I187" t="s" s="10">
        <v>271</v>
      </c>
      <c r="J187" t="s" s="10">
        <v>74</v>
      </c>
      <c r="K187" t="s" s="10">
        <v>210</v>
      </c>
      <c r="L187" t="s" s="10">
        <v>76</v>
      </c>
      <c r="M187" t="s" s="10">
        <v>77</v>
      </c>
      <c r="N187" t="s" s="10">
        <v>627</v>
      </c>
      <c r="O187" s="11"/>
      <c r="P187" s="11"/>
      <c r="Q187" t="s" s="10">
        <v>69</v>
      </c>
      <c r="R187" t="s" s="10">
        <v>339</v>
      </c>
      <c r="S187" s="11"/>
      <c r="T187" s="11"/>
      <c r="U187" s="11"/>
      <c r="V187" t="s" s="10">
        <v>69</v>
      </c>
      <c r="W187" s="11"/>
      <c r="X187" t="s" s="10">
        <v>69</v>
      </c>
      <c r="Y187" s="11"/>
      <c r="Z187" t="s" s="10">
        <v>76</v>
      </c>
      <c r="AA187" s="11"/>
      <c r="AB187" t="s" s="10">
        <v>76</v>
      </c>
      <c r="AC187" t="s" s="10">
        <v>626</v>
      </c>
      <c r="AD187" s="11"/>
      <c r="AE187" s="11"/>
      <c r="AF187" s="11"/>
      <c r="AG187" t="s" s="10">
        <v>628</v>
      </c>
      <c r="AH187" t="s" s="10">
        <v>106</v>
      </c>
      <c r="AI187" t="s" s="10">
        <v>76</v>
      </c>
      <c r="AJ187" t="s" s="10">
        <v>76</v>
      </c>
      <c r="AK187" t="s" s="10">
        <v>79</v>
      </c>
      <c r="AL187" t="s" s="10">
        <v>115</v>
      </c>
      <c r="AM187" s="11"/>
      <c r="AN187" t="s" s="10">
        <v>116</v>
      </c>
      <c r="AO187" s="11"/>
      <c r="AP187" s="11"/>
      <c r="AQ187" s="11"/>
      <c r="AR187" s="11"/>
      <c r="AS187" t="s" s="10">
        <v>629</v>
      </c>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2"/>
      <c r="BP187" s="8"/>
    </row>
    <row r="188" ht="9" customHeight="1" hidden="1">
      <c r="A188" t="s" s="13">
        <v>630</v>
      </c>
      <c r="B188" t="s" s="15">
        <v>69</v>
      </c>
      <c r="C188" t="str" s="14" cm="1">
        <f t="array" ref="C188">_xlfn.IFERROR((VLOOKUP(A188,#REF!,2,FALSE)),"")</f>
      </c>
      <c r="D188" t="s" s="15">
        <v>70</v>
      </c>
      <c r="E188" t="s" s="15">
        <v>71</v>
      </c>
      <c r="F188" s="14"/>
      <c r="G188" t="s" s="15">
        <v>631</v>
      </c>
      <c r="H188" t="s" s="15">
        <v>609</v>
      </c>
      <c r="I188" t="s" s="15">
        <v>271</v>
      </c>
      <c r="J188" t="s" s="15">
        <v>74</v>
      </c>
      <c r="K188" t="s" s="15">
        <v>210</v>
      </c>
      <c r="L188" t="s" s="15">
        <v>76</v>
      </c>
      <c r="M188" t="s" s="15">
        <v>77</v>
      </c>
      <c r="N188" t="s" s="15">
        <v>631</v>
      </c>
      <c r="O188" t="s" s="15">
        <v>71</v>
      </c>
      <c r="P188" s="14"/>
      <c r="Q188" t="s" s="15">
        <v>78</v>
      </c>
      <c r="R188" t="s" s="15">
        <v>339</v>
      </c>
      <c r="S188" s="14"/>
      <c r="T188" s="14"/>
      <c r="U188" s="14"/>
      <c r="V188" t="s" s="15">
        <v>69</v>
      </c>
      <c r="W188" s="14"/>
      <c r="X188" t="s" s="15">
        <v>69</v>
      </c>
      <c r="Y188" s="14"/>
      <c r="Z188" t="s" s="15">
        <v>76</v>
      </c>
      <c r="AA188" s="14"/>
      <c r="AB188" t="s" s="15">
        <v>76</v>
      </c>
      <c r="AC188" s="14"/>
      <c r="AD188" s="14"/>
      <c r="AE188" s="14"/>
      <c r="AF188" s="14"/>
      <c r="AG188" s="14"/>
      <c r="AH188" t="s" s="15">
        <v>106</v>
      </c>
      <c r="AI188" t="s" s="15">
        <v>76</v>
      </c>
      <c r="AJ188" t="s" s="15">
        <v>76</v>
      </c>
      <c r="AK188" t="s" s="15">
        <v>79</v>
      </c>
      <c r="AL188" t="s" s="15">
        <v>115</v>
      </c>
      <c r="AM188" s="14"/>
      <c r="AN188" t="s" s="15">
        <v>116</v>
      </c>
      <c r="AO188" s="14"/>
      <c r="AP188" s="14"/>
      <c r="AQ188" s="14"/>
      <c r="AR188" s="14"/>
      <c r="AS188" t="s" s="15">
        <v>632</v>
      </c>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6"/>
      <c r="BP188" s="8"/>
    </row>
    <row r="189" ht="9" customHeight="1" hidden="1">
      <c r="A189" t="s" s="9">
        <v>633</v>
      </c>
      <c r="B189" s="11"/>
      <c r="C189" t="str" s="11" cm="1">
        <f t="array" ref="C189">_xlfn.IFERROR((VLOOKUP(A189,#REF!,2,FALSE)),"")</f>
      </c>
      <c r="D189" t="s" s="10">
        <v>70</v>
      </c>
      <c r="E189" t="s" s="10">
        <v>392</v>
      </c>
      <c r="F189" s="11"/>
      <c r="G189" t="s" s="10">
        <v>634</v>
      </c>
      <c r="H189" t="s" s="10">
        <v>634</v>
      </c>
      <c r="I189" t="s" s="10">
        <v>111</v>
      </c>
      <c r="J189" t="s" s="10">
        <v>452</v>
      </c>
      <c r="K189" t="s" s="10">
        <v>113</v>
      </c>
      <c r="L189" t="s" s="10">
        <v>76</v>
      </c>
      <c r="M189" t="s" s="10">
        <v>77</v>
      </c>
      <c r="N189" t="s" s="10">
        <v>634</v>
      </c>
      <c r="O189" s="11"/>
      <c r="P189" s="11"/>
      <c r="Q189" t="s" s="10">
        <v>69</v>
      </c>
      <c r="R189" t="s" s="10">
        <v>83</v>
      </c>
      <c r="S189" s="11"/>
      <c r="T189" s="11"/>
      <c r="U189" s="11"/>
      <c r="V189" t="s" s="10">
        <v>69</v>
      </c>
      <c r="W189" s="11"/>
      <c r="X189" t="s" s="10">
        <v>69</v>
      </c>
      <c r="Y189" s="11"/>
      <c r="Z189" t="s" s="10">
        <v>76</v>
      </c>
      <c r="AA189" s="11"/>
      <c r="AB189" t="s" s="10">
        <v>76</v>
      </c>
      <c r="AC189" t="s" s="10">
        <v>633</v>
      </c>
      <c r="AD189" s="11"/>
      <c r="AE189" s="11"/>
      <c r="AF189" s="11"/>
      <c r="AG189" s="11"/>
      <c r="AH189" t="s" s="10">
        <v>114</v>
      </c>
      <c r="AI189" t="s" s="10">
        <v>76</v>
      </c>
      <c r="AJ189" t="s" s="10">
        <v>76</v>
      </c>
      <c r="AK189" t="s" s="10">
        <v>79</v>
      </c>
      <c r="AL189" t="s" s="10">
        <v>115</v>
      </c>
      <c r="AM189" s="11"/>
      <c r="AN189" t="s" s="10">
        <v>635</v>
      </c>
      <c r="AO189" s="11"/>
      <c r="AP189" s="11"/>
      <c r="AQ189" s="11"/>
      <c r="AR189" s="11"/>
      <c r="AS189" t="s" s="10">
        <v>636</v>
      </c>
      <c r="AT189" s="11"/>
      <c r="AU189" s="11"/>
      <c r="AV189" s="11"/>
      <c r="AW189" s="11"/>
      <c r="AX189" s="11"/>
      <c r="AY189" s="11"/>
      <c r="AZ189" s="11"/>
      <c r="BA189" s="11"/>
      <c r="BB189" s="11"/>
      <c r="BC189" s="11"/>
      <c r="BD189" t="s" s="10">
        <v>118</v>
      </c>
      <c r="BE189" s="11"/>
      <c r="BF189" s="11"/>
      <c r="BG189" s="11"/>
      <c r="BH189" s="11"/>
      <c r="BI189" s="11"/>
      <c r="BJ189" s="11"/>
      <c r="BK189" s="11"/>
      <c r="BL189" s="11"/>
      <c r="BM189" s="11"/>
      <c r="BN189" s="11"/>
      <c r="BO189" s="12"/>
      <c r="BP189" s="8"/>
    </row>
    <row r="190" ht="9" customHeight="1" hidden="1">
      <c r="A190" t="s" s="13">
        <v>637</v>
      </c>
      <c r="B190" s="14"/>
      <c r="C190" t="str" s="14" cm="1">
        <f t="array" ref="C190">_xlfn.IFERROR((VLOOKUP(A190,#REF!,2,FALSE)),"")</f>
      </c>
      <c r="D190" t="s" s="15">
        <v>70</v>
      </c>
      <c r="E190" s="14"/>
      <c r="F190" s="14"/>
      <c r="G190" t="s" s="15">
        <v>638</v>
      </c>
      <c r="H190" t="s" s="15">
        <v>638</v>
      </c>
      <c r="I190" t="s" s="15">
        <v>111</v>
      </c>
      <c r="J190" t="s" s="15">
        <v>112</v>
      </c>
      <c r="K190" t="s" s="15">
        <v>75</v>
      </c>
      <c r="L190" t="s" s="15">
        <v>76</v>
      </c>
      <c r="M190" t="s" s="15">
        <v>77</v>
      </c>
      <c r="N190" t="s" s="15">
        <v>638</v>
      </c>
      <c r="O190" s="14"/>
      <c r="P190" s="14"/>
      <c r="Q190" t="s" s="15">
        <v>78</v>
      </c>
      <c r="R190" t="s" s="15">
        <v>83</v>
      </c>
      <c r="S190" s="14"/>
      <c r="T190" s="14"/>
      <c r="U190" s="14"/>
      <c r="V190" t="s" s="15">
        <v>78</v>
      </c>
      <c r="W190" s="14"/>
      <c r="X190" t="s" s="15">
        <v>69</v>
      </c>
      <c r="Y190" s="14"/>
      <c r="Z190" t="s" s="15">
        <v>76</v>
      </c>
      <c r="AA190" s="14"/>
      <c r="AB190" t="s" s="15">
        <v>76</v>
      </c>
      <c r="AC190" s="14"/>
      <c r="AD190" s="14"/>
      <c r="AE190" s="14"/>
      <c r="AF190" s="14"/>
      <c r="AG190" s="14"/>
      <c r="AH190" s="14"/>
      <c r="AI190" t="s" s="15">
        <v>76</v>
      </c>
      <c r="AJ190" t="s" s="15">
        <v>76</v>
      </c>
      <c r="AK190" t="s" s="15">
        <v>79</v>
      </c>
      <c r="AL190" t="s" s="15">
        <v>115</v>
      </c>
      <c r="AM190" s="14"/>
      <c r="AN190" s="14"/>
      <c r="AO190" s="14"/>
      <c r="AP190" s="14"/>
      <c r="AQ190" s="14"/>
      <c r="AR190" s="14"/>
      <c r="AS190" t="s" s="15">
        <v>639</v>
      </c>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6"/>
      <c r="BP190" s="8"/>
    </row>
    <row r="191" ht="9" customHeight="1" hidden="1">
      <c r="A191" t="s" s="9">
        <v>640</v>
      </c>
      <c r="B191" s="11"/>
      <c r="C191" t="str" s="11" cm="1">
        <f t="array" ref="C191">_xlfn.IFERROR((VLOOKUP(A191,#REF!,2,FALSE)),"")</f>
      </c>
      <c r="D191" t="s" s="10">
        <v>70</v>
      </c>
      <c r="E191" s="11"/>
      <c r="F191" s="11"/>
      <c r="G191" t="s" s="10">
        <v>641</v>
      </c>
      <c r="H191" t="s" s="10">
        <v>484</v>
      </c>
      <c r="I191" t="s" s="10">
        <v>111</v>
      </c>
      <c r="J191" t="s" s="10">
        <v>122</v>
      </c>
      <c r="K191" t="s" s="10">
        <v>75</v>
      </c>
      <c r="L191" t="s" s="10">
        <v>76</v>
      </c>
      <c r="M191" t="s" s="10">
        <v>77</v>
      </c>
      <c r="N191" t="s" s="10">
        <v>641</v>
      </c>
      <c r="O191" s="11"/>
      <c r="P191" s="11"/>
      <c r="Q191" t="s" s="10">
        <v>78</v>
      </c>
      <c r="R191" t="s" s="10">
        <v>83</v>
      </c>
      <c r="S191" s="11"/>
      <c r="T191" s="11"/>
      <c r="U191" s="11"/>
      <c r="V191" t="s" s="10">
        <v>78</v>
      </c>
      <c r="W191" s="11"/>
      <c r="X191" t="s" s="10">
        <v>69</v>
      </c>
      <c r="Y191" s="11"/>
      <c r="Z191" t="s" s="10">
        <v>76</v>
      </c>
      <c r="AA191" s="11"/>
      <c r="AB191" t="s" s="10">
        <v>76</v>
      </c>
      <c r="AC191" s="11"/>
      <c r="AD191" s="11"/>
      <c r="AE191" s="11"/>
      <c r="AF191" s="11"/>
      <c r="AG191" s="11"/>
      <c r="AH191" s="11"/>
      <c r="AI191" t="s" s="10">
        <v>76</v>
      </c>
      <c r="AJ191" t="s" s="10">
        <v>76</v>
      </c>
      <c r="AK191" t="s" s="10">
        <v>79</v>
      </c>
      <c r="AL191" t="s" s="10">
        <v>115</v>
      </c>
      <c r="AM191" s="11"/>
      <c r="AN191" s="11"/>
      <c r="AO191" s="11"/>
      <c r="AP191" s="11"/>
      <c r="AQ191" s="11"/>
      <c r="AR191" s="11"/>
      <c r="AS191" t="s" s="10">
        <v>642</v>
      </c>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2"/>
      <c r="BP191" s="8"/>
    </row>
    <row r="192" ht="9" customHeight="1" hidden="1">
      <c r="A192" t="s" s="13">
        <v>643</v>
      </c>
      <c r="B192" s="14"/>
      <c r="C192" t="str" s="14" cm="1">
        <f t="array" ref="C192">_xlfn.IFERROR((VLOOKUP(A192,#REF!,2,FALSE)),"")</f>
      </c>
      <c r="D192" s="14"/>
      <c r="E192" s="14"/>
      <c r="F192" s="14"/>
      <c r="G192" t="s" s="15">
        <v>644</v>
      </c>
      <c r="H192" t="s" s="15">
        <v>127</v>
      </c>
      <c r="I192" t="s" s="15">
        <v>111</v>
      </c>
      <c r="J192" t="s" s="15">
        <v>122</v>
      </c>
      <c r="K192" t="s" s="15">
        <v>113</v>
      </c>
      <c r="L192" t="s" s="15">
        <v>76</v>
      </c>
      <c r="M192" t="s" s="15">
        <v>77</v>
      </c>
      <c r="N192" t="s" s="15">
        <v>644</v>
      </c>
      <c r="O192" t="s" s="15">
        <v>286</v>
      </c>
      <c r="P192" s="14"/>
      <c r="Q192" t="s" s="15">
        <v>69</v>
      </c>
      <c r="R192" t="s" s="15">
        <v>83</v>
      </c>
      <c r="S192" s="14"/>
      <c r="T192" s="14"/>
      <c r="U192" s="14"/>
      <c r="V192" t="s" s="15">
        <v>69</v>
      </c>
      <c r="W192" s="14"/>
      <c r="X192" t="s" s="15">
        <v>69</v>
      </c>
      <c r="Y192" s="14"/>
      <c r="Z192" t="s" s="15">
        <v>76</v>
      </c>
      <c r="AA192" s="14"/>
      <c r="AB192" t="s" s="15">
        <v>76</v>
      </c>
      <c r="AC192" t="s" s="15">
        <v>643</v>
      </c>
      <c r="AD192" s="14"/>
      <c r="AE192" s="14"/>
      <c r="AF192" s="14"/>
      <c r="AG192" t="s" s="15">
        <v>299</v>
      </c>
      <c r="AH192" t="s" s="15">
        <v>114</v>
      </c>
      <c r="AI192" t="s" s="15">
        <v>604</v>
      </c>
      <c r="AJ192" s="14"/>
      <c r="AK192" t="s" s="15">
        <v>83</v>
      </c>
      <c r="AL192" t="s" s="15">
        <v>115</v>
      </c>
      <c r="AM192" s="14"/>
      <c r="AN192" t="s" s="15">
        <v>128</v>
      </c>
      <c r="AO192" s="14"/>
      <c r="AP192" s="14"/>
      <c r="AQ192" s="14"/>
      <c r="AR192" s="14"/>
      <c r="AS192" t="s" s="15">
        <v>645</v>
      </c>
      <c r="AT192" t="s" s="15">
        <v>301</v>
      </c>
      <c r="AU192" t="s" s="15">
        <v>646</v>
      </c>
      <c r="AV192" t="s" s="15">
        <v>76</v>
      </c>
      <c r="AW192" s="14"/>
      <c r="AX192" s="14"/>
      <c r="AY192" s="14"/>
      <c r="AZ192" s="14"/>
      <c r="BA192" s="14"/>
      <c r="BB192" s="14"/>
      <c r="BC192" s="14"/>
      <c r="BD192" t="s" s="15">
        <v>118</v>
      </c>
      <c r="BE192" s="14"/>
      <c r="BF192" s="14"/>
      <c r="BG192" s="14"/>
      <c r="BH192" s="14"/>
      <c r="BI192" s="14"/>
      <c r="BJ192" s="14"/>
      <c r="BK192" s="14"/>
      <c r="BL192" s="14"/>
      <c r="BM192" s="14"/>
      <c r="BN192" s="14"/>
      <c r="BO192" s="16"/>
      <c r="BP192" s="8"/>
    </row>
    <row r="193" ht="15" customHeight="1" hidden="1">
      <c r="A193" t="s" s="9">
        <v>647</v>
      </c>
      <c r="B193" s="11"/>
      <c r="C193" t="str" s="11" cm="1">
        <f t="array" ref="C193">_xlfn.IFERROR((VLOOKUP(A193,#REF!,2,FALSE)),"")</f>
      </c>
      <c r="D193" s="11"/>
      <c r="E193" t="s" s="10">
        <v>601</v>
      </c>
      <c r="F193" s="11"/>
      <c r="G193" t="s" s="10">
        <v>648</v>
      </c>
      <c r="H193" t="s" s="10">
        <v>649</v>
      </c>
      <c r="I193" t="s" s="10">
        <v>111</v>
      </c>
      <c r="J193" t="s" s="10">
        <v>122</v>
      </c>
      <c r="K193" t="s" s="10">
        <v>140</v>
      </c>
      <c r="L193" t="s" s="10">
        <v>76</v>
      </c>
      <c r="M193" t="s" s="10">
        <v>77</v>
      </c>
      <c r="N193" t="s" s="10">
        <v>648</v>
      </c>
      <c r="O193" s="11"/>
      <c r="P193" s="11"/>
      <c r="Q193" t="s" s="10">
        <v>69</v>
      </c>
      <c r="R193" t="s" s="10">
        <v>83</v>
      </c>
      <c r="S193" s="11"/>
      <c r="T193" s="11"/>
      <c r="U193" s="11"/>
      <c r="V193" t="s" s="10">
        <v>69</v>
      </c>
      <c r="W193" s="11"/>
      <c r="X193" t="s" s="10">
        <v>69</v>
      </c>
      <c r="Y193" s="11"/>
      <c r="Z193" t="s" s="10">
        <v>76</v>
      </c>
      <c r="AA193" s="11"/>
      <c r="AB193" t="s" s="10">
        <v>76</v>
      </c>
      <c r="AC193" t="s" s="10">
        <v>647</v>
      </c>
      <c r="AD193" s="11"/>
      <c r="AE193" s="11"/>
      <c r="AF193" s="11"/>
      <c r="AG193" t="s" s="10">
        <v>299</v>
      </c>
      <c r="AH193" t="s" s="10">
        <v>114</v>
      </c>
      <c r="AI193" t="s" s="10">
        <v>604</v>
      </c>
      <c r="AJ193" s="11"/>
      <c r="AK193" t="s" s="10">
        <v>83</v>
      </c>
      <c r="AL193" t="s" s="10">
        <v>115</v>
      </c>
      <c r="AM193" s="11"/>
      <c r="AN193" t="s" s="10">
        <v>650</v>
      </c>
      <c r="AO193" s="11"/>
      <c r="AP193" s="11"/>
      <c r="AQ193" s="11"/>
      <c r="AR193" s="11"/>
      <c r="AS193" t="s" s="10">
        <v>651</v>
      </c>
      <c r="AT193" t="s" s="10">
        <v>301</v>
      </c>
      <c r="AU193" s="11"/>
      <c r="AV193" s="11"/>
      <c r="AW193" s="11"/>
      <c r="AX193" s="11"/>
      <c r="AY193" s="11"/>
      <c r="AZ193" s="11"/>
      <c r="BA193" s="11"/>
      <c r="BB193" s="11"/>
      <c r="BC193" s="11"/>
      <c r="BD193" t="s" s="10">
        <v>118</v>
      </c>
      <c r="BE193" s="11"/>
      <c r="BF193" s="11"/>
      <c r="BG193" s="11"/>
      <c r="BH193" s="11"/>
      <c r="BI193" s="11"/>
      <c r="BJ193" s="11"/>
      <c r="BK193" s="11"/>
      <c r="BL193" s="11"/>
      <c r="BM193" s="11"/>
      <c r="BN193" s="11"/>
      <c r="BO193" s="12"/>
      <c r="BP193" s="8"/>
    </row>
    <row r="194" ht="9" customHeight="1" hidden="1">
      <c r="A194" t="s" s="13">
        <v>652</v>
      </c>
      <c r="B194" s="14"/>
      <c r="C194" t="str" s="14" cm="1">
        <f t="array" ref="C194">_xlfn.IFERROR((VLOOKUP(A194,#REF!,2,FALSE)),"")</f>
      </c>
      <c r="D194" t="s" s="15">
        <v>70</v>
      </c>
      <c r="E194" s="14"/>
      <c r="F194" s="14"/>
      <c r="G194" t="s" s="15">
        <v>641</v>
      </c>
      <c r="H194" t="s" s="15">
        <v>484</v>
      </c>
      <c r="I194" t="s" s="15">
        <v>111</v>
      </c>
      <c r="J194" t="s" s="15">
        <v>122</v>
      </c>
      <c r="K194" t="s" s="15">
        <v>75</v>
      </c>
      <c r="L194" t="s" s="15">
        <v>76</v>
      </c>
      <c r="M194" t="s" s="15">
        <v>77</v>
      </c>
      <c r="N194" t="s" s="15">
        <v>641</v>
      </c>
      <c r="O194" s="14"/>
      <c r="P194" s="14"/>
      <c r="Q194" t="s" s="15">
        <v>78</v>
      </c>
      <c r="R194" t="s" s="15">
        <v>83</v>
      </c>
      <c r="S194" s="14"/>
      <c r="T194" s="14"/>
      <c r="U194" s="14"/>
      <c r="V194" t="s" s="15">
        <v>78</v>
      </c>
      <c r="W194" s="14"/>
      <c r="X194" t="s" s="15">
        <v>69</v>
      </c>
      <c r="Y194" s="14"/>
      <c r="Z194" t="s" s="15">
        <v>76</v>
      </c>
      <c r="AA194" s="14"/>
      <c r="AB194" t="s" s="15">
        <v>76</v>
      </c>
      <c r="AC194" s="14"/>
      <c r="AD194" s="14"/>
      <c r="AE194" s="14"/>
      <c r="AF194" s="14"/>
      <c r="AG194" s="14"/>
      <c r="AH194" s="14"/>
      <c r="AI194" t="s" s="15">
        <v>76</v>
      </c>
      <c r="AJ194" t="s" s="15">
        <v>76</v>
      </c>
      <c r="AK194" t="s" s="15">
        <v>79</v>
      </c>
      <c r="AL194" t="s" s="15">
        <v>115</v>
      </c>
      <c r="AM194" s="14"/>
      <c r="AN194" s="14"/>
      <c r="AO194" s="14"/>
      <c r="AP194" s="14"/>
      <c r="AQ194" s="14"/>
      <c r="AR194" s="14"/>
      <c r="AS194" t="s" s="15">
        <v>653</v>
      </c>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6"/>
      <c r="BP194" s="8"/>
    </row>
    <row r="195" ht="9" customHeight="1" hidden="1">
      <c r="A195" t="s" s="9">
        <v>654</v>
      </c>
      <c r="B195" s="11"/>
      <c r="C195" t="str" s="11" cm="1">
        <f t="array" ref="C195">_xlfn.IFERROR((VLOOKUP(A195,#REF!,2,FALSE)),"")</f>
      </c>
      <c r="D195" t="s" s="10">
        <v>70</v>
      </c>
      <c r="E195" s="11"/>
      <c r="F195" s="11"/>
      <c r="G195" t="s" s="10">
        <v>641</v>
      </c>
      <c r="H195" t="s" s="10">
        <v>484</v>
      </c>
      <c r="I195" t="s" s="10">
        <v>111</v>
      </c>
      <c r="J195" t="s" s="10">
        <v>122</v>
      </c>
      <c r="K195" t="s" s="10">
        <v>75</v>
      </c>
      <c r="L195" t="s" s="10">
        <v>76</v>
      </c>
      <c r="M195" t="s" s="10">
        <v>77</v>
      </c>
      <c r="N195" t="s" s="10">
        <v>641</v>
      </c>
      <c r="O195" s="11"/>
      <c r="P195" s="11"/>
      <c r="Q195" t="s" s="10">
        <v>78</v>
      </c>
      <c r="R195" t="s" s="10">
        <v>83</v>
      </c>
      <c r="S195" s="11"/>
      <c r="T195" s="11"/>
      <c r="U195" s="11"/>
      <c r="V195" t="s" s="10">
        <v>78</v>
      </c>
      <c r="W195" s="11"/>
      <c r="X195" t="s" s="10">
        <v>69</v>
      </c>
      <c r="Y195" s="11"/>
      <c r="Z195" t="s" s="10">
        <v>76</v>
      </c>
      <c r="AA195" s="11"/>
      <c r="AB195" t="s" s="10">
        <v>76</v>
      </c>
      <c r="AC195" s="11"/>
      <c r="AD195" s="11"/>
      <c r="AE195" s="11"/>
      <c r="AF195" s="11"/>
      <c r="AG195" s="11"/>
      <c r="AH195" s="11"/>
      <c r="AI195" t="s" s="10">
        <v>76</v>
      </c>
      <c r="AJ195" t="s" s="10">
        <v>76</v>
      </c>
      <c r="AK195" t="s" s="10">
        <v>79</v>
      </c>
      <c r="AL195" t="s" s="10">
        <v>115</v>
      </c>
      <c r="AM195" s="11"/>
      <c r="AN195" s="11"/>
      <c r="AO195" s="11"/>
      <c r="AP195" s="11"/>
      <c r="AQ195" s="11"/>
      <c r="AR195" s="11"/>
      <c r="AS195" t="s" s="10">
        <v>655</v>
      </c>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2"/>
      <c r="BP195" s="8"/>
    </row>
    <row r="196" ht="9" customHeight="1" hidden="1">
      <c r="A196" t="s" s="13">
        <v>656</v>
      </c>
      <c r="B196" s="14"/>
      <c r="C196" t="str" s="14" cm="1">
        <f t="array" ref="C196">_xlfn.IFERROR((VLOOKUP(A196,#REF!,2,FALSE)),"")</f>
      </c>
      <c r="D196" s="14"/>
      <c r="E196" t="s" s="15">
        <v>657</v>
      </c>
      <c r="F196" s="14"/>
      <c r="G196" t="s" s="15">
        <v>658</v>
      </c>
      <c r="H196" t="s" s="15">
        <v>127</v>
      </c>
      <c r="I196" t="s" s="15">
        <v>111</v>
      </c>
      <c r="J196" t="s" s="15">
        <v>122</v>
      </c>
      <c r="K196" t="s" s="15">
        <v>113</v>
      </c>
      <c r="L196" t="s" s="15">
        <v>76</v>
      </c>
      <c r="M196" t="s" s="15">
        <v>77</v>
      </c>
      <c r="N196" t="s" s="15">
        <v>659</v>
      </c>
      <c r="O196" t="s" s="15">
        <v>286</v>
      </c>
      <c r="P196" s="14"/>
      <c r="Q196" t="s" s="15">
        <v>69</v>
      </c>
      <c r="R196" t="s" s="15">
        <v>83</v>
      </c>
      <c r="S196" s="14"/>
      <c r="T196" s="14"/>
      <c r="U196" s="14"/>
      <c r="V196" t="s" s="15">
        <v>69</v>
      </c>
      <c r="W196" s="14"/>
      <c r="X196" t="s" s="15">
        <v>69</v>
      </c>
      <c r="Y196" s="14"/>
      <c r="Z196" t="s" s="15">
        <v>76</v>
      </c>
      <c r="AA196" s="14"/>
      <c r="AB196" t="s" s="15">
        <v>76</v>
      </c>
      <c r="AC196" t="s" s="15">
        <v>656</v>
      </c>
      <c r="AD196" s="14"/>
      <c r="AE196" s="14"/>
      <c r="AF196" s="14"/>
      <c r="AG196" t="s" s="15">
        <v>299</v>
      </c>
      <c r="AH196" t="s" s="15">
        <v>114</v>
      </c>
      <c r="AI196" t="s" s="15">
        <v>604</v>
      </c>
      <c r="AJ196" s="14"/>
      <c r="AK196" t="s" s="15">
        <v>83</v>
      </c>
      <c r="AL196" t="s" s="15">
        <v>115</v>
      </c>
      <c r="AM196" s="14"/>
      <c r="AN196" t="s" s="15">
        <v>128</v>
      </c>
      <c r="AO196" s="14"/>
      <c r="AP196" s="14"/>
      <c r="AQ196" s="14"/>
      <c r="AR196" s="14"/>
      <c r="AS196" t="s" s="15">
        <v>660</v>
      </c>
      <c r="AT196" t="s" s="15">
        <v>301</v>
      </c>
      <c r="AU196" t="s" s="15">
        <v>646</v>
      </c>
      <c r="AV196" t="s" s="15">
        <v>76</v>
      </c>
      <c r="AW196" s="14"/>
      <c r="AX196" s="14"/>
      <c r="AY196" s="14"/>
      <c r="AZ196" s="14"/>
      <c r="BA196" s="14"/>
      <c r="BB196" s="14"/>
      <c r="BC196" s="14"/>
      <c r="BD196" t="s" s="15">
        <v>118</v>
      </c>
      <c r="BE196" s="14"/>
      <c r="BF196" s="14"/>
      <c r="BG196" s="14"/>
      <c r="BH196" s="14"/>
      <c r="BI196" s="14"/>
      <c r="BJ196" s="14"/>
      <c r="BK196" s="14"/>
      <c r="BL196" s="14"/>
      <c r="BM196" s="14"/>
      <c r="BN196" s="14"/>
      <c r="BO196" s="16"/>
      <c r="BP196" s="8"/>
    </row>
    <row r="197" ht="9" customHeight="1" hidden="1">
      <c r="A197" t="s" s="9">
        <v>661</v>
      </c>
      <c r="B197" t="s" s="10">
        <v>69</v>
      </c>
      <c r="C197" t="str" s="11" cm="1">
        <f t="array" ref="C197">_xlfn.IFERROR((VLOOKUP(A197,#REF!,2,FALSE)),"")</f>
      </c>
      <c r="D197" t="s" s="10">
        <v>70</v>
      </c>
      <c r="E197" t="s" s="10">
        <v>71</v>
      </c>
      <c r="F197" s="11"/>
      <c r="G197" t="s" s="10">
        <v>662</v>
      </c>
      <c r="H197" t="s" s="10">
        <v>662</v>
      </c>
      <c r="I197" t="s" s="10">
        <v>73</v>
      </c>
      <c r="J197" t="s" s="10">
        <v>74</v>
      </c>
      <c r="K197" t="s" s="10">
        <v>113</v>
      </c>
      <c r="L197" t="s" s="10">
        <v>76</v>
      </c>
      <c r="M197" t="s" s="10">
        <v>77</v>
      </c>
      <c r="N197" t="s" s="10">
        <v>662</v>
      </c>
      <c r="O197" t="s" s="10">
        <v>71</v>
      </c>
      <c r="P197" s="11"/>
      <c r="Q197" t="s" s="10">
        <v>78</v>
      </c>
      <c r="R197" t="s" s="10">
        <v>71</v>
      </c>
      <c r="S197" s="11"/>
      <c r="T197" s="11"/>
      <c r="U197" s="11"/>
      <c r="V197" t="s" s="10">
        <v>78</v>
      </c>
      <c r="W197" t="s" s="10">
        <v>661</v>
      </c>
      <c r="X197" t="s" s="10">
        <v>69</v>
      </c>
      <c r="Y197" s="11"/>
      <c r="Z197" t="s" s="10">
        <v>76</v>
      </c>
      <c r="AA197" s="11"/>
      <c r="AB197" t="s" s="10">
        <v>76</v>
      </c>
      <c r="AC197" s="11"/>
      <c r="AD197" s="11"/>
      <c r="AE197" s="11"/>
      <c r="AF197" s="11"/>
      <c r="AG197" s="11"/>
      <c r="AH197" s="11"/>
      <c r="AI197" t="s" s="10">
        <v>76</v>
      </c>
      <c r="AJ197" t="s" s="10">
        <v>76</v>
      </c>
      <c r="AK197" t="s" s="10">
        <v>79</v>
      </c>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2"/>
      <c r="BP197" s="8"/>
    </row>
    <row r="198" ht="9" customHeight="1" hidden="1">
      <c r="A198" t="s" s="13">
        <v>663</v>
      </c>
      <c r="B198" t="s" s="15">
        <v>69</v>
      </c>
      <c r="C198" t="str" s="14" cm="1">
        <f t="array" ref="C198">_xlfn.IFERROR((VLOOKUP(A198,#REF!,2,FALSE)),"")</f>
      </c>
      <c r="D198" t="s" s="15">
        <v>70</v>
      </c>
      <c r="E198" t="s" s="15">
        <v>71</v>
      </c>
      <c r="F198" s="14"/>
      <c r="G198" t="s" s="15">
        <v>664</v>
      </c>
      <c r="H198" t="s" s="15">
        <v>664</v>
      </c>
      <c r="I198" t="s" s="15">
        <v>73</v>
      </c>
      <c r="J198" t="s" s="15">
        <v>74</v>
      </c>
      <c r="K198" t="s" s="15">
        <v>210</v>
      </c>
      <c r="L198" t="s" s="15">
        <v>76</v>
      </c>
      <c r="M198" t="s" s="15">
        <v>77</v>
      </c>
      <c r="N198" t="s" s="15">
        <v>664</v>
      </c>
      <c r="O198" t="s" s="15">
        <v>71</v>
      </c>
      <c r="P198" s="14"/>
      <c r="Q198" t="s" s="15">
        <v>78</v>
      </c>
      <c r="R198" t="s" s="15">
        <v>71</v>
      </c>
      <c r="S198" s="14"/>
      <c r="T198" s="14"/>
      <c r="U198" s="14"/>
      <c r="V198" t="s" s="15">
        <v>78</v>
      </c>
      <c r="W198" t="s" s="15">
        <v>663</v>
      </c>
      <c r="X198" t="s" s="15">
        <v>69</v>
      </c>
      <c r="Y198" s="14"/>
      <c r="Z198" t="s" s="15">
        <v>76</v>
      </c>
      <c r="AA198" s="14"/>
      <c r="AB198" t="s" s="15">
        <v>76</v>
      </c>
      <c r="AC198" s="14"/>
      <c r="AD198" s="14"/>
      <c r="AE198" s="14"/>
      <c r="AF198" s="14"/>
      <c r="AG198" s="14"/>
      <c r="AH198" s="14"/>
      <c r="AI198" t="s" s="15">
        <v>76</v>
      </c>
      <c r="AJ198" t="s" s="15">
        <v>76</v>
      </c>
      <c r="AK198" t="s" s="15">
        <v>79</v>
      </c>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6"/>
      <c r="BP198" s="8"/>
    </row>
    <row r="199" ht="9" customHeight="1" hidden="1">
      <c r="A199" t="s" s="9">
        <v>665</v>
      </c>
      <c r="B199" s="11"/>
      <c r="C199" t="str" s="11" cm="1">
        <f t="array" ref="C199">_xlfn.IFERROR((VLOOKUP(A199,#REF!,2,FALSE)),"")</f>
      </c>
      <c r="D199" t="s" s="10">
        <v>70</v>
      </c>
      <c r="E199" s="11"/>
      <c r="F199" s="11"/>
      <c r="G199" t="s" s="10">
        <v>641</v>
      </c>
      <c r="H199" t="s" s="10">
        <v>484</v>
      </c>
      <c r="I199" t="s" s="10">
        <v>111</v>
      </c>
      <c r="J199" t="s" s="10">
        <v>122</v>
      </c>
      <c r="K199" t="s" s="10">
        <v>75</v>
      </c>
      <c r="L199" t="s" s="10">
        <v>76</v>
      </c>
      <c r="M199" t="s" s="10">
        <v>77</v>
      </c>
      <c r="N199" t="s" s="10">
        <v>641</v>
      </c>
      <c r="O199" s="11"/>
      <c r="P199" s="11"/>
      <c r="Q199" t="s" s="10">
        <v>78</v>
      </c>
      <c r="R199" t="s" s="10">
        <v>83</v>
      </c>
      <c r="S199" s="11"/>
      <c r="T199" s="11"/>
      <c r="U199" s="11"/>
      <c r="V199" t="s" s="10">
        <v>78</v>
      </c>
      <c r="W199" s="11"/>
      <c r="X199" t="s" s="10">
        <v>69</v>
      </c>
      <c r="Y199" s="11"/>
      <c r="Z199" t="s" s="10">
        <v>76</v>
      </c>
      <c r="AA199" s="11"/>
      <c r="AB199" t="s" s="10">
        <v>76</v>
      </c>
      <c r="AC199" s="11"/>
      <c r="AD199" s="11"/>
      <c r="AE199" s="11"/>
      <c r="AF199" s="11"/>
      <c r="AG199" s="11"/>
      <c r="AH199" s="11"/>
      <c r="AI199" t="s" s="10">
        <v>76</v>
      </c>
      <c r="AJ199" t="s" s="10">
        <v>76</v>
      </c>
      <c r="AK199" t="s" s="10">
        <v>79</v>
      </c>
      <c r="AL199" t="s" s="10">
        <v>115</v>
      </c>
      <c r="AM199" s="11"/>
      <c r="AN199" s="11"/>
      <c r="AO199" s="11"/>
      <c r="AP199" s="11"/>
      <c r="AQ199" s="11"/>
      <c r="AR199" s="11"/>
      <c r="AS199" t="s" s="10">
        <v>666</v>
      </c>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2"/>
      <c r="BP199" s="8"/>
    </row>
    <row r="200" ht="9" customHeight="1" hidden="1">
      <c r="A200" t="s" s="13">
        <v>667</v>
      </c>
      <c r="B200" t="s" s="15">
        <v>69</v>
      </c>
      <c r="C200" t="str" s="14" cm="1">
        <f t="array" ref="C200">_xlfn.IFERROR((VLOOKUP(A200,#REF!,2,FALSE)),"")</f>
      </c>
      <c r="D200" t="s" s="15">
        <v>70</v>
      </c>
      <c r="E200" t="s" s="15">
        <v>71</v>
      </c>
      <c r="F200" s="14"/>
      <c r="G200" t="s" s="15">
        <v>668</v>
      </c>
      <c r="H200" t="s" s="15">
        <v>669</v>
      </c>
      <c r="I200" t="s" s="15">
        <v>73</v>
      </c>
      <c r="J200" t="s" s="15">
        <v>74</v>
      </c>
      <c r="K200" t="s" s="15">
        <v>203</v>
      </c>
      <c r="L200" t="s" s="15">
        <v>76</v>
      </c>
      <c r="M200" t="s" s="15">
        <v>77</v>
      </c>
      <c r="N200" t="s" s="15">
        <v>668</v>
      </c>
      <c r="O200" t="s" s="15">
        <v>71</v>
      </c>
      <c r="P200" s="14"/>
      <c r="Q200" t="s" s="15">
        <v>78</v>
      </c>
      <c r="R200" t="s" s="15">
        <v>71</v>
      </c>
      <c r="S200" s="14"/>
      <c r="T200" s="14"/>
      <c r="U200" s="14"/>
      <c r="V200" t="s" s="15">
        <v>78</v>
      </c>
      <c r="W200" t="s" s="15">
        <v>667</v>
      </c>
      <c r="X200" t="s" s="15">
        <v>69</v>
      </c>
      <c r="Y200" s="14"/>
      <c r="Z200" t="s" s="15">
        <v>76</v>
      </c>
      <c r="AA200" s="14"/>
      <c r="AB200" t="s" s="15">
        <v>76</v>
      </c>
      <c r="AC200" s="14"/>
      <c r="AD200" s="14"/>
      <c r="AE200" s="14"/>
      <c r="AF200" s="14"/>
      <c r="AG200" s="14"/>
      <c r="AH200" s="14"/>
      <c r="AI200" t="s" s="15">
        <v>76</v>
      </c>
      <c r="AJ200" t="s" s="15">
        <v>76</v>
      </c>
      <c r="AK200" t="s" s="15">
        <v>79</v>
      </c>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6"/>
      <c r="BP200" s="8"/>
    </row>
    <row r="201" ht="9" customHeight="1" hidden="1">
      <c r="A201" t="s" s="9">
        <v>670</v>
      </c>
      <c r="B201" t="s" s="10">
        <v>69</v>
      </c>
      <c r="C201" t="str" s="11" cm="1">
        <f t="array" ref="C201">_xlfn.IFERROR((VLOOKUP(A201,#REF!,2,FALSE)),"")</f>
      </c>
      <c r="D201" t="s" s="10">
        <v>70</v>
      </c>
      <c r="E201" t="s" s="10">
        <v>71</v>
      </c>
      <c r="F201" s="11"/>
      <c r="G201" t="s" s="10">
        <v>668</v>
      </c>
      <c r="H201" t="s" s="10">
        <v>669</v>
      </c>
      <c r="I201" t="s" s="10">
        <v>73</v>
      </c>
      <c r="J201" t="s" s="10">
        <v>74</v>
      </c>
      <c r="K201" t="s" s="10">
        <v>203</v>
      </c>
      <c r="L201" t="s" s="10">
        <v>76</v>
      </c>
      <c r="M201" t="s" s="10">
        <v>77</v>
      </c>
      <c r="N201" t="s" s="10">
        <v>668</v>
      </c>
      <c r="O201" t="s" s="10">
        <v>71</v>
      </c>
      <c r="P201" s="11"/>
      <c r="Q201" t="s" s="10">
        <v>78</v>
      </c>
      <c r="R201" t="s" s="10">
        <v>71</v>
      </c>
      <c r="S201" s="11"/>
      <c r="T201" s="11"/>
      <c r="U201" s="11"/>
      <c r="V201" t="s" s="10">
        <v>78</v>
      </c>
      <c r="W201" t="s" s="10">
        <v>670</v>
      </c>
      <c r="X201" t="s" s="10">
        <v>69</v>
      </c>
      <c r="Y201" s="11"/>
      <c r="Z201" t="s" s="10">
        <v>76</v>
      </c>
      <c r="AA201" s="11"/>
      <c r="AB201" t="s" s="10">
        <v>76</v>
      </c>
      <c r="AC201" s="11"/>
      <c r="AD201" s="11"/>
      <c r="AE201" s="11"/>
      <c r="AF201" s="11"/>
      <c r="AG201" s="11"/>
      <c r="AH201" s="11"/>
      <c r="AI201" t="s" s="10">
        <v>76</v>
      </c>
      <c r="AJ201" t="s" s="10">
        <v>76</v>
      </c>
      <c r="AK201" t="s" s="10">
        <v>79</v>
      </c>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2"/>
      <c r="BP201" s="8"/>
    </row>
    <row r="202" ht="9" customHeight="1" hidden="1">
      <c r="A202" t="s" s="13">
        <v>671</v>
      </c>
      <c r="B202" t="s" s="15">
        <v>69</v>
      </c>
      <c r="C202" t="str" s="14" cm="1">
        <f t="array" ref="C202">_xlfn.IFERROR((VLOOKUP(A202,#REF!,2,FALSE)),"")</f>
      </c>
      <c r="D202" t="s" s="15">
        <v>70</v>
      </c>
      <c r="E202" t="s" s="15">
        <v>672</v>
      </c>
      <c r="F202" s="14"/>
      <c r="G202" t="s" s="15">
        <v>673</v>
      </c>
      <c r="H202" t="s" s="15">
        <v>127</v>
      </c>
      <c r="I202" t="s" s="15">
        <v>111</v>
      </c>
      <c r="J202" t="s" s="15">
        <v>122</v>
      </c>
      <c r="K202" t="s" s="15">
        <v>210</v>
      </c>
      <c r="L202" t="s" s="15">
        <v>76</v>
      </c>
      <c r="M202" t="s" s="15">
        <v>77</v>
      </c>
      <c r="N202" t="s" s="15">
        <v>674</v>
      </c>
      <c r="O202" t="s" s="15">
        <v>286</v>
      </c>
      <c r="P202" s="14"/>
      <c r="Q202" t="s" s="15">
        <v>78</v>
      </c>
      <c r="R202" t="s" s="15">
        <v>323</v>
      </c>
      <c r="S202" s="14"/>
      <c r="T202" s="14"/>
      <c r="U202" s="14"/>
      <c r="V202" t="s" s="15">
        <v>78</v>
      </c>
      <c r="W202" t="s" s="15">
        <v>671</v>
      </c>
      <c r="X202" t="s" s="15">
        <v>69</v>
      </c>
      <c r="Y202" s="14"/>
      <c r="Z202" t="s" s="15">
        <v>76</v>
      </c>
      <c r="AA202" s="14"/>
      <c r="AB202" t="s" s="15">
        <v>76</v>
      </c>
      <c r="AC202" s="14"/>
      <c r="AD202" s="14"/>
      <c r="AE202" s="14"/>
      <c r="AF202" s="14"/>
      <c r="AG202" t="s" s="15">
        <v>299</v>
      </c>
      <c r="AH202" t="s" s="15">
        <v>114</v>
      </c>
      <c r="AI202" t="s" s="15">
        <v>604</v>
      </c>
      <c r="AJ202" s="14"/>
      <c r="AK202" t="s" s="15">
        <v>83</v>
      </c>
      <c r="AL202" t="s" s="15">
        <v>115</v>
      </c>
      <c r="AM202" s="14"/>
      <c r="AN202" t="s" s="15">
        <v>128</v>
      </c>
      <c r="AO202" s="14"/>
      <c r="AP202" s="14"/>
      <c r="AQ202" s="14"/>
      <c r="AR202" s="14"/>
      <c r="AS202" t="s" s="15">
        <v>675</v>
      </c>
      <c r="AT202" t="s" s="15">
        <v>301</v>
      </c>
      <c r="AU202" t="s" s="15">
        <v>646</v>
      </c>
      <c r="AV202" t="s" s="15">
        <v>76</v>
      </c>
      <c r="AW202" s="14"/>
      <c r="AX202" s="14"/>
      <c r="AY202" s="14"/>
      <c r="AZ202" s="14"/>
      <c r="BA202" s="14"/>
      <c r="BB202" s="14"/>
      <c r="BC202" s="14"/>
      <c r="BD202" s="14"/>
      <c r="BE202" s="14"/>
      <c r="BF202" s="14"/>
      <c r="BG202" s="14"/>
      <c r="BH202" s="14"/>
      <c r="BI202" s="14"/>
      <c r="BJ202" s="14"/>
      <c r="BK202" s="14"/>
      <c r="BL202" s="14"/>
      <c r="BM202" s="14"/>
      <c r="BN202" s="14"/>
      <c r="BO202" s="16"/>
      <c r="BP202" s="8"/>
    </row>
    <row r="203" ht="9" customHeight="1" hidden="1">
      <c r="A203" t="s" s="26">
        <v>676</v>
      </c>
      <c r="B203" s="11"/>
      <c r="C203" t="str" s="11" cm="1">
        <f t="array" ref="C203">_xlfn.IFERROR((VLOOKUP(A203,#REF!,2,FALSE)),"")</f>
      </c>
      <c r="D203" t="s" s="10">
        <v>70</v>
      </c>
      <c r="E203" t="s" s="10">
        <v>450</v>
      </c>
      <c r="F203" s="11"/>
      <c r="G203" t="s" s="10">
        <v>677</v>
      </c>
      <c r="H203" t="s" s="10">
        <v>462</v>
      </c>
      <c r="I203" t="s" s="10">
        <v>111</v>
      </c>
      <c r="J203" t="s" s="10">
        <v>452</v>
      </c>
      <c r="K203" t="s" s="10">
        <v>75</v>
      </c>
      <c r="L203" t="s" s="10">
        <v>76</v>
      </c>
      <c r="M203" t="s" s="10">
        <v>77</v>
      </c>
      <c r="N203" t="s" s="10">
        <v>677</v>
      </c>
      <c r="O203" s="11"/>
      <c r="P203" s="11"/>
      <c r="Q203" t="s" s="10">
        <v>78</v>
      </c>
      <c r="R203" t="s" s="10">
        <v>83</v>
      </c>
      <c r="S203" t="s" s="10">
        <v>69</v>
      </c>
      <c r="T203" s="11"/>
      <c r="U203" s="11"/>
      <c r="V203" t="s" s="10">
        <v>78</v>
      </c>
      <c r="W203" s="11"/>
      <c r="X203" t="s" s="10">
        <v>69</v>
      </c>
      <c r="Y203" s="11"/>
      <c r="Z203" t="s" s="10">
        <v>76</v>
      </c>
      <c r="AA203" s="11"/>
      <c r="AB203" t="s" s="10">
        <v>76</v>
      </c>
      <c r="AC203" s="11"/>
      <c r="AD203" s="11"/>
      <c r="AE203" s="11"/>
      <c r="AF203" s="11"/>
      <c r="AG203" s="11"/>
      <c r="AH203" s="11"/>
      <c r="AI203" t="s" s="10">
        <v>76</v>
      </c>
      <c r="AJ203" t="s" s="10">
        <v>76</v>
      </c>
      <c r="AK203" t="s" s="10">
        <v>79</v>
      </c>
      <c r="AL203" t="s" s="10">
        <v>115</v>
      </c>
      <c r="AM203" s="11"/>
      <c r="AN203" s="11"/>
      <c r="AO203" s="11"/>
      <c r="AP203" s="11"/>
      <c r="AQ203" s="11"/>
      <c r="AR203" s="11"/>
      <c r="AS203" t="s" s="10">
        <v>678</v>
      </c>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2"/>
      <c r="BP203" s="8"/>
    </row>
    <row r="204" ht="9" customHeight="1" hidden="1">
      <c r="A204" t="s" s="13">
        <v>679</v>
      </c>
      <c r="B204" s="14"/>
      <c r="C204" t="str" s="14" cm="1">
        <f t="array" ref="C204">_xlfn.IFERROR((VLOOKUP(A204,#REF!,2,FALSE)),"")</f>
      </c>
      <c r="D204" s="14"/>
      <c r="E204" t="s" s="15">
        <v>680</v>
      </c>
      <c r="F204" s="14"/>
      <c r="G204" t="s" s="15">
        <v>681</v>
      </c>
      <c r="H204" t="s" s="15">
        <v>534</v>
      </c>
      <c r="I204" t="s" s="15">
        <v>111</v>
      </c>
      <c r="J204" t="s" s="15">
        <v>122</v>
      </c>
      <c r="K204" t="s" s="15">
        <v>140</v>
      </c>
      <c r="L204" t="s" s="15">
        <v>76</v>
      </c>
      <c r="M204" t="s" s="15">
        <v>77</v>
      </c>
      <c r="N204" t="s" s="15">
        <v>681</v>
      </c>
      <c r="O204" s="14"/>
      <c r="P204" s="14"/>
      <c r="Q204" t="s" s="15">
        <v>69</v>
      </c>
      <c r="R204" t="s" s="15">
        <v>83</v>
      </c>
      <c r="S204" t="s" s="15">
        <v>69</v>
      </c>
      <c r="T204" s="14"/>
      <c r="U204" s="14"/>
      <c r="V204" t="s" s="15">
        <v>69</v>
      </c>
      <c r="W204" s="14"/>
      <c r="X204" t="s" s="15">
        <v>69</v>
      </c>
      <c r="Y204" s="14"/>
      <c r="Z204" t="s" s="15">
        <v>76</v>
      </c>
      <c r="AA204" s="14"/>
      <c r="AB204" t="s" s="15">
        <v>76</v>
      </c>
      <c r="AC204" t="s" s="15">
        <v>679</v>
      </c>
      <c r="AD204" s="14"/>
      <c r="AE204" s="14"/>
      <c r="AF204" s="14"/>
      <c r="AG204" t="s" s="15">
        <v>299</v>
      </c>
      <c r="AH204" t="s" s="15">
        <v>114</v>
      </c>
      <c r="AI204" t="s" s="15">
        <v>604</v>
      </c>
      <c r="AJ204" s="14"/>
      <c r="AK204" t="s" s="15">
        <v>83</v>
      </c>
      <c r="AL204" t="s" s="15">
        <v>115</v>
      </c>
      <c r="AM204" s="14"/>
      <c r="AN204" t="s" s="15">
        <v>116</v>
      </c>
      <c r="AO204" s="14"/>
      <c r="AP204" s="14"/>
      <c r="AQ204" s="14"/>
      <c r="AR204" s="14"/>
      <c r="AS204" t="s" s="15">
        <v>682</v>
      </c>
      <c r="AT204" s="14"/>
      <c r="AU204" s="14"/>
      <c r="AV204" s="14"/>
      <c r="AW204" s="14"/>
      <c r="AX204" s="14"/>
      <c r="AY204" s="14"/>
      <c r="AZ204" s="14"/>
      <c r="BA204" s="14"/>
      <c r="BB204" s="14"/>
      <c r="BC204" s="14"/>
      <c r="BD204" t="s" s="15">
        <v>118</v>
      </c>
      <c r="BE204" s="14"/>
      <c r="BF204" s="14"/>
      <c r="BG204" s="14"/>
      <c r="BH204" s="14"/>
      <c r="BI204" s="14"/>
      <c r="BJ204" s="14"/>
      <c r="BK204" s="14"/>
      <c r="BL204" s="14"/>
      <c r="BM204" s="14"/>
      <c r="BN204" s="14"/>
      <c r="BO204" s="16"/>
      <c r="BP204" s="8"/>
    </row>
    <row r="205" ht="9" customHeight="1" hidden="1">
      <c r="A205" t="s" s="9">
        <v>683</v>
      </c>
      <c r="B205" s="11"/>
      <c r="C205" t="str" s="11" cm="1">
        <f t="array" ref="C205">_xlfn.IFERROR((VLOOKUP(A205,#REF!,2,FALSE)),"")</f>
      </c>
      <c r="D205" t="s" s="10">
        <v>70</v>
      </c>
      <c r="E205" t="s" s="10">
        <v>450</v>
      </c>
      <c r="F205" s="11"/>
      <c r="G205" t="s" s="10">
        <v>684</v>
      </c>
      <c r="H205" t="s" s="10">
        <v>484</v>
      </c>
      <c r="I205" t="s" s="10">
        <v>111</v>
      </c>
      <c r="J205" t="s" s="10">
        <v>452</v>
      </c>
      <c r="K205" t="s" s="10">
        <v>75</v>
      </c>
      <c r="L205" t="s" s="10">
        <v>76</v>
      </c>
      <c r="M205" t="s" s="10">
        <v>77</v>
      </c>
      <c r="N205" t="s" s="10">
        <v>684</v>
      </c>
      <c r="O205" s="11"/>
      <c r="P205" s="11"/>
      <c r="Q205" t="s" s="10">
        <v>78</v>
      </c>
      <c r="R205" t="s" s="10">
        <v>83</v>
      </c>
      <c r="S205" t="s" s="10">
        <v>69</v>
      </c>
      <c r="T205" s="11"/>
      <c r="U205" s="11"/>
      <c r="V205" t="s" s="10">
        <v>78</v>
      </c>
      <c r="W205" s="11"/>
      <c r="X205" t="s" s="10">
        <v>69</v>
      </c>
      <c r="Y205" s="11"/>
      <c r="Z205" t="s" s="10">
        <v>76</v>
      </c>
      <c r="AA205" s="11"/>
      <c r="AB205" t="s" s="10">
        <v>76</v>
      </c>
      <c r="AC205" s="11"/>
      <c r="AD205" s="11"/>
      <c r="AE205" s="11"/>
      <c r="AF205" s="11"/>
      <c r="AG205" s="11"/>
      <c r="AH205" s="11"/>
      <c r="AI205" t="s" s="10">
        <v>76</v>
      </c>
      <c r="AJ205" t="s" s="10">
        <v>76</v>
      </c>
      <c r="AK205" t="s" s="10">
        <v>79</v>
      </c>
      <c r="AL205" t="s" s="10">
        <v>115</v>
      </c>
      <c r="AM205" s="11"/>
      <c r="AN205" s="11"/>
      <c r="AO205" s="11"/>
      <c r="AP205" s="11"/>
      <c r="AQ205" s="11"/>
      <c r="AR205" s="11"/>
      <c r="AS205" t="s" s="10">
        <v>685</v>
      </c>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2"/>
      <c r="BP205" s="8"/>
    </row>
    <row r="206" ht="9" customHeight="1" hidden="1">
      <c r="A206" t="s" s="13">
        <v>686</v>
      </c>
      <c r="B206" s="14"/>
      <c r="C206" t="str" s="14" cm="1">
        <f t="array" ref="C206">_xlfn.IFERROR((VLOOKUP(A206,#REF!,2,FALSE)),"")</f>
      </c>
      <c r="D206" t="s" s="15">
        <v>70</v>
      </c>
      <c r="E206" t="s" s="15">
        <v>687</v>
      </c>
      <c r="F206" s="14"/>
      <c r="G206" t="s" s="15">
        <v>688</v>
      </c>
      <c r="H206" t="s" s="15">
        <v>689</v>
      </c>
      <c r="I206" t="s" s="15">
        <v>111</v>
      </c>
      <c r="J206" t="s" s="15">
        <v>452</v>
      </c>
      <c r="K206" t="s" s="15">
        <v>140</v>
      </c>
      <c r="L206" t="s" s="15">
        <v>76</v>
      </c>
      <c r="M206" t="s" s="15">
        <v>77</v>
      </c>
      <c r="N206" t="s" s="15">
        <v>688</v>
      </c>
      <c r="O206" s="14"/>
      <c r="P206" s="14"/>
      <c r="Q206" t="s" s="15">
        <v>69</v>
      </c>
      <c r="R206" t="s" s="15">
        <v>339</v>
      </c>
      <c r="S206" t="s" s="15">
        <v>69</v>
      </c>
      <c r="T206" s="14"/>
      <c r="U206" s="14"/>
      <c r="V206" t="s" s="15">
        <v>69</v>
      </c>
      <c r="W206" s="14"/>
      <c r="X206" t="s" s="15">
        <v>69</v>
      </c>
      <c r="Y206" s="14"/>
      <c r="Z206" t="s" s="15">
        <v>76</v>
      </c>
      <c r="AA206" s="14"/>
      <c r="AB206" t="s" s="15">
        <v>76</v>
      </c>
      <c r="AC206" t="s" s="15">
        <v>686</v>
      </c>
      <c r="AD206" s="14"/>
      <c r="AE206" s="14"/>
      <c r="AF206" s="14"/>
      <c r="AG206" t="s" s="15">
        <v>288</v>
      </c>
      <c r="AH206" t="s" s="15">
        <v>114</v>
      </c>
      <c r="AI206" t="s" s="15">
        <v>604</v>
      </c>
      <c r="AJ206" s="14"/>
      <c r="AK206" t="s" s="15">
        <v>83</v>
      </c>
      <c r="AL206" t="s" s="15">
        <v>115</v>
      </c>
      <c r="AM206" s="14"/>
      <c r="AN206" t="s" s="15">
        <v>128</v>
      </c>
      <c r="AO206" s="14"/>
      <c r="AP206" s="14"/>
      <c r="AQ206" s="14"/>
      <c r="AR206" s="14"/>
      <c r="AS206" t="s" s="15">
        <v>690</v>
      </c>
      <c r="AT206" s="14"/>
      <c r="AU206" s="14"/>
      <c r="AV206" s="14"/>
      <c r="AW206" s="14"/>
      <c r="AX206" s="14"/>
      <c r="AY206" s="14"/>
      <c r="AZ206" s="14"/>
      <c r="BA206" s="14"/>
      <c r="BB206" s="14"/>
      <c r="BC206" s="14"/>
      <c r="BD206" t="s" s="15">
        <v>118</v>
      </c>
      <c r="BE206" s="14"/>
      <c r="BF206" s="14"/>
      <c r="BG206" s="14"/>
      <c r="BH206" s="14"/>
      <c r="BI206" s="14"/>
      <c r="BJ206" s="14"/>
      <c r="BK206" s="14"/>
      <c r="BL206" s="14"/>
      <c r="BM206" s="14"/>
      <c r="BN206" s="14"/>
      <c r="BO206" s="16"/>
      <c r="BP206" s="8"/>
    </row>
    <row r="207" ht="9" customHeight="1" hidden="1">
      <c r="A207" t="s" s="9">
        <v>691</v>
      </c>
      <c r="B207" s="11"/>
      <c r="C207" t="str" s="11" cm="1">
        <f t="array" ref="C207">_xlfn.IFERROR((VLOOKUP(A207,#REF!,2,FALSE)),"")</f>
      </c>
      <c r="D207" s="11"/>
      <c r="E207" t="s" s="10">
        <v>687</v>
      </c>
      <c r="F207" s="11"/>
      <c r="G207" t="s" s="10">
        <v>692</v>
      </c>
      <c r="H207" t="s" s="10">
        <v>693</v>
      </c>
      <c r="I207" t="s" s="10">
        <v>111</v>
      </c>
      <c r="J207" t="s" s="10">
        <v>122</v>
      </c>
      <c r="K207" t="s" s="10">
        <v>140</v>
      </c>
      <c r="L207" t="s" s="10">
        <v>76</v>
      </c>
      <c r="M207" t="s" s="10">
        <v>77</v>
      </c>
      <c r="N207" t="s" s="10">
        <v>692</v>
      </c>
      <c r="O207" s="11"/>
      <c r="P207" s="11"/>
      <c r="Q207" t="s" s="10">
        <v>69</v>
      </c>
      <c r="R207" t="s" s="10">
        <v>323</v>
      </c>
      <c r="S207" t="s" s="10">
        <v>69</v>
      </c>
      <c r="T207" s="11"/>
      <c r="U207" s="11"/>
      <c r="V207" t="s" s="10">
        <v>69</v>
      </c>
      <c r="W207" s="11"/>
      <c r="X207" t="s" s="10">
        <v>69</v>
      </c>
      <c r="Y207" s="11"/>
      <c r="Z207" t="s" s="10">
        <v>76</v>
      </c>
      <c r="AA207" s="11"/>
      <c r="AB207" t="s" s="10">
        <v>76</v>
      </c>
      <c r="AC207" s="11"/>
      <c r="AD207" s="11"/>
      <c r="AE207" s="11"/>
      <c r="AF207" s="11"/>
      <c r="AG207" t="s" s="10">
        <v>299</v>
      </c>
      <c r="AH207" t="s" s="10">
        <v>114</v>
      </c>
      <c r="AI207" t="s" s="10">
        <v>604</v>
      </c>
      <c r="AJ207" s="11"/>
      <c r="AK207" t="s" s="10">
        <v>83</v>
      </c>
      <c r="AL207" t="s" s="10">
        <v>115</v>
      </c>
      <c r="AM207" s="11"/>
      <c r="AN207" t="s" s="10">
        <v>128</v>
      </c>
      <c r="AO207" s="11"/>
      <c r="AP207" s="11"/>
      <c r="AQ207" s="11"/>
      <c r="AR207" s="11"/>
      <c r="AS207" t="s" s="10">
        <v>694</v>
      </c>
      <c r="AT207" s="11"/>
      <c r="AU207" s="11"/>
      <c r="AV207" s="11"/>
      <c r="AW207" s="11"/>
      <c r="AX207" s="11"/>
      <c r="AY207" s="11"/>
      <c r="AZ207" s="11"/>
      <c r="BA207" s="11"/>
      <c r="BB207" s="11"/>
      <c r="BC207" s="11"/>
      <c r="BD207" t="s" s="10">
        <v>118</v>
      </c>
      <c r="BE207" s="11"/>
      <c r="BF207" s="11"/>
      <c r="BG207" s="11"/>
      <c r="BH207" s="11"/>
      <c r="BI207" s="11"/>
      <c r="BJ207" s="11"/>
      <c r="BK207" s="11"/>
      <c r="BL207" s="11"/>
      <c r="BM207" s="11"/>
      <c r="BN207" s="11"/>
      <c r="BO207" s="12"/>
      <c r="BP207" s="8"/>
    </row>
    <row r="208" ht="9" customHeight="1" hidden="1">
      <c r="A208" t="s" s="13">
        <v>695</v>
      </c>
      <c r="B208" s="14"/>
      <c r="C208" t="str" s="14" cm="1">
        <f t="array" ref="C208">_xlfn.IFERROR((VLOOKUP(A208,#REF!,2,FALSE)),"")</f>
      </c>
      <c r="D208" t="s" s="15">
        <v>70</v>
      </c>
      <c r="E208" s="14"/>
      <c r="F208" s="14"/>
      <c r="G208" t="s" s="15">
        <v>684</v>
      </c>
      <c r="H208" t="s" s="15">
        <v>484</v>
      </c>
      <c r="I208" t="s" s="15">
        <v>111</v>
      </c>
      <c r="J208" t="s" s="15">
        <v>122</v>
      </c>
      <c r="K208" t="s" s="15">
        <v>75</v>
      </c>
      <c r="L208" t="s" s="15">
        <v>76</v>
      </c>
      <c r="M208" t="s" s="15">
        <v>77</v>
      </c>
      <c r="N208" t="s" s="15">
        <v>684</v>
      </c>
      <c r="O208" s="14"/>
      <c r="P208" s="14"/>
      <c r="Q208" t="s" s="15">
        <v>78</v>
      </c>
      <c r="R208" t="s" s="15">
        <v>83</v>
      </c>
      <c r="S208" t="s" s="15">
        <v>69</v>
      </c>
      <c r="T208" s="14"/>
      <c r="U208" s="14"/>
      <c r="V208" t="s" s="15">
        <v>78</v>
      </c>
      <c r="W208" s="14"/>
      <c r="X208" t="s" s="15">
        <v>69</v>
      </c>
      <c r="Y208" s="14"/>
      <c r="Z208" t="s" s="15">
        <v>76</v>
      </c>
      <c r="AA208" s="14"/>
      <c r="AB208" t="s" s="15">
        <v>76</v>
      </c>
      <c r="AC208" s="14"/>
      <c r="AD208" s="14"/>
      <c r="AE208" s="14"/>
      <c r="AF208" s="14"/>
      <c r="AG208" s="14"/>
      <c r="AH208" s="14"/>
      <c r="AI208" t="s" s="15">
        <v>76</v>
      </c>
      <c r="AJ208" t="s" s="15">
        <v>76</v>
      </c>
      <c r="AK208" t="s" s="15">
        <v>79</v>
      </c>
      <c r="AL208" t="s" s="15">
        <v>115</v>
      </c>
      <c r="AM208" s="14"/>
      <c r="AN208" s="14"/>
      <c r="AO208" s="14"/>
      <c r="AP208" s="14"/>
      <c r="AQ208" s="14"/>
      <c r="AR208" s="14"/>
      <c r="AS208" t="s" s="15">
        <v>696</v>
      </c>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6"/>
      <c r="BP208" s="8"/>
    </row>
    <row r="209" ht="9" customHeight="1" hidden="1">
      <c r="A209" t="s" s="9">
        <v>697</v>
      </c>
      <c r="B209" s="11"/>
      <c r="C209" t="str" s="11" cm="1">
        <f t="array" ref="C209">_xlfn.IFERROR((VLOOKUP(A209,#REF!,2,FALSE)),"")</f>
      </c>
      <c r="D209" t="s" s="10">
        <v>70</v>
      </c>
      <c r="E209" s="11"/>
      <c r="F209" s="11"/>
      <c r="G209" t="s" s="10">
        <v>684</v>
      </c>
      <c r="H209" t="s" s="10">
        <v>484</v>
      </c>
      <c r="I209" t="s" s="10">
        <v>111</v>
      </c>
      <c r="J209" t="s" s="10">
        <v>122</v>
      </c>
      <c r="K209" t="s" s="10">
        <v>75</v>
      </c>
      <c r="L209" t="s" s="10">
        <v>76</v>
      </c>
      <c r="M209" t="s" s="10">
        <v>77</v>
      </c>
      <c r="N209" t="s" s="10">
        <v>684</v>
      </c>
      <c r="O209" s="11"/>
      <c r="P209" s="11"/>
      <c r="Q209" t="s" s="10">
        <v>78</v>
      </c>
      <c r="R209" t="s" s="10">
        <v>83</v>
      </c>
      <c r="S209" t="s" s="10">
        <v>69</v>
      </c>
      <c r="T209" s="11"/>
      <c r="U209" s="11"/>
      <c r="V209" t="s" s="10">
        <v>78</v>
      </c>
      <c r="W209" s="11"/>
      <c r="X209" t="s" s="10">
        <v>69</v>
      </c>
      <c r="Y209" s="11"/>
      <c r="Z209" t="s" s="10">
        <v>76</v>
      </c>
      <c r="AA209" s="11"/>
      <c r="AB209" t="s" s="10">
        <v>76</v>
      </c>
      <c r="AC209" s="11"/>
      <c r="AD209" s="11"/>
      <c r="AE209" s="11"/>
      <c r="AF209" s="11"/>
      <c r="AG209" s="11"/>
      <c r="AH209" s="11"/>
      <c r="AI209" t="s" s="10">
        <v>76</v>
      </c>
      <c r="AJ209" t="s" s="10">
        <v>76</v>
      </c>
      <c r="AK209" t="s" s="10">
        <v>79</v>
      </c>
      <c r="AL209" t="s" s="10">
        <v>115</v>
      </c>
      <c r="AM209" s="11"/>
      <c r="AN209" s="11"/>
      <c r="AO209" s="11"/>
      <c r="AP209" s="11"/>
      <c r="AQ209" s="11"/>
      <c r="AR209" s="11"/>
      <c r="AS209" t="s" s="10">
        <v>698</v>
      </c>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2"/>
      <c r="BP209" s="8"/>
    </row>
    <row r="210" ht="15" customHeight="1" hidden="1">
      <c r="A210" t="s" s="13">
        <v>699</v>
      </c>
      <c r="B210" s="14"/>
      <c r="C210" t="str" s="14" cm="1">
        <f t="array" ref="C210">_xlfn.IFERROR((VLOOKUP(A210,#REF!,2,FALSE)),"")</f>
      </c>
      <c r="D210" s="14"/>
      <c r="E210" t="s" s="15">
        <v>687</v>
      </c>
      <c r="F210" s="14"/>
      <c r="G210" t="s" s="15">
        <v>681</v>
      </c>
      <c r="H210" t="s" s="15">
        <v>534</v>
      </c>
      <c r="I210" t="s" s="15">
        <v>111</v>
      </c>
      <c r="J210" t="s" s="15">
        <v>122</v>
      </c>
      <c r="K210" t="s" s="15">
        <v>140</v>
      </c>
      <c r="L210" t="s" s="15">
        <v>76</v>
      </c>
      <c r="M210" t="s" s="15">
        <v>77</v>
      </c>
      <c r="N210" t="s" s="15">
        <v>681</v>
      </c>
      <c r="O210" s="14"/>
      <c r="P210" s="14"/>
      <c r="Q210" t="s" s="15">
        <v>69</v>
      </c>
      <c r="R210" t="s" s="15">
        <v>83</v>
      </c>
      <c r="S210" t="s" s="15">
        <v>69</v>
      </c>
      <c r="T210" s="14"/>
      <c r="U210" s="14"/>
      <c r="V210" t="s" s="15">
        <v>69</v>
      </c>
      <c r="W210" s="14"/>
      <c r="X210" t="s" s="15">
        <v>69</v>
      </c>
      <c r="Y210" s="14"/>
      <c r="Z210" t="s" s="15">
        <v>76</v>
      </c>
      <c r="AA210" s="14"/>
      <c r="AB210" t="s" s="15">
        <v>76</v>
      </c>
      <c r="AC210" s="14"/>
      <c r="AD210" s="14"/>
      <c r="AE210" s="14"/>
      <c r="AF210" s="14"/>
      <c r="AG210" t="s" s="15">
        <v>299</v>
      </c>
      <c r="AH210" t="s" s="15">
        <v>114</v>
      </c>
      <c r="AI210" t="s" s="15">
        <v>604</v>
      </c>
      <c r="AJ210" s="14"/>
      <c r="AK210" t="s" s="15">
        <v>83</v>
      </c>
      <c r="AL210" t="s" s="15">
        <v>115</v>
      </c>
      <c r="AM210" s="14"/>
      <c r="AN210" t="s" s="15">
        <v>116</v>
      </c>
      <c r="AO210" s="14"/>
      <c r="AP210" s="14"/>
      <c r="AQ210" s="14"/>
      <c r="AR210" s="14"/>
      <c r="AS210" t="s" s="15">
        <v>700</v>
      </c>
      <c r="AT210" s="14"/>
      <c r="AU210" s="14"/>
      <c r="AV210" s="14"/>
      <c r="AW210" s="14"/>
      <c r="AX210" s="14"/>
      <c r="AY210" s="14"/>
      <c r="AZ210" s="14"/>
      <c r="BA210" s="14"/>
      <c r="BB210" s="14"/>
      <c r="BC210" s="14"/>
      <c r="BD210" t="s" s="15">
        <v>118</v>
      </c>
      <c r="BE210" s="14"/>
      <c r="BF210" s="14"/>
      <c r="BG210" s="14"/>
      <c r="BH210" s="14"/>
      <c r="BI210" s="14"/>
      <c r="BJ210" s="14"/>
      <c r="BK210" s="14"/>
      <c r="BL210" s="14"/>
      <c r="BM210" s="14"/>
      <c r="BN210" s="14"/>
      <c r="BO210" s="16"/>
      <c r="BP210" s="8"/>
    </row>
    <row r="211" ht="9" customHeight="1" hidden="1">
      <c r="A211" t="s" s="9">
        <v>701</v>
      </c>
      <c r="B211" s="11"/>
      <c r="C211" t="str" s="11" cm="1">
        <f t="array" ref="C211">_xlfn.IFERROR((VLOOKUP(A211,#REF!,2,FALSE)),"")</f>
      </c>
      <c r="D211" t="s" s="10">
        <v>70</v>
      </c>
      <c r="E211" t="s" s="10">
        <v>450</v>
      </c>
      <c r="F211" s="11"/>
      <c r="G211" t="s" s="10">
        <v>677</v>
      </c>
      <c r="H211" t="s" s="10">
        <v>462</v>
      </c>
      <c r="I211" t="s" s="10">
        <v>111</v>
      </c>
      <c r="J211" t="s" s="10">
        <v>452</v>
      </c>
      <c r="K211" t="s" s="10">
        <v>75</v>
      </c>
      <c r="L211" t="s" s="10">
        <v>76</v>
      </c>
      <c r="M211" t="s" s="10">
        <v>77</v>
      </c>
      <c r="N211" t="s" s="10">
        <v>677</v>
      </c>
      <c r="O211" s="11"/>
      <c r="P211" s="11"/>
      <c r="Q211" t="s" s="10">
        <v>78</v>
      </c>
      <c r="R211" t="s" s="10">
        <v>83</v>
      </c>
      <c r="S211" t="s" s="10">
        <v>69</v>
      </c>
      <c r="T211" s="11"/>
      <c r="U211" s="11"/>
      <c r="V211" t="s" s="10">
        <v>78</v>
      </c>
      <c r="W211" s="11"/>
      <c r="X211" t="s" s="10">
        <v>69</v>
      </c>
      <c r="Y211" s="11"/>
      <c r="Z211" t="s" s="10">
        <v>76</v>
      </c>
      <c r="AA211" s="11"/>
      <c r="AB211" t="s" s="10">
        <v>76</v>
      </c>
      <c r="AC211" s="11"/>
      <c r="AD211" s="11"/>
      <c r="AE211" s="11"/>
      <c r="AF211" s="11"/>
      <c r="AG211" s="11"/>
      <c r="AH211" s="11"/>
      <c r="AI211" t="s" s="10">
        <v>76</v>
      </c>
      <c r="AJ211" t="s" s="10">
        <v>76</v>
      </c>
      <c r="AK211" t="s" s="10">
        <v>79</v>
      </c>
      <c r="AL211" t="s" s="10">
        <v>115</v>
      </c>
      <c r="AM211" s="11"/>
      <c r="AN211" s="11"/>
      <c r="AO211" s="11"/>
      <c r="AP211" s="11"/>
      <c r="AQ211" s="11"/>
      <c r="AR211" s="11"/>
      <c r="AS211" t="s" s="10">
        <v>702</v>
      </c>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2"/>
      <c r="BP211" s="8"/>
    </row>
    <row r="212" ht="15" customHeight="1" hidden="1">
      <c r="A212" t="s" s="13">
        <v>703</v>
      </c>
      <c r="B212" s="14"/>
      <c r="C212" t="str" s="14" cm="1">
        <f t="array" ref="C212">_xlfn.IFERROR((VLOOKUP(A212,#REF!,2,FALSE)),"")</f>
      </c>
      <c r="D212" t="s" s="15">
        <v>70</v>
      </c>
      <c r="E212" t="s" s="15">
        <v>687</v>
      </c>
      <c r="F212" s="14"/>
      <c r="G212" t="s" s="15">
        <v>688</v>
      </c>
      <c r="H212" t="s" s="15">
        <v>689</v>
      </c>
      <c r="I212" t="s" s="15">
        <v>111</v>
      </c>
      <c r="J212" t="s" s="15">
        <v>452</v>
      </c>
      <c r="K212" t="s" s="15">
        <v>140</v>
      </c>
      <c r="L212" t="s" s="15">
        <v>76</v>
      </c>
      <c r="M212" t="s" s="15">
        <v>77</v>
      </c>
      <c r="N212" t="s" s="15">
        <v>688</v>
      </c>
      <c r="O212" s="14"/>
      <c r="P212" s="14"/>
      <c r="Q212" t="s" s="15">
        <v>69</v>
      </c>
      <c r="R212" t="s" s="15">
        <v>83</v>
      </c>
      <c r="S212" t="s" s="15">
        <v>69</v>
      </c>
      <c r="T212" s="14"/>
      <c r="U212" s="14"/>
      <c r="V212" t="s" s="15">
        <v>69</v>
      </c>
      <c r="W212" s="14"/>
      <c r="X212" t="s" s="15">
        <v>69</v>
      </c>
      <c r="Y212" s="14"/>
      <c r="Z212" t="s" s="15">
        <v>76</v>
      </c>
      <c r="AA212" s="14"/>
      <c r="AB212" t="s" s="15">
        <v>76</v>
      </c>
      <c r="AC212" t="s" s="15">
        <v>703</v>
      </c>
      <c r="AD212" s="14"/>
      <c r="AE212" s="14"/>
      <c r="AF212" s="14"/>
      <c r="AG212" t="s" s="15">
        <v>288</v>
      </c>
      <c r="AH212" t="s" s="15">
        <v>114</v>
      </c>
      <c r="AI212" t="s" s="15">
        <v>604</v>
      </c>
      <c r="AJ212" s="14"/>
      <c r="AK212" t="s" s="15">
        <v>83</v>
      </c>
      <c r="AL212" t="s" s="15">
        <v>115</v>
      </c>
      <c r="AM212" s="14"/>
      <c r="AN212" t="s" s="15">
        <v>128</v>
      </c>
      <c r="AO212" s="14"/>
      <c r="AP212" s="14"/>
      <c r="AQ212" s="14"/>
      <c r="AR212" s="14"/>
      <c r="AS212" t="s" s="15">
        <v>704</v>
      </c>
      <c r="AT212" s="14"/>
      <c r="AU212" s="14"/>
      <c r="AV212" s="14"/>
      <c r="AW212" s="14"/>
      <c r="AX212" s="14"/>
      <c r="AY212" s="14"/>
      <c r="AZ212" s="14"/>
      <c r="BA212" s="14"/>
      <c r="BB212" s="14"/>
      <c r="BC212" s="14"/>
      <c r="BD212" t="s" s="15">
        <v>118</v>
      </c>
      <c r="BE212" s="14"/>
      <c r="BF212" s="14"/>
      <c r="BG212" s="14"/>
      <c r="BH212" s="14"/>
      <c r="BI212" s="14"/>
      <c r="BJ212" s="14"/>
      <c r="BK212" s="14"/>
      <c r="BL212" s="14"/>
      <c r="BM212" s="14"/>
      <c r="BN212" s="14"/>
      <c r="BO212" s="16"/>
      <c r="BP212" s="8"/>
    </row>
    <row r="213" ht="9" customHeight="1" hidden="1">
      <c r="A213" t="s" s="9">
        <v>705</v>
      </c>
      <c r="B213" s="11"/>
      <c r="C213" t="str" s="11" cm="1">
        <f t="array" ref="C213">_xlfn.IFERROR((VLOOKUP(A213,#REF!,2,FALSE)),"")</f>
      </c>
      <c r="D213" t="s" s="10">
        <v>70</v>
      </c>
      <c r="E213" t="s" s="10">
        <v>450</v>
      </c>
      <c r="F213" s="11"/>
      <c r="G213" t="s" s="10">
        <v>677</v>
      </c>
      <c r="H213" t="s" s="10">
        <v>462</v>
      </c>
      <c r="I213" t="s" s="10">
        <v>111</v>
      </c>
      <c r="J213" t="s" s="10">
        <v>452</v>
      </c>
      <c r="K213" t="s" s="10">
        <v>75</v>
      </c>
      <c r="L213" t="s" s="10">
        <v>76</v>
      </c>
      <c r="M213" t="s" s="10">
        <v>77</v>
      </c>
      <c r="N213" t="s" s="10">
        <v>677</v>
      </c>
      <c r="O213" s="11"/>
      <c r="P213" s="11"/>
      <c r="Q213" t="s" s="10">
        <v>78</v>
      </c>
      <c r="R213" t="s" s="10">
        <v>83</v>
      </c>
      <c r="S213" t="s" s="10">
        <v>69</v>
      </c>
      <c r="T213" s="11"/>
      <c r="U213" s="11"/>
      <c r="V213" t="s" s="10">
        <v>78</v>
      </c>
      <c r="W213" s="11"/>
      <c r="X213" t="s" s="10">
        <v>69</v>
      </c>
      <c r="Y213" s="11"/>
      <c r="Z213" t="s" s="10">
        <v>76</v>
      </c>
      <c r="AA213" s="11"/>
      <c r="AB213" t="s" s="10">
        <v>76</v>
      </c>
      <c r="AC213" s="11"/>
      <c r="AD213" s="11"/>
      <c r="AE213" s="11"/>
      <c r="AF213" s="11"/>
      <c r="AG213" s="11"/>
      <c r="AH213" s="11"/>
      <c r="AI213" t="s" s="10">
        <v>76</v>
      </c>
      <c r="AJ213" t="s" s="10">
        <v>76</v>
      </c>
      <c r="AK213" t="s" s="10">
        <v>79</v>
      </c>
      <c r="AL213" t="s" s="10">
        <v>115</v>
      </c>
      <c r="AM213" s="11"/>
      <c r="AN213" s="11"/>
      <c r="AO213" s="11"/>
      <c r="AP213" s="11"/>
      <c r="AQ213" s="11"/>
      <c r="AR213" s="11"/>
      <c r="AS213" t="s" s="10">
        <v>706</v>
      </c>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2"/>
      <c r="BP213" s="8"/>
    </row>
    <row r="214" ht="15" customHeight="1" hidden="1">
      <c r="A214" t="s" s="13">
        <v>707</v>
      </c>
      <c r="B214" s="14"/>
      <c r="C214" t="str" s="14" cm="1">
        <f t="array" ref="C214">_xlfn.IFERROR((VLOOKUP(A214,#REF!,2,FALSE)),"")</f>
      </c>
      <c r="D214" t="s" s="15">
        <v>70</v>
      </c>
      <c r="E214" t="s" s="15">
        <v>687</v>
      </c>
      <c r="F214" s="14"/>
      <c r="G214" t="s" s="15">
        <v>708</v>
      </c>
      <c r="H214" t="s" s="15">
        <v>709</v>
      </c>
      <c r="I214" t="s" s="15">
        <v>111</v>
      </c>
      <c r="J214" t="s" s="15">
        <v>452</v>
      </c>
      <c r="K214" t="s" s="15">
        <v>140</v>
      </c>
      <c r="L214" t="s" s="15">
        <v>76</v>
      </c>
      <c r="M214" t="s" s="15">
        <v>77</v>
      </c>
      <c r="N214" t="s" s="15">
        <v>708</v>
      </c>
      <c r="O214" s="14"/>
      <c r="P214" s="14"/>
      <c r="Q214" t="s" s="15">
        <v>69</v>
      </c>
      <c r="R214" t="s" s="15">
        <v>323</v>
      </c>
      <c r="S214" t="s" s="15">
        <v>69</v>
      </c>
      <c r="T214" s="14"/>
      <c r="U214" s="14"/>
      <c r="V214" t="s" s="15">
        <v>69</v>
      </c>
      <c r="W214" s="14"/>
      <c r="X214" t="s" s="15">
        <v>69</v>
      </c>
      <c r="Y214" s="14"/>
      <c r="Z214" t="s" s="15">
        <v>76</v>
      </c>
      <c r="AA214" s="14"/>
      <c r="AB214" t="s" s="15">
        <v>76</v>
      </c>
      <c r="AC214" t="s" s="15">
        <v>707</v>
      </c>
      <c r="AD214" s="14"/>
      <c r="AE214" s="14"/>
      <c r="AF214" s="14"/>
      <c r="AG214" t="s" s="15">
        <v>288</v>
      </c>
      <c r="AH214" t="s" s="15">
        <v>114</v>
      </c>
      <c r="AI214" t="s" s="15">
        <v>604</v>
      </c>
      <c r="AJ214" s="14"/>
      <c r="AK214" t="s" s="15">
        <v>83</v>
      </c>
      <c r="AL214" t="s" s="15">
        <v>115</v>
      </c>
      <c r="AM214" s="14"/>
      <c r="AN214" t="s" s="15">
        <v>116</v>
      </c>
      <c r="AO214" s="14"/>
      <c r="AP214" s="14"/>
      <c r="AQ214" s="14"/>
      <c r="AR214" s="14"/>
      <c r="AS214" t="s" s="15">
        <v>710</v>
      </c>
      <c r="AT214" s="14"/>
      <c r="AU214" s="14"/>
      <c r="AV214" s="14"/>
      <c r="AW214" s="14"/>
      <c r="AX214" s="14"/>
      <c r="AY214" s="14"/>
      <c r="AZ214" s="14"/>
      <c r="BA214" s="14"/>
      <c r="BB214" s="14"/>
      <c r="BC214" s="14"/>
      <c r="BD214" t="s" s="15">
        <v>118</v>
      </c>
      <c r="BE214" s="14"/>
      <c r="BF214" s="14"/>
      <c r="BG214" s="14"/>
      <c r="BH214" s="14"/>
      <c r="BI214" s="14"/>
      <c r="BJ214" s="14"/>
      <c r="BK214" s="14"/>
      <c r="BL214" s="14"/>
      <c r="BM214" s="14"/>
      <c r="BN214" s="14"/>
      <c r="BO214" s="16"/>
      <c r="BP214" s="8"/>
    </row>
    <row r="215" ht="9" customHeight="1" hidden="1">
      <c r="A215" t="s" s="9">
        <v>711</v>
      </c>
      <c r="B215" s="11"/>
      <c r="C215" t="str" s="11" cm="1">
        <f t="array" ref="C215">_xlfn.IFERROR((VLOOKUP(A215,#REF!,2,FALSE)),"")</f>
      </c>
      <c r="D215" s="11"/>
      <c r="E215" t="s" s="10">
        <v>712</v>
      </c>
      <c r="F215" s="11"/>
      <c r="G215" t="s" s="10">
        <v>713</v>
      </c>
      <c r="H215" t="s" s="10">
        <v>714</v>
      </c>
      <c r="I215" t="s" s="10">
        <v>111</v>
      </c>
      <c r="J215" t="s" s="10">
        <v>122</v>
      </c>
      <c r="K215" t="s" s="10">
        <v>140</v>
      </c>
      <c r="L215" t="s" s="10">
        <v>76</v>
      </c>
      <c r="M215" t="s" s="10">
        <v>77</v>
      </c>
      <c r="N215" t="s" s="10">
        <v>715</v>
      </c>
      <c r="O215" s="11"/>
      <c r="P215" s="11"/>
      <c r="Q215" t="s" s="10">
        <v>69</v>
      </c>
      <c r="R215" t="s" s="10">
        <v>716</v>
      </c>
      <c r="S215" s="11"/>
      <c r="T215" s="11"/>
      <c r="U215" s="11"/>
      <c r="V215" t="s" s="10">
        <v>69</v>
      </c>
      <c r="W215" s="11"/>
      <c r="X215" t="s" s="10">
        <v>69</v>
      </c>
      <c r="Y215" s="11"/>
      <c r="Z215" t="s" s="10">
        <v>76</v>
      </c>
      <c r="AA215" s="11"/>
      <c r="AB215" t="s" s="10">
        <v>76</v>
      </c>
      <c r="AC215" t="s" s="10">
        <v>711</v>
      </c>
      <c r="AD215" s="11"/>
      <c r="AE215" s="11"/>
      <c r="AF215" s="11"/>
      <c r="AG215" t="s" s="10">
        <v>299</v>
      </c>
      <c r="AH215" t="s" s="10">
        <v>114</v>
      </c>
      <c r="AI215" t="s" s="10">
        <v>717</v>
      </c>
      <c r="AJ215" s="11"/>
      <c r="AK215" t="s" s="10">
        <v>83</v>
      </c>
      <c r="AL215" t="s" s="10">
        <v>115</v>
      </c>
      <c r="AM215" s="11"/>
      <c r="AN215" t="s" s="10">
        <v>334</v>
      </c>
      <c r="AO215" s="11"/>
      <c r="AP215" s="11"/>
      <c r="AQ215" s="11"/>
      <c r="AR215" s="11"/>
      <c r="AS215" t="s" s="10">
        <v>718</v>
      </c>
      <c r="AT215" t="s" s="10">
        <v>301</v>
      </c>
      <c r="AU215" s="11"/>
      <c r="AV215" s="11"/>
      <c r="AW215" s="11"/>
      <c r="AX215" s="11"/>
      <c r="AY215" s="11"/>
      <c r="AZ215" s="11"/>
      <c r="BA215" s="11"/>
      <c r="BB215" s="11"/>
      <c r="BC215" s="11"/>
      <c r="BD215" t="s" s="10">
        <v>118</v>
      </c>
      <c r="BE215" s="11"/>
      <c r="BF215" s="11"/>
      <c r="BG215" s="11"/>
      <c r="BH215" s="11"/>
      <c r="BI215" s="11"/>
      <c r="BJ215" s="11"/>
      <c r="BK215" s="11"/>
      <c r="BL215" s="11"/>
      <c r="BM215" s="11"/>
      <c r="BN215" s="11"/>
      <c r="BO215" s="12"/>
      <c r="BP215" s="8"/>
    </row>
    <row r="216" ht="9" customHeight="1" hidden="1">
      <c r="A216" t="s" s="13">
        <v>719</v>
      </c>
      <c r="B216" s="14"/>
      <c r="C216" t="str" s="14" cm="1">
        <f t="array" ref="C216">_xlfn.IFERROR((VLOOKUP(A216,#REF!,2,FALSE)),"")</f>
      </c>
      <c r="D216" s="14"/>
      <c r="E216" t="s" s="15">
        <v>720</v>
      </c>
      <c r="F216" s="14"/>
      <c r="G216" t="s" s="15">
        <v>721</v>
      </c>
      <c r="H216" t="s" s="15">
        <v>714</v>
      </c>
      <c r="I216" t="s" s="15">
        <v>111</v>
      </c>
      <c r="J216" t="s" s="15">
        <v>122</v>
      </c>
      <c r="K216" t="s" s="15">
        <v>140</v>
      </c>
      <c r="L216" t="s" s="15">
        <v>76</v>
      </c>
      <c r="M216" t="s" s="15">
        <v>77</v>
      </c>
      <c r="N216" t="s" s="15">
        <v>722</v>
      </c>
      <c r="O216" s="14"/>
      <c r="P216" s="14"/>
      <c r="Q216" t="s" s="15">
        <v>69</v>
      </c>
      <c r="R216" t="s" s="15">
        <v>123</v>
      </c>
      <c r="S216" s="14"/>
      <c r="T216" s="14"/>
      <c r="U216" s="14"/>
      <c r="V216" t="s" s="15">
        <v>69</v>
      </c>
      <c r="W216" s="14"/>
      <c r="X216" t="s" s="15">
        <v>69</v>
      </c>
      <c r="Y216" s="14"/>
      <c r="Z216" t="s" s="15">
        <v>76</v>
      </c>
      <c r="AA216" s="14"/>
      <c r="AB216" t="s" s="15">
        <v>76</v>
      </c>
      <c r="AC216" t="s" s="15">
        <v>719</v>
      </c>
      <c r="AD216" s="14"/>
      <c r="AE216" s="14"/>
      <c r="AF216" s="14"/>
      <c r="AG216" t="s" s="15">
        <v>299</v>
      </c>
      <c r="AH216" t="s" s="15">
        <v>114</v>
      </c>
      <c r="AI216" t="s" s="15">
        <v>717</v>
      </c>
      <c r="AJ216" s="14"/>
      <c r="AK216" t="s" s="15">
        <v>83</v>
      </c>
      <c r="AL216" t="s" s="15">
        <v>115</v>
      </c>
      <c r="AM216" s="14"/>
      <c r="AN216" t="s" s="15">
        <v>334</v>
      </c>
      <c r="AO216" s="14"/>
      <c r="AP216" s="14"/>
      <c r="AQ216" s="14"/>
      <c r="AR216" s="14"/>
      <c r="AS216" t="s" s="15">
        <v>723</v>
      </c>
      <c r="AT216" t="s" s="15">
        <v>301</v>
      </c>
      <c r="AU216" s="14"/>
      <c r="AV216" s="14"/>
      <c r="AW216" s="14"/>
      <c r="AX216" s="14"/>
      <c r="AY216" s="14"/>
      <c r="AZ216" s="14"/>
      <c r="BA216" s="14"/>
      <c r="BB216" s="14"/>
      <c r="BC216" s="14"/>
      <c r="BD216" t="s" s="15">
        <v>118</v>
      </c>
      <c r="BE216" s="14"/>
      <c r="BF216" s="14"/>
      <c r="BG216" s="14"/>
      <c r="BH216" s="14"/>
      <c r="BI216" s="14"/>
      <c r="BJ216" s="14"/>
      <c r="BK216" s="14"/>
      <c r="BL216" s="14"/>
      <c r="BM216" s="14"/>
      <c r="BN216" s="14"/>
      <c r="BO216" s="16"/>
      <c r="BP216" s="8"/>
    </row>
    <row r="217" ht="9" customHeight="1" hidden="1">
      <c r="A217" t="s" s="9">
        <v>724</v>
      </c>
      <c r="B217" s="11"/>
      <c r="C217" t="str" s="11" cm="1">
        <f t="array" ref="C217">_xlfn.IFERROR((VLOOKUP(A217,#REF!,2,FALSE)),"")</f>
      </c>
      <c r="D217" s="11"/>
      <c r="E217" t="s" s="10">
        <v>725</v>
      </c>
      <c r="F217" s="11"/>
      <c r="G217" t="s" s="10">
        <v>726</v>
      </c>
      <c r="H217" t="s" s="10">
        <v>726</v>
      </c>
      <c r="I217" t="s" s="10">
        <v>271</v>
      </c>
      <c r="J217" t="s" s="10">
        <v>74</v>
      </c>
      <c r="K217" t="s" s="10">
        <v>140</v>
      </c>
      <c r="L217" t="s" s="10">
        <v>76</v>
      </c>
      <c r="M217" t="s" s="22">
        <v>77</v>
      </c>
      <c r="N217" t="s" s="22">
        <v>726</v>
      </c>
      <c r="O217" t="s" s="10">
        <v>71</v>
      </c>
      <c r="P217" s="27"/>
      <c r="Q217" t="s" s="10">
        <v>78</v>
      </c>
      <c r="R217" t="s" s="10">
        <v>83</v>
      </c>
      <c r="S217" s="11"/>
      <c r="T217" s="27"/>
      <c r="U217" s="27"/>
      <c r="V217" t="s" s="22">
        <v>78</v>
      </c>
      <c r="W217" s="27"/>
      <c r="X217" t="s" s="10">
        <v>69</v>
      </c>
      <c r="Y217" s="11"/>
      <c r="Z217" t="s" s="10">
        <v>76</v>
      </c>
      <c r="AA217" s="27"/>
      <c r="AB217" t="s" s="10">
        <v>76</v>
      </c>
      <c r="AC217" s="27"/>
      <c r="AD217" s="27"/>
      <c r="AE217" s="27"/>
      <c r="AF217" s="27"/>
      <c r="AG217" t="s" s="10">
        <v>288</v>
      </c>
      <c r="AH217" t="s" s="10">
        <v>106</v>
      </c>
      <c r="AI217" t="s" s="10">
        <v>76</v>
      </c>
      <c r="AJ217" t="s" s="10">
        <v>76</v>
      </c>
      <c r="AK217" t="s" s="10">
        <v>79</v>
      </c>
      <c r="AL217" s="11"/>
      <c r="AM217" s="11"/>
      <c r="AN217" s="11"/>
      <c r="AO217" s="11"/>
      <c r="AP217" s="11"/>
      <c r="AQ217" s="11"/>
      <c r="AR217" s="11"/>
      <c r="AS217" t="s" s="10">
        <v>727</v>
      </c>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2"/>
      <c r="BP217" s="8"/>
    </row>
    <row r="218" ht="9" customHeight="1" hidden="1">
      <c r="A218" t="s" s="13">
        <v>728</v>
      </c>
      <c r="B218" s="14"/>
      <c r="C218" t="str" s="14" cm="1">
        <f t="array" ref="C218">_xlfn.IFERROR((VLOOKUP(A218,#REF!,2,FALSE)),"")</f>
      </c>
      <c r="D218" t="s" s="15">
        <v>70</v>
      </c>
      <c r="E218" s="14"/>
      <c r="F218" s="14"/>
      <c r="G218" t="s" s="15">
        <v>729</v>
      </c>
      <c r="H218" t="s" s="15">
        <v>730</v>
      </c>
      <c r="I218" t="s" s="15">
        <v>271</v>
      </c>
      <c r="J218" t="s" s="15">
        <v>74</v>
      </c>
      <c r="K218" t="s" s="15">
        <v>75</v>
      </c>
      <c r="L218" t="s" s="15">
        <v>76</v>
      </c>
      <c r="M218" t="s" s="15">
        <v>77</v>
      </c>
      <c r="N218" t="s" s="15">
        <v>729</v>
      </c>
      <c r="O218" s="14"/>
      <c r="P218" s="14"/>
      <c r="Q218" t="s" s="15">
        <v>78</v>
      </c>
      <c r="R218" t="s" s="15">
        <v>83</v>
      </c>
      <c r="S218" s="14"/>
      <c r="T218" s="14"/>
      <c r="U218" s="14"/>
      <c r="V218" t="s" s="15">
        <v>78</v>
      </c>
      <c r="W218" s="14"/>
      <c r="X218" t="s" s="15">
        <v>69</v>
      </c>
      <c r="Y218" s="14"/>
      <c r="Z218" t="s" s="15">
        <v>76</v>
      </c>
      <c r="AA218" s="14"/>
      <c r="AB218" t="s" s="15">
        <v>76</v>
      </c>
      <c r="AC218" s="14"/>
      <c r="AD218" s="14"/>
      <c r="AE218" s="14"/>
      <c r="AF218" s="14"/>
      <c r="AG218" s="14"/>
      <c r="AH218" s="14"/>
      <c r="AI218" t="s" s="15">
        <v>76</v>
      </c>
      <c r="AJ218" t="s" s="15">
        <v>76</v>
      </c>
      <c r="AK218" t="s" s="15">
        <v>79</v>
      </c>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6"/>
      <c r="BP218" s="8"/>
    </row>
    <row r="219" ht="9" customHeight="1" hidden="1">
      <c r="A219" t="s" s="9">
        <v>731</v>
      </c>
      <c r="B219" s="11"/>
      <c r="C219" t="str" s="11" cm="1">
        <f t="array" ref="C219">_xlfn.IFERROR((VLOOKUP(A219,#REF!,2,FALSE)),"")</f>
      </c>
      <c r="D219" t="s" s="10">
        <v>70</v>
      </c>
      <c r="E219" s="11"/>
      <c r="F219" s="11"/>
      <c r="G219" t="s" s="10">
        <v>729</v>
      </c>
      <c r="H219" t="s" s="10">
        <v>730</v>
      </c>
      <c r="I219" t="s" s="10">
        <v>271</v>
      </c>
      <c r="J219" t="s" s="10">
        <v>74</v>
      </c>
      <c r="K219" t="s" s="10">
        <v>75</v>
      </c>
      <c r="L219" t="s" s="10">
        <v>76</v>
      </c>
      <c r="M219" t="s" s="10">
        <v>77</v>
      </c>
      <c r="N219" t="s" s="10">
        <v>729</v>
      </c>
      <c r="O219" s="11"/>
      <c r="P219" s="11"/>
      <c r="Q219" t="s" s="10">
        <v>78</v>
      </c>
      <c r="R219" t="s" s="10">
        <v>83</v>
      </c>
      <c r="S219" s="11"/>
      <c r="T219" s="11"/>
      <c r="U219" s="11"/>
      <c r="V219" t="s" s="10">
        <v>78</v>
      </c>
      <c r="W219" s="11"/>
      <c r="X219" t="s" s="10">
        <v>69</v>
      </c>
      <c r="Y219" s="11"/>
      <c r="Z219" t="s" s="10">
        <v>76</v>
      </c>
      <c r="AA219" s="11"/>
      <c r="AB219" t="s" s="10">
        <v>76</v>
      </c>
      <c r="AC219" s="11"/>
      <c r="AD219" s="11"/>
      <c r="AE219" s="11"/>
      <c r="AF219" s="11"/>
      <c r="AG219" s="11"/>
      <c r="AH219" s="11"/>
      <c r="AI219" t="s" s="10">
        <v>76</v>
      </c>
      <c r="AJ219" t="s" s="10">
        <v>76</v>
      </c>
      <c r="AK219" t="s" s="10">
        <v>79</v>
      </c>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2"/>
      <c r="BP219" s="8"/>
    </row>
    <row r="220" ht="9" customHeight="1" hidden="1">
      <c r="A220" t="s" s="13">
        <v>732</v>
      </c>
      <c r="B220" s="14"/>
      <c r="C220" t="str" s="14" cm="1">
        <f t="array" ref="C220">_xlfn.IFERROR((VLOOKUP(A220,#REF!,2,FALSE)),"")</f>
      </c>
      <c r="D220" t="s" s="15">
        <v>70</v>
      </c>
      <c r="E220" s="14"/>
      <c r="F220" s="14"/>
      <c r="G220" t="s" s="15">
        <v>729</v>
      </c>
      <c r="H220" t="s" s="15">
        <v>730</v>
      </c>
      <c r="I220" t="s" s="15">
        <v>271</v>
      </c>
      <c r="J220" t="s" s="15">
        <v>74</v>
      </c>
      <c r="K220" t="s" s="15">
        <v>75</v>
      </c>
      <c r="L220" t="s" s="15">
        <v>76</v>
      </c>
      <c r="M220" t="s" s="15">
        <v>77</v>
      </c>
      <c r="N220" t="s" s="15">
        <v>729</v>
      </c>
      <c r="O220" s="14"/>
      <c r="P220" s="14"/>
      <c r="Q220" t="s" s="15">
        <v>78</v>
      </c>
      <c r="R220" t="s" s="15">
        <v>83</v>
      </c>
      <c r="S220" s="14"/>
      <c r="T220" s="14"/>
      <c r="U220" s="14"/>
      <c r="V220" t="s" s="15">
        <v>78</v>
      </c>
      <c r="W220" s="14"/>
      <c r="X220" t="s" s="15">
        <v>69</v>
      </c>
      <c r="Y220" s="14"/>
      <c r="Z220" t="s" s="15">
        <v>76</v>
      </c>
      <c r="AA220" s="14"/>
      <c r="AB220" t="s" s="15">
        <v>76</v>
      </c>
      <c r="AC220" s="14"/>
      <c r="AD220" s="14"/>
      <c r="AE220" s="14"/>
      <c r="AF220" s="14"/>
      <c r="AG220" s="14"/>
      <c r="AH220" s="14"/>
      <c r="AI220" t="s" s="15">
        <v>76</v>
      </c>
      <c r="AJ220" t="s" s="15">
        <v>76</v>
      </c>
      <c r="AK220" t="s" s="15">
        <v>79</v>
      </c>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6"/>
      <c r="BP220" s="8"/>
    </row>
    <row r="221" ht="9" customHeight="1" hidden="1">
      <c r="A221" t="s" s="9">
        <v>733</v>
      </c>
      <c r="B221" s="11"/>
      <c r="C221" t="str" s="11" cm="1">
        <f t="array" ref="C221">_xlfn.IFERROR((VLOOKUP(A221,#REF!,2,FALSE)),"")</f>
      </c>
      <c r="D221" t="s" s="10">
        <v>70</v>
      </c>
      <c r="E221" t="s" s="10">
        <v>450</v>
      </c>
      <c r="F221" s="11"/>
      <c r="G221" t="s" s="10">
        <v>734</v>
      </c>
      <c r="H221" t="s" s="10">
        <v>730</v>
      </c>
      <c r="I221" t="s" s="10">
        <v>111</v>
      </c>
      <c r="J221" t="s" s="10">
        <v>452</v>
      </c>
      <c r="K221" t="s" s="10">
        <v>75</v>
      </c>
      <c r="L221" t="s" s="10">
        <v>76</v>
      </c>
      <c r="M221" t="s" s="10">
        <v>77</v>
      </c>
      <c r="N221" t="s" s="10">
        <v>734</v>
      </c>
      <c r="O221" s="11"/>
      <c r="P221" s="11"/>
      <c r="Q221" t="s" s="10">
        <v>78</v>
      </c>
      <c r="R221" t="s" s="10">
        <v>83</v>
      </c>
      <c r="S221" s="11"/>
      <c r="T221" s="11"/>
      <c r="U221" s="11"/>
      <c r="V221" t="s" s="10">
        <v>78</v>
      </c>
      <c r="W221" s="11"/>
      <c r="X221" t="s" s="10">
        <v>69</v>
      </c>
      <c r="Y221" s="11"/>
      <c r="Z221" t="s" s="10">
        <v>76</v>
      </c>
      <c r="AA221" s="11"/>
      <c r="AB221" t="s" s="10">
        <v>76</v>
      </c>
      <c r="AC221" s="11"/>
      <c r="AD221" s="11"/>
      <c r="AE221" s="11"/>
      <c r="AF221" s="11"/>
      <c r="AG221" s="11"/>
      <c r="AH221" s="11"/>
      <c r="AI221" t="s" s="10">
        <v>76</v>
      </c>
      <c r="AJ221" t="s" s="10">
        <v>76</v>
      </c>
      <c r="AK221" t="s" s="10">
        <v>79</v>
      </c>
      <c r="AL221" t="s" s="10">
        <v>115</v>
      </c>
      <c r="AM221" s="11"/>
      <c r="AN221" s="11"/>
      <c r="AO221" s="11"/>
      <c r="AP221" s="11"/>
      <c r="AQ221" s="11"/>
      <c r="AR221" s="11"/>
      <c r="AS221" t="s" s="10">
        <v>735</v>
      </c>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2"/>
      <c r="BP221" s="8"/>
    </row>
    <row r="222" ht="9" customHeight="1" hidden="1">
      <c r="A222" t="s" s="13">
        <v>736</v>
      </c>
      <c r="B222" s="14"/>
      <c r="C222" t="str" s="14" cm="1">
        <f t="array" ref="C222">_xlfn.IFERROR((VLOOKUP(A222,#REF!,2,FALSE)),"")</f>
      </c>
      <c r="D222" t="s" s="15">
        <v>70</v>
      </c>
      <c r="E222" t="s" s="15">
        <v>450</v>
      </c>
      <c r="F222" s="14"/>
      <c r="G222" t="s" s="15">
        <v>734</v>
      </c>
      <c r="H222" t="s" s="15">
        <v>730</v>
      </c>
      <c r="I222" t="s" s="15">
        <v>111</v>
      </c>
      <c r="J222" t="s" s="15">
        <v>452</v>
      </c>
      <c r="K222" t="s" s="15">
        <v>75</v>
      </c>
      <c r="L222" t="s" s="15">
        <v>76</v>
      </c>
      <c r="M222" t="s" s="15">
        <v>77</v>
      </c>
      <c r="N222" t="s" s="15">
        <v>734</v>
      </c>
      <c r="O222" s="14"/>
      <c r="P222" s="14"/>
      <c r="Q222" t="s" s="15">
        <v>78</v>
      </c>
      <c r="R222" t="s" s="15">
        <v>83</v>
      </c>
      <c r="S222" s="14"/>
      <c r="T222" s="14"/>
      <c r="U222" s="14"/>
      <c r="V222" t="s" s="15">
        <v>78</v>
      </c>
      <c r="W222" s="14"/>
      <c r="X222" t="s" s="15">
        <v>69</v>
      </c>
      <c r="Y222" s="14"/>
      <c r="Z222" t="s" s="15">
        <v>76</v>
      </c>
      <c r="AA222" s="14"/>
      <c r="AB222" t="s" s="15">
        <v>76</v>
      </c>
      <c r="AC222" s="14"/>
      <c r="AD222" s="14"/>
      <c r="AE222" s="14"/>
      <c r="AF222" s="14"/>
      <c r="AG222" s="14"/>
      <c r="AH222" s="14"/>
      <c r="AI222" t="s" s="15">
        <v>76</v>
      </c>
      <c r="AJ222" t="s" s="15">
        <v>76</v>
      </c>
      <c r="AK222" t="s" s="15">
        <v>79</v>
      </c>
      <c r="AL222" t="s" s="15">
        <v>115</v>
      </c>
      <c r="AM222" s="14"/>
      <c r="AN222" s="14"/>
      <c r="AO222" s="14"/>
      <c r="AP222" s="14"/>
      <c r="AQ222" s="14"/>
      <c r="AR222" s="14"/>
      <c r="AS222" t="s" s="15">
        <v>737</v>
      </c>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6"/>
      <c r="BP222" s="8"/>
    </row>
    <row r="223" ht="15" customHeight="1" hidden="1">
      <c r="A223" t="s" s="9">
        <v>738</v>
      </c>
      <c r="B223" s="11"/>
      <c r="C223" t="str" s="11" cm="1">
        <f t="array" ref="C223">_xlfn.IFERROR((VLOOKUP(A223,#REF!,2,FALSE)),"")</f>
      </c>
      <c r="D223" s="11"/>
      <c r="E223" t="s" s="10">
        <v>739</v>
      </c>
      <c r="F223" s="11"/>
      <c r="G223" t="s" s="10">
        <v>740</v>
      </c>
      <c r="H223" t="s" s="10">
        <v>741</v>
      </c>
      <c r="I223" t="s" s="10">
        <v>111</v>
      </c>
      <c r="J223" t="s" s="10">
        <v>122</v>
      </c>
      <c r="K223" t="s" s="10">
        <v>140</v>
      </c>
      <c r="L223" t="s" s="10">
        <v>518</v>
      </c>
      <c r="M223" t="s" s="10">
        <v>77</v>
      </c>
      <c r="N223" t="s" s="10">
        <v>742</v>
      </c>
      <c r="O223" s="11"/>
      <c r="P223" s="11"/>
      <c r="Q223" t="s" s="10">
        <v>78</v>
      </c>
      <c r="R223" t="s" s="10">
        <v>323</v>
      </c>
      <c r="S223" s="11"/>
      <c r="T223" t="s" s="10">
        <v>69</v>
      </c>
      <c r="U223" s="11"/>
      <c r="V223" t="s" s="10">
        <v>69</v>
      </c>
      <c r="W223" s="11"/>
      <c r="X223" t="s" s="10">
        <v>69</v>
      </c>
      <c r="Y223" s="11"/>
      <c r="Z223" t="s" s="10">
        <v>552</v>
      </c>
      <c r="AA223" s="11"/>
      <c r="AB223" t="s" s="10">
        <v>743</v>
      </c>
      <c r="AC223" s="11"/>
      <c r="AD223" s="11"/>
      <c r="AE223" t="s" s="10">
        <v>744</v>
      </c>
      <c r="AF223" t="s" s="10">
        <v>741</v>
      </c>
      <c r="AG223" t="s" s="10">
        <v>299</v>
      </c>
      <c r="AH223" t="s" s="10">
        <v>289</v>
      </c>
      <c r="AI223" t="s" s="10">
        <v>332</v>
      </c>
      <c r="AJ223" t="s" s="10">
        <v>473</v>
      </c>
      <c r="AK223" t="s" s="10">
        <v>83</v>
      </c>
      <c r="AL223" t="s" s="10">
        <v>115</v>
      </c>
      <c r="AM223" s="11"/>
      <c r="AN223" t="s" s="10">
        <v>745</v>
      </c>
      <c r="AO223" s="11"/>
      <c r="AP223" s="11"/>
      <c r="AQ223" s="11"/>
      <c r="AR223" s="11"/>
      <c r="AS223" t="s" s="10">
        <v>746</v>
      </c>
      <c r="AT223" t="s" s="10">
        <v>301</v>
      </c>
      <c r="AU223" s="11"/>
      <c r="AV223" s="11"/>
      <c r="AW223" t="s" s="10">
        <v>747</v>
      </c>
      <c r="AX223" s="11"/>
      <c r="AY223" s="11"/>
      <c r="AZ223" s="11"/>
      <c r="BA223" s="11"/>
      <c r="BB223" s="11"/>
      <c r="BC223" s="11"/>
      <c r="BD223" s="11"/>
      <c r="BE223" s="11"/>
      <c r="BF223" s="11"/>
      <c r="BG223" s="11"/>
      <c r="BH223" s="11"/>
      <c r="BI223" s="11"/>
      <c r="BJ223" s="11"/>
      <c r="BK223" s="11"/>
      <c r="BL223" s="11"/>
      <c r="BM223" s="11"/>
      <c r="BN223" s="11"/>
      <c r="BO223" s="12"/>
      <c r="BP223" s="8"/>
    </row>
    <row r="224" ht="9" customHeight="1" hidden="1">
      <c r="A224" t="s" s="13">
        <v>748</v>
      </c>
      <c r="B224" s="14"/>
      <c r="C224" t="str" s="14" cm="1">
        <f t="array" ref="C224">_xlfn.IFERROR((VLOOKUP(A224,#REF!,2,FALSE)),"")</f>
      </c>
      <c r="D224" s="14"/>
      <c r="E224" t="s" s="15">
        <v>739</v>
      </c>
      <c r="F224" s="14"/>
      <c r="G224" t="s" s="15">
        <v>740</v>
      </c>
      <c r="H224" t="s" s="15">
        <v>741</v>
      </c>
      <c r="I224" t="s" s="15">
        <v>111</v>
      </c>
      <c r="J224" t="s" s="15">
        <v>122</v>
      </c>
      <c r="K224" t="s" s="15">
        <v>140</v>
      </c>
      <c r="L224" t="s" s="15">
        <v>518</v>
      </c>
      <c r="M224" t="s" s="15">
        <v>77</v>
      </c>
      <c r="N224" t="s" s="15">
        <v>742</v>
      </c>
      <c r="O224" s="14"/>
      <c r="P224" s="14"/>
      <c r="Q224" t="s" s="15">
        <v>78</v>
      </c>
      <c r="R224" t="s" s="15">
        <v>323</v>
      </c>
      <c r="S224" s="14"/>
      <c r="T224" t="s" s="15">
        <v>69</v>
      </c>
      <c r="U224" s="14"/>
      <c r="V224" t="s" s="15">
        <v>69</v>
      </c>
      <c r="W224" s="14"/>
      <c r="X224" t="s" s="15">
        <v>69</v>
      </c>
      <c r="Y224" s="14"/>
      <c r="Z224" t="s" s="15">
        <v>552</v>
      </c>
      <c r="AA224" s="14"/>
      <c r="AB224" t="s" s="15">
        <v>743</v>
      </c>
      <c r="AC224" s="14"/>
      <c r="AD224" s="14"/>
      <c r="AE224" t="s" s="15">
        <v>749</v>
      </c>
      <c r="AF224" t="s" s="15">
        <v>741</v>
      </c>
      <c r="AG224" t="s" s="15">
        <v>299</v>
      </c>
      <c r="AH224" t="s" s="15">
        <v>289</v>
      </c>
      <c r="AI224" t="s" s="15">
        <v>332</v>
      </c>
      <c r="AJ224" t="s" s="15">
        <v>473</v>
      </c>
      <c r="AK224" t="s" s="15">
        <v>83</v>
      </c>
      <c r="AL224" t="s" s="15">
        <v>115</v>
      </c>
      <c r="AM224" s="14"/>
      <c r="AN224" t="s" s="15">
        <v>745</v>
      </c>
      <c r="AO224" s="14"/>
      <c r="AP224" s="14"/>
      <c r="AQ224" s="14"/>
      <c r="AR224" s="14"/>
      <c r="AS224" t="s" s="15">
        <v>750</v>
      </c>
      <c r="AT224" t="s" s="15">
        <v>301</v>
      </c>
      <c r="AU224" s="14"/>
      <c r="AV224" s="14"/>
      <c r="AW224" t="s" s="15">
        <v>751</v>
      </c>
      <c r="AX224" s="14"/>
      <c r="AY224" s="14"/>
      <c r="AZ224" s="14"/>
      <c r="BA224" s="14"/>
      <c r="BB224" s="14"/>
      <c r="BC224" s="14"/>
      <c r="BD224" s="14"/>
      <c r="BE224" s="14"/>
      <c r="BF224" s="14"/>
      <c r="BG224" s="14"/>
      <c r="BH224" s="14"/>
      <c r="BI224" s="14"/>
      <c r="BJ224" s="14"/>
      <c r="BK224" s="14"/>
      <c r="BL224" s="14"/>
      <c r="BM224" s="14"/>
      <c r="BN224" s="14"/>
      <c r="BO224" s="16"/>
      <c r="BP224" s="8"/>
    </row>
    <row r="225" ht="15" customHeight="1" hidden="1">
      <c r="A225" t="s" s="9">
        <v>752</v>
      </c>
      <c r="B225" s="11"/>
      <c r="C225" t="str" s="11" cm="1">
        <f t="array" ref="C225">_xlfn.IFERROR((VLOOKUP(A225,#REF!,2,FALSE)),"")</f>
      </c>
      <c r="D225" s="11"/>
      <c r="E225" t="s" s="10">
        <v>617</v>
      </c>
      <c r="F225" s="11"/>
      <c r="G225" t="s" s="10">
        <v>411</v>
      </c>
      <c r="H225" t="s" s="10">
        <v>404</v>
      </c>
      <c r="I225" t="s" s="10">
        <v>111</v>
      </c>
      <c r="J225" t="s" s="10">
        <v>122</v>
      </c>
      <c r="K225" t="s" s="10">
        <v>210</v>
      </c>
      <c r="L225" t="s" s="10">
        <v>76</v>
      </c>
      <c r="M225" t="s" s="10">
        <v>77</v>
      </c>
      <c r="N225" t="s" s="10">
        <v>411</v>
      </c>
      <c r="O225" t="s" s="10">
        <v>286</v>
      </c>
      <c r="P225" s="11"/>
      <c r="Q225" t="s" s="10">
        <v>78</v>
      </c>
      <c r="R225" t="s" s="10">
        <v>323</v>
      </c>
      <c r="S225" s="11"/>
      <c r="T225" s="11"/>
      <c r="U225" s="11"/>
      <c r="V225" t="s" s="10">
        <v>78</v>
      </c>
      <c r="W225" s="11"/>
      <c r="X225" t="s" s="10">
        <v>69</v>
      </c>
      <c r="Y225" s="11"/>
      <c r="Z225" t="s" s="10">
        <v>76</v>
      </c>
      <c r="AA225" s="11"/>
      <c r="AB225" t="s" s="10">
        <v>324</v>
      </c>
      <c r="AC225" s="11"/>
      <c r="AD225" s="11"/>
      <c r="AE225" s="11"/>
      <c r="AF225" t="s" s="10">
        <v>404</v>
      </c>
      <c r="AG225" t="s" s="10">
        <v>299</v>
      </c>
      <c r="AH225" t="s" s="10">
        <v>114</v>
      </c>
      <c r="AI225" t="s" s="10">
        <v>332</v>
      </c>
      <c r="AJ225" t="s" s="10">
        <v>405</v>
      </c>
      <c r="AK225" t="s" s="10">
        <v>83</v>
      </c>
      <c r="AL225" t="s" s="10">
        <v>115</v>
      </c>
      <c r="AM225" s="11"/>
      <c r="AN225" s="11"/>
      <c r="AO225" s="11"/>
      <c r="AP225" s="11"/>
      <c r="AQ225" s="11"/>
      <c r="AR225" s="11"/>
      <c r="AS225" t="s" s="10">
        <v>753</v>
      </c>
      <c r="AT225" t="s" s="10">
        <v>301</v>
      </c>
      <c r="AU225" s="11"/>
      <c r="AV225" s="11"/>
      <c r="AW225" s="11"/>
      <c r="AX225" s="11"/>
      <c r="AY225" s="11"/>
      <c r="AZ225" s="11"/>
      <c r="BA225" s="11"/>
      <c r="BB225" s="11"/>
      <c r="BC225" s="11"/>
      <c r="BD225" t="s" s="10">
        <v>118</v>
      </c>
      <c r="BE225" s="11"/>
      <c r="BF225" s="11"/>
      <c r="BG225" s="11"/>
      <c r="BH225" s="11"/>
      <c r="BI225" s="11"/>
      <c r="BJ225" s="11"/>
      <c r="BK225" s="11"/>
      <c r="BL225" s="11"/>
      <c r="BM225" s="11"/>
      <c r="BN225" s="11"/>
      <c r="BO225" t="s" s="19">
        <v>115</v>
      </c>
      <c r="BP225" s="8"/>
    </row>
    <row r="226" ht="9" customHeight="1" hidden="1">
      <c r="A226" t="s" s="13">
        <v>754</v>
      </c>
      <c r="B226" s="14"/>
      <c r="C226" t="str" s="14" cm="1">
        <f t="array" ref="C226">_xlfn.IFERROR((VLOOKUP(A226,#REF!,2,FALSE)),"")</f>
      </c>
      <c r="D226" t="s" s="15">
        <v>70</v>
      </c>
      <c r="E226" s="14"/>
      <c r="F226" s="14"/>
      <c r="G226" t="s" s="15">
        <v>641</v>
      </c>
      <c r="H226" t="s" s="15">
        <v>484</v>
      </c>
      <c r="I226" t="s" s="15">
        <v>111</v>
      </c>
      <c r="J226" t="s" s="15">
        <v>122</v>
      </c>
      <c r="K226" t="s" s="15">
        <v>75</v>
      </c>
      <c r="L226" t="s" s="15">
        <v>76</v>
      </c>
      <c r="M226" t="s" s="15">
        <v>77</v>
      </c>
      <c r="N226" t="s" s="15">
        <v>641</v>
      </c>
      <c r="O226" s="14"/>
      <c r="P226" s="14"/>
      <c r="Q226" t="s" s="15">
        <v>78</v>
      </c>
      <c r="R226" t="s" s="15">
        <v>83</v>
      </c>
      <c r="S226" s="14"/>
      <c r="T226" s="14"/>
      <c r="U226" s="14"/>
      <c r="V226" t="s" s="15">
        <v>78</v>
      </c>
      <c r="W226" s="14"/>
      <c r="X226" t="s" s="15">
        <v>69</v>
      </c>
      <c r="Y226" s="14"/>
      <c r="Z226" t="s" s="15">
        <v>76</v>
      </c>
      <c r="AA226" s="14"/>
      <c r="AB226" t="s" s="15">
        <v>76</v>
      </c>
      <c r="AC226" s="14"/>
      <c r="AD226" s="14"/>
      <c r="AE226" s="14"/>
      <c r="AF226" s="14"/>
      <c r="AG226" s="14"/>
      <c r="AH226" s="14"/>
      <c r="AI226" t="s" s="15">
        <v>76</v>
      </c>
      <c r="AJ226" t="s" s="15">
        <v>76</v>
      </c>
      <c r="AK226" t="s" s="15">
        <v>79</v>
      </c>
      <c r="AL226" t="s" s="15">
        <v>115</v>
      </c>
      <c r="AM226" s="14"/>
      <c r="AN226" s="14"/>
      <c r="AO226" s="14"/>
      <c r="AP226" s="14"/>
      <c r="AQ226" s="14"/>
      <c r="AR226" s="14"/>
      <c r="AS226" t="s" s="15">
        <v>755</v>
      </c>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6"/>
      <c r="BP226" s="8"/>
    </row>
    <row r="227" ht="9" customHeight="1" hidden="1">
      <c r="A227" t="s" s="9">
        <v>756</v>
      </c>
      <c r="B227" s="11"/>
      <c r="C227" t="str" s="11" cm="1">
        <f t="array" ref="C227">_xlfn.IFERROR((VLOOKUP(A227,#REF!,2,FALSE)),"")</f>
      </c>
      <c r="D227" t="s" s="10">
        <v>70</v>
      </c>
      <c r="E227" s="11"/>
      <c r="F227" s="11"/>
      <c r="G227" t="s" s="10">
        <v>641</v>
      </c>
      <c r="H227" t="s" s="10">
        <v>484</v>
      </c>
      <c r="I227" t="s" s="10">
        <v>111</v>
      </c>
      <c r="J227" t="s" s="10">
        <v>122</v>
      </c>
      <c r="K227" t="s" s="10">
        <v>75</v>
      </c>
      <c r="L227" t="s" s="10">
        <v>76</v>
      </c>
      <c r="M227" t="s" s="10">
        <v>77</v>
      </c>
      <c r="N227" t="s" s="10">
        <v>641</v>
      </c>
      <c r="O227" s="11"/>
      <c r="P227" s="11"/>
      <c r="Q227" t="s" s="10">
        <v>78</v>
      </c>
      <c r="R227" t="s" s="10">
        <v>83</v>
      </c>
      <c r="S227" s="11"/>
      <c r="T227" s="11"/>
      <c r="U227" s="11"/>
      <c r="V227" t="s" s="10">
        <v>78</v>
      </c>
      <c r="W227" s="11"/>
      <c r="X227" t="s" s="10">
        <v>69</v>
      </c>
      <c r="Y227" s="11"/>
      <c r="Z227" t="s" s="10">
        <v>76</v>
      </c>
      <c r="AA227" s="11"/>
      <c r="AB227" t="s" s="10">
        <v>76</v>
      </c>
      <c r="AC227" s="11"/>
      <c r="AD227" s="11"/>
      <c r="AE227" s="11"/>
      <c r="AF227" s="11"/>
      <c r="AG227" s="11"/>
      <c r="AH227" s="11"/>
      <c r="AI227" t="s" s="10">
        <v>76</v>
      </c>
      <c r="AJ227" t="s" s="10">
        <v>76</v>
      </c>
      <c r="AK227" t="s" s="10">
        <v>79</v>
      </c>
      <c r="AL227" t="s" s="10">
        <v>115</v>
      </c>
      <c r="AM227" s="11"/>
      <c r="AN227" s="11"/>
      <c r="AO227" s="11"/>
      <c r="AP227" s="11"/>
      <c r="AQ227" s="11"/>
      <c r="AR227" s="11"/>
      <c r="AS227" t="s" s="10">
        <v>757</v>
      </c>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2"/>
      <c r="BP227" s="8"/>
    </row>
    <row r="228" ht="9" customHeight="1" hidden="1">
      <c r="A228" t="s" s="13">
        <v>758</v>
      </c>
      <c r="B228" s="14"/>
      <c r="C228" t="str" s="14" cm="1">
        <f t="array" ref="C228">_xlfn.IFERROR((VLOOKUP(A228,#REF!,2,FALSE)),"")</f>
      </c>
      <c r="D228" t="s" s="15">
        <v>70</v>
      </c>
      <c r="E228" s="14"/>
      <c r="F228" s="14"/>
      <c r="G228" t="s" s="15">
        <v>641</v>
      </c>
      <c r="H228" t="s" s="15">
        <v>484</v>
      </c>
      <c r="I228" t="s" s="15">
        <v>111</v>
      </c>
      <c r="J228" t="s" s="15">
        <v>122</v>
      </c>
      <c r="K228" t="s" s="15">
        <v>75</v>
      </c>
      <c r="L228" t="s" s="15">
        <v>76</v>
      </c>
      <c r="M228" t="s" s="15">
        <v>77</v>
      </c>
      <c r="N228" t="s" s="15">
        <v>641</v>
      </c>
      <c r="O228" s="14"/>
      <c r="P228" s="14"/>
      <c r="Q228" t="s" s="15">
        <v>78</v>
      </c>
      <c r="R228" t="s" s="15">
        <v>83</v>
      </c>
      <c r="S228" s="14"/>
      <c r="T228" s="14"/>
      <c r="U228" s="14"/>
      <c r="V228" t="s" s="15">
        <v>78</v>
      </c>
      <c r="W228" s="14"/>
      <c r="X228" t="s" s="15">
        <v>69</v>
      </c>
      <c r="Y228" s="14"/>
      <c r="Z228" t="s" s="15">
        <v>76</v>
      </c>
      <c r="AA228" s="14"/>
      <c r="AB228" t="s" s="15">
        <v>76</v>
      </c>
      <c r="AC228" s="14"/>
      <c r="AD228" s="14"/>
      <c r="AE228" s="14"/>
      <c r="AF228" s="14"/>
      <c r="AG228" s="14"/>
      <c r="AH228" s="14"/>
      <c r="AI228" t="s" s="15">
        <v>76</v>
      </c>
      <c r="AJ228" t="s" s="15">
        <v>76</v>
      </c>
      <c r="AK228" t="s" s="15">
        <v>79</v>
      </c>
      <c r="AL228" t="s" s="15">
        <v>115</v>
      </c>
      <c r="AM228" s="14"/>
      <c r="AN228" s="14"/>
      <c r="AO228" s="14"/>
      <c r="AP228" s="14"/>
      <c r="AQ228" s="14"/>
      <c r="AR228" s="14"/>
      <c r="AS228" t="s" s="15">
        <v>759</v>
      </c>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6"/>
      <c r="BP228" s="8"/>
    </row>
    <row r="229" ht="9" customHeight="1" hidden="1">
      <c r="A229" t="s" s="9">
        <v>760</v>
      </c>
      <c r="B229" s="11"/>
      <c r="C229" t="str" s="11" cm="1">
        <f t="array" ref="C229">_xlfn.IFERROR((VLOOKUP(A229,#REF!,2,FALSE)),"")</f>
      </c>
      <c r="D229" t="s" s="10">
        <v>70</v>
      </c>
      <c r="E229" s="11"/>
      <c r="F229" s="11"/>
      <c r="G229" t="s" s="10">
        <v>684</v>
      </c>
      <c r="H229" t="s" s="10">
        <v>484</v>
      </c>
      <c r="I229" t="s" s="10">
        <v>111</v>
      </c>
      <c r="J229" t="s" s="10">
        <v>122</v>
      </c>
      <c r="K229" t="s" s="10">
        <v>75</v>
      </c>
      <c r="L229" t="s" s="10">
        <v>76</v>
      </c>
      <c r="M229" t="s" s="10">
        <v>77</v>
      </c>
      <c r="N229" t="s" s="10">
        <v>684</v>
      </c>
      <c r="O229" s="11"/>
      <c r="P229" s="11"/>
      <c r="Q229" t="s" s="10">
        <v>78</v>
      </c>
      <c r="R229" t="s" s="10">
        <v>83</v>
      </c>
      <c r="S229" t="s" s="10">
        <v>69</v>
      </c>
      <c r="T229" s="11"/>
      <c r="U229" s="11"/>
      <c r="V229" t="s" s="10">
        <v>78</v>
      </c>
      <c r="W229" s="11"/>
      <c r="X229" t="s" s="10">
        <v>69</v>
      </c>
      <c r="Y229" s="11"/>
      <c r="Z229" t="s" s="10">
        <v>76</v>
      </c>
      <c r="AA229" s="11"/>
      <c r="AB229" t="s" s="10">
        <v>76</v>
      </c>
      <c r="AC229" s="11"/>
      <c r="AD229" s="11"/>
      <c r="AE229" s="11"/>
      <c r="AF229" s="11"/>
      <c r="AG229" s="11"/>
      <c r="AH229" s="11"/>
      <c r="AI229" t="s" s="10">
        <v>76</v>
      </c>
      <c r="AJ229" t="s" s="10">
        <v>76</v>
      </c>
      <c r="AK229" t="s" s="10">
        <v>79</v>
      </c>
      <c r="AL229" t="s" s="10">
        <v>115</v>
      </c>
      <c r="AM229" s="11"/>
      <c r="AN229" s="11"/>
      <c r="AO229" s="11"/>
      <c r="AP229" s="11"/>
      <c r="AQ229" s="11"/>
      <c r="AR229" s="11"/>
      <c r="AS229" t="s" s="10">
        <v>761</v>
      </c>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2"/>
      <c r="BP229" s="8"/>
    </row>
    <row r="230" ht="9" customHeight="1" hidden="1">
      <c r="A230" t="s" s="13">
        <v>762</v>
      </c>
      <c r="B230" t="s" s="15">
        <v>69</v>
      </c>
      <c r="C230" t="str" s="14" cm="1">
        <f t="array" ref="C230">_xlfn.IFERROR((VLOOKUP(A230,#REF!,2,FALSE)),"")</f>
      </c>
      <c r="D230" t="s" s="15">
        <v>70</v>
      </c>
      <c r="E230" t="s" s="15">
        <v>763</v>
      </c>
      <c r="F230" s="14"/>
      <c r="G230" t="s" s="15">
        <v>764</v>
      </c>
      <c r="H230" t="s" s="15">
        <v>764</v>
      </c>
      <c r="I230" t="s" s="15">
        <v>73</v>
      </c>
      <c r="J230" t="s" s="15">
        <v>74</v>
      </c>
      <c r="K230" t="s" s="15">
        <v>113</v>
      </c>
      <c r="L230" t="s" s="15">
        <v>76</v>
      </c>
      <c r="M230" t="s" s="15">
        <v>77</v>
      </c>
      <c r="N230" t="s" s="15">
        <v>764</v>
      </c>
      <c r="O230" t="s" s="15">
        <v>71</v>
      </c>
      <c r="P230" s="14"/>
      <c r="Q230" t="s" s="15">
        <v>78</v>
      </c>
      <c r="R230" t="s" s="15">
        <v>71</v>
      </c>
      <c r="S230" s="14"/>
      <c r="T230" s="14"/>
      <c r="U230" s="14"/>
      <c r="V230" t="s" s="15">
        <v>78</v>
      </c>
      <c r="W230" t="s" s="15">
        <v>762</v>
      </c>
      <c r="X230" t="s" s="15">
        <v>69</v>
      </c>
      <c r="Y230" s="14"/>
      <c r="Z230" t="s" s="15">
        <v>76</v>
      </c>
      <c r="AA230" s="14"/>
      <c r="AB230" t="s" s="15">
        <v>76</v>
      </c>
      <c r="AC230" s="14"/>
      <c r="AD230" s="14"/>
      <c r="AE230" s="14"/>
      <c r="AF230" s="14"/>
      <c r="AG230" s="14"/>
      <c r="AH230" s="14"/>
      <c r="AI230" t="s" s="15">
        <v>76</v>
      </c>
      <c r="AJ230" t="s" s="15">
        <v>76</v>
      </c>
      <c r="AK230" t="s" s="15">
        <v>79</v>
      </c>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6"/>
      <c r="BP230" s="8"/>
    </row>
    <row r="231" ht="9" customHeight="1" hidden="1">
      <c r="A231" t="s" s="9">
        <v>765</v>
      </c>
      <c r="B231" s="11"/>
      <c r="C231" t="str" s="11" cm="1">
        <f t="array" ref="C231">_xlfn.IFERROR((VLOOKUP(A231,#REF!,2,FALSE)),"")</f>
      </c>
      <c r="D231" s="11"/>
      <c r="E231" s="11"/>
      <c r="F231" s="11"/>
      <c r="G231" t="s" s="10">
        <v>766</v>
      </c>
      <c r="H231" t="s" s="10">
        <v>767</v>
      </c>
      <c r="I231" t="s" s="10">
        <v>73</v>
      </c>
      <c r="J231" t="s" s="10">
        <v>74</v>
      </c>
      <c r="K231" t="s" s="10">
        <v>113</v>
      </c>
      <c r="L231" t="s" s="10">
        <v>76</v>
      </c>
      <c r="M231" t="s" s="10">
        <v>77</v>
      </c>
      <c r="N231" t="s" s="10">
        <v>766</v>
      </c>
      <c r="O231" t="s" s="10">
        <v>71</v>
      </c>
      <c r="P231" s="11"/>
      <c r="Q231" t="s" s="10">
        <v>78</v>
      </c>
      <c r="R231" t="s" s="10">
        <v>71</v>
      </c>
      <c r="S231" s="11"/>
      <c r="T231" s="11"/>
      <c r="U231" s="11"/>
      <c r="V231" t="s" s="10">
        <v>78</v>
      </c>
      <c r="W231" t="s" s="10">
        <v>765</v>
      </c>
      <c r="X231" t="s" s="10">
        <v>69</v>
      </c>
      <c r="Y231" s="11"/>
      <c r="Z231" t="s" s="10">
        <v>76</v>
      </c>
      <c r="AA231" s="11"/>
      <c r="AB231" t="s" s="10">
        <v>76</v>
      </c>
      <c r="AC231" s="11"/>
      <c r="AD231" s="11"/>
      <c r="AE231" s="11"/>
      <c r="AF231" s="11"/>
      <c r="AG231" s="11"/>
      <c r="AH231" t="s" s="10">
        <v>106</v>
      </c>
      <c r="AI231" t="s" s="10">
        <v>76</v>
      </c>
      <c r="AJ231" t="s" s="10">
        <v>76</v>
      </c>
      <c r="AK231" t="s" s="10">
        <v>79</v>
      </c>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O231" s="12"/>
      <c r="BP231" s="8"/>
    </row>
    <row r="232" ht="9" customHeight="1" hidden="1">
      <c r="A232" t="s" s="13">
        <v>768</v>
      </c>
      <c r="B232" s="14"/>
      <c r="C232" t="str" s="14" cm="1">
        <f t="array" ref="C232">_xlfn.IFERROR((VLOOKUP(A232,#REF!,2,FALSE)),"")</f>
      </c>
      <c r="D232" s="14"/>
      <c r="E232" t="s" s="15">
        <v>297</v>
      </c>
      <c r="F232" s="14"/>
      <c r="G232" t="s" s="15">
        <v>769</v>
      </c>
      <c r="H232" t="s" s="15">
        <v>770</v>
      </c>
      <c r="I232" t="s" s="15">
        <v>73</v>
      </c>
      <c r="J232" t="s" s="15">
        <v>74</v>
      </c>
      <c r="K232" t="s" s="15">
        <v>113</v>
      </c>
      <c r="L232" t="s" s="15">
        <v>76</v>
      </c>
      <c r="M232" t="s" s="15">
        <v>77</v>
      </c>
      <c r="N232" t="s" s="15">
        <v>769</v>
      </c>
      <c r="O232" t="s" s="15">
        <v>71</v>
      </c>
      <c r="P232" s="14"/>
      <c r="Q232" t="s" s="15">
        <v>78</v>
      </c>
      <c r="R232" t="s" s="15">
        <v>71</v>
      </c>
      <c r="S232" s="14"/>
      <c r="T232" t="s" s="15">
        <v>69</v>
      </c>
      <c r="U232" s="14"/>
      <c r="V232" t="s" s="15">
        <v>78</v>
      </c>
      <c r="W232" t="s" s="15">
        <v>768</v>
      </c>
      <c r="X232" t="s" s="15">
        <v>69</v>
      </c>
      <c r="Y232" s="14"/>
      <c r="Z232" t="s" s="15">
        <v>76</v>
      </c>
      <c r="AA232" s="14"/>
      <c r="AB232" t="s" s="15">
        <v>76</v>
      </c>
      <c r="AC232" s="14"/>
      <c r="AD232" s="14"/>
      <c r="AE232" t="s" s="15">
        <v>771</v>
      </c>
      <c r="AF232" s="14"/>
      <c r="AG232" s="14"/>
      <c r="AH232" s="14"/>
      <c r="AI232" t="s" s="15">
        <v>76</v>
      </c>
      <c r="AJ232" t="s" s="15">
        <v>76</v>
      </c>
      <c r="AK232" t="s" s="15">
        <v>79</v>
      </c>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6"/>
      <c r="BP232" s="8"/>
    </row>
    <row r="233" ht="9" customHeight="1" hidden="1">
      <c r="A233" t="s" s="9">
        <v>772</v>
      </c>
      <c r="B233" s="11"/>
      <c r="C233" t="str" s="11" cm="1">
        <f t="array" ref="C233">_xlfn.IFERROR((VLOOKUP(A233,#REF!,2,FALSE)),"")</f>
      </c>
      <c r="D233" t="s" s="10">
        <v>70</v>
      </c>
      <c r="E233" t="s" s="10">
        <v>773</v>
      </c>
      <c r="F233" s="11"/>
      <c r="G233" t="s" s="10">
        <v>774</v>
      </c>
      <c r="H233" t="s" s="10">
        <v>484</v>
      </c>
      <c r="I233" t="s" s="10">
        <v>111</v>
      </c>
      <c r="J233" t="s" s="10">
        <v>122</v>
      </c>
      <c r="K233" t="s" s="10">
        <v>75</v>
      </c>
      <c r="L233" t="s" s="10">
        <v>76</v>
      </c>
      <c r="M233" t="s" s="10">
        <v>77</v>
      </c>
      <c r="N233" t="s" s="10">
        <v>774</v>
      </c>
      <c r="O233" s="11"/>
      <c r="P233" s="11"/>
      <c r="Q233" t="s" s="10">
        <v>78</v>
      </c>
      <c r="R233" t="s" s="10">
        <v>83</v>
      </c>
      <c r="S233" s="11"/>
      <c r="T233" s="11"/>
      <c r="U233" s="11"/>
      <c r="V233" t="s" s="10">
        <v>78</v>
      </c>
      <c r="W233" s="11"/>
      <c r="X233" t="s" s="10">
        <v>69</v>
      </c>
      <c r="Y233" s="11"/>
      <c r="Z233" t="s" s="10">
        <v>76</v>
      </c>
      <c r="AA233" s="11"/>
      <c r="AB233" t="s" s="10">
        <v>76</v>
      </c>
      <c r="AC233" s="11"/>
      <c r="AD233" s="11"/>
      <c r="AE233" s="11"/>
      <c r="AF233" s="11"/>
      <c r="AG233" s="11"/>
      <c r="AH233" s="11"/>
      <c r="AI233" t="s" s="10">
        <v>76</v>
      </c>
      <c r="AJ233" t="s" s="10">
        <v>76</v>
      </c>
      <c r="AK233" t="s" s="10">
        <v>79</v>
      </c>
      <c r="AL233" t="s" s="10">
        <v>115</v>
      </c>
      <c r="AM233" s="11"/>
      <c r="AN233" s="11"/>
      <c r="AO233" s="11"/>
      <c r="AP233" s="11"/>
      <c r="AQ233" s="11"/>
      <c r="AR233" s="11"/>
      <c r="AS233" t="s" s="10">
        <v>775</v>
      </c>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2"/>
      <c r="BP233" s="8"/>
    </row>
    <row r="234" ht="9" customHeight="1" hidden="1">
      <c r="A234" t="s" s="13">
        <v>776</v>
      </c>
      <c r="B234" s="14"/>
      <c r="C234" t="str" s="14" cm="1">
        <f t="array" ref="C234">_xlfn.IFERROR((VLOOKUP(A234,#REF!,2,FALSE)),"")</f>
      </c>
      <c r="D234" t="s" s="15">
        <v>70</v>
      </c>
      <c r="E234" t="s" s="15">
        <v>773</v>
      </c>
      <c r="F234" s="14"/>
      <c r="G234" t="s" s="15">
        <v>774</v>
      </c>
      <c r="H234" t="s" s="15">
        <v>484</v>
      </c>
      <c r="I234" t="s" s="15">
        <v>111</v>
      </c>
      <c r="J234" t="s" s="15">
        <v>122</v>
      </c>
      <c r="K234" t="s" s="15">
        <v>75</v>
      </c>
      <c r="L234" t="s" s="15">
        <v>76</v>
      </c>
      <c r="M234" t="s" s="15">
        <v>77</v>
      </c>
      <c r="N234" t="s" s="15">
        <v>774</v>
      </c>
      <c r="O234" s="14"/>
      <c r="P234" s="14"/>
      <c r="Q234" t="s" s="15">
        <v>78</v>
      </c>
      <c r="R234" t="s" s="15">
        <v>83</v>
      </c>
      <c r="S234" s="14"/>
      <c r="T234" s="14"/>
      <c r="U234" s="14"/>
      <c r="V234" t="s" s="15">
        <v>78</v>
      </c>
      <c r="W234" s="14"/>
      <c r="X234" t="s" s="15">
        <v>69</v>
      </c>
      <c r="Y234" s="14"/>
      <c r="Z234" t="s" s="15">
        <v>76</v>
      </c>
      <c r="AA234" s="14"/>
      <c r="AB234" t="s" s="15">
        <v>76</v>
      </c>
      <c r="AC234" s="14"/>
      <c r="AD234" s="14"/>
      <c r="AE234" s="14"/>
      <c r="AF234" s="14"/>
      <c r="AG234" s="14"/>
      <c r="AH234" s="14"/>
      <c r="AI234" t="s" s="15">
        <v>76</v>
      </c>
      <c r="AJ234" t="s" s="15">
        <v>76</v>
      </c>
      <c r="AK234" t="s" s="15">
        <v>79</v>
      </c>
      <c r="AL234" t="s" s="15">
        <v>115</v>
      </c>
      <c r="AM234" s="14"/>
      <c r="AN234" s="14"/>
      <c r="AO234" s="14"/>
      <c r="AP234" s="14"/>
      <c r="AQ234" s="14"/>
      <c r="AR234" s="14"/>
      <c r="AS234" t="s" s="15">
        <v>777</v>
      </c>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6"/>
      <c r="BP234" s="8"/>
    </row>
    <row r="235" ht="9" customHeight="1" hidden="1">
      <c r="A235" t="s" s="9">
        <v>778</v>
      </c>
      <c r="B235" s="11"/>
      <c r="C235" t="str" s="11" cm="1">
        <f t="array" ref="C235">_xlfn.IFERROR((VLOOKUP(A235,#REF!,2,FALSE)),"")</f>
      </c>
      <c r="D235" t="s" s="10">
        <v>70</v>
      </c>
      <c r="E235" t="s" s="10">
        <v>773</v>
      </c>
      <c r="F235" s="11"/>
      <c r="G235" t="s" s="10">
        <v>483</v>
      </c>
      <c r="H235" t="s" s="10">
        <v>484</v>
      </c>
      <c r="I235" t="s" s="10">
        <v>111</v>
      </c>
      <c r="J235" t="s" s="10">
        <v>122</v>
      </c>
      <c r="K235" t="s" s="10">
        <v>75</v>
      </c>
      <c r="L235" t="s" s="10">
        <v>76</v>
      </c>
      <c r="M235" t="s" s="10">
        <v>77</v>
      </c>
      <c r="N235" t="s" s="10">
        <v>483</v>
      </c>
      <c r="O235" s="11"/>
      <c r="P235" s="11"/>
      <c r="Q235" t="s" s="10">
        <v>78</v>
      </c>
      <c r="R235" t="s" s="10">
        <v>83</v>
      </c>
      <c r="S235" s="11"/>
      <c r="T235" s="11"/>
      <c r="U235" s="11"/>
      <c r="V235" t="s" s="10">
        <v>78</v>
      </c>
      <c r="W235" s="11"/>
      <c r="X235" t="s" s="10">
        <v>69</v>
      </c>
      <c r="Y235" s="11"/>
      <c r="Z235" t="s" s="10">
        <v>76</v>
      </c>
      <c r="AA235" s="11"/>
      <c r="AB235" t="s" s="10">
        <v>76</v>
      </c>
      <c r="AC235" s="11"/>
      <c r="AD235" s="11"/>
      <c r="AE235" s="11"/>
      <c r="AF235" s="11"/>
      <c r="AG235" s="11"/>
      <c r="AH235" s="11"/>
      <c r="AI235" t="s" s="10">
        <v>76</v>
      </c>
      <c r="AJ235" t="s" s="10">
        <v>76</v>
      </c>
      <c r="AK235" t="s" s="10">
        <v>79</v>
      </c>
      <c r="AL235" t="s" s="10">
        <v>115</v>
      </c>
      <c r="AM235" s="11"/>
      <c r="AN235" s="11"/>
      <c r="AO235" s="11"/>
      <c r="AP235" s="11"/>
      <c r="AQ235" s="11"/>
      <c r="AR235" s="11"/>
      <c r="AS235" t="s" s="10">
        <v>779</v>
      </c>
      <c r="AT235" s="11"/>
      <c r="AU235" s="11"/>
      <c r="AV235" s="11"/>
      <c r="AW235" s="11"/>
      <c r="AX235" s="11"/>
      <c r="AY235" s="11"/>
      <c r="AZ235" s="11"/>
      <c r="BA235" s="11"/>
      <c r="BB235" s="11"/>
      <c r="BC235" s="11"/>
      <c r="BD235" s="11"/>
      <c r="BE235" s="11"/>
      <c r="BF235" s="11"/>
      <c r="BG235" s="11"/>
      <c r="BH235" s="11"/>
      <c r="BI235" s="11"/>
      <c r="BJ235" s="11"/>
      <c r="BK235" s="11"/>
      <c r="BL235" s="11"/>
      <c r="BM235" s="11"/>
      <c r="BN235" s="11"/>
      <c r="BO235" s="12"/>
      <c r="BP235" s="8"/>
    </row>
    <row r="236" ht="9" customHeight="1" hidden="1">
      <c r="A236" t="s" s="13">
        <v>780</v>
      </c>
      <c r="B236" s="14"/>
      <c r="C236" t="str" s="14" cm="1">
        <f t="array" ref="C236">_xlfn.IFERROR((VLOOKUP(A236,#REF!,2,FALSE)),"")</f>
      </c>
      <c r="D236" t="s" s="15">
        <v>70</v>
      </c>
      <c r="E236" t="s" s="15">
        <v>781</v>
      </c>
      <c r="F236" s="14"/>
      <c r="G236" t="s" s="15">
        <v>782</v>
      </c>
      <c r="H236" t="s" s="15">
        <v>783</v>
      </c>
      <c r="I236" t="s" s="15">
        <v>111</v>
      </c>
      <c r="J236" t="s" s="15">
        <v>122</v>
      </c>
      <c r="K236" t="s" s="15">
        <v>75</v>
      </c>
      <c r="L236" t="s" s="15">
        <v>76</v>
      </c>
      <c r="M236" t="s" s="15">
        <v>77</v>
      </c>
      <c r="N236" t="s" s="15">
        <v>782</v>
      </c>
      <c r="O236" s="14"/>
      <c r="P236" s="14"/>
      <c r="Q236" t="s" s="15">
        <v>78</v>
      </c>
      <c r="R236" t="s" s="15">
        <v>83</v>
      </c>
      <c r="S236" s="14"/>
      <c r="T236" t="s" s="15">
        <v>69</v>
      </c>
      <c r="U236" s="14"/>
      <c r="V236" t="s" s="15">
        <v>78</v>
      </c>
      <c r="W236" s="14"/>
      <c r="X236" t="s" s="15">
        <v>69</v>
      </c>
      <c r="Y236" s="14"/>
      <c r="Z236" t="s" s="15">
        <v>76</v>
      </c>
      <c r="AA236" s="14"/>
      <c r="AB236" t="s" s="15">
        <v>76</v>
      </c>
      <c r="AC236" s="14"/>
      <c r="AD236" s="14"/>
      <c r="AE236" t="s" s="15">
        <v>784</v>
      </c>
      <c r="AF236" s="14"/>
      <c r="AG236" t="s" s="15">
        <v>299</v>
      </c>
      <c r="AH236" s="14"/>
      <c r="AI236" t="s" s="15">
        <v>76</v>
      </c>
      <c r="AJ236" t="s" s="15">
        <v>76</v>
      </c>
      <c r="AK236" t="s" s="15">
        <v>79</v>
      </c>
      <c r="AL236" t="s" s="15">
        <v>115</v>
      </c>
      <c r="AM236" s="14"/>
      <c r="AN236" t="s" s="15">
        <v>785</v>
      </c>
      <c r="AO236" s="14"/>
      <c r="AP236" s="14"/>
      <c r="AQ236" s="14"/>
      <c r="AR236" s="14"/>
      <c r="AS236" t="s" s="15">
        <v>786</v>
      </c>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6"/>
      <c r="BP236" s="8"/>
    </row>
    <row r="237" ht="9" customHeight="1" hidden="1">
      <c r="A237" t="s" s="9">
        <v>787</v>
      </c>
      <c r="B237" s="11"/>
      <c r="C237" t="str" s="11" cm="1">
        <f t="array" ref="C237">_xlfn.IFERROR((VLOOKUP(A237,#REF!,2,FALSE)),"")</f>
      </c>
      <c r="D237" t="s" s="10">
        <v>70</v>
      </c>
      <c r="E237" t="s" s="10">
        <v>781</v>
      </c>
      <c r="F237" s="11"/>
      <c r="G237" t="s" s="10">
        <v>782</v>
      </c>
      <c r="H237" t="s" s="10">
        <v>484</v>
      </c>
      <c r="I237" t="s" s="10">
        <v>111</v>
      </c>
      <c r="J237" t="s" s="10">
        <v>122</v>
      </c>
      <c r="K237" t="s" s="10">
        <v>75</v>
      </c>
      <c r="L237" t="s" s="10">
        <v>76</v>
      </c>
      <c r="M237" t="s" s="10">
        <v>77</v>
      </c>
      <c r="N237" t="s" s="10">
        <v>782</v>
      </c>
      <c r="O237" s="11"/>
      <c r="P237" s="11"/>
      <c r="Q237" t="s" s="10">
        <v>78</v>
      </c>
      <c r="R237" t="s" s="10">
        <v>83</v>
      </c>
      <c r="S237" s="11"/>
      <c r="T237" t="s" s="10">
        <v>69</v>
      </c>
      <c r="U237" s="11"/>
      <c r="V237" t="s" s="10">
        <v>78</v>
      </c>
      <c r="W237" s="11"/>
      <c r="X237" t="s" s="10">
        <v>69</v>
      </c>
      <c r="Y237" s="11"/>
      <c r="Z237" t="s" s="10">
        <v>76</v>
      </c>
      <c r="AA237" s="11"/>
      <c r="AB237" t="s" s="10">
        <v>76</v>
      </c>
      <c r="AC237" s="11"/>
      <c r="AD237" s="11"/>
      <c r="AE237" t="s" s="10">
        <v>784</v>
      </c>
      <c r="AF237" s="11"/>
      <c r="AG237" t="s" s="10">
        <v>299</v>
      </c>
      <c r="AH237" s="11"/>
      <c r="AI237" t="s" s="10">
        <v>76</v>
      </c>
      <c r="AJ237" t="s" s="10">
        <v>76</v>
      </c>
      <c r="AK237" t="s" s="10">
        <v>79</v>
      </c>
      <c r="AL237" t="s" s="10">
        <v>115</v>
      </c>
      <c r="AM237" s="11"/>
      <c r="AN237" t="s" s="10">
        <v>785</v>
      </c>
      <c r="AO237" s="11"/>
      <c r="AP237" s="11"/>
      <c r="AQ237" s="11"/>
      <c r="AR237" s="11"/>
      <c r="AS237" t="s" s="10">
        <v>788</v>
      </c>
      <c r="AT237" s="11"/>
      <c r="AU237" s="11"/>
      <c r="AV237" s="11"/>
      <c r="AW237" s="11"/>
      <c r="AX237" s="11"/>
      <c r="AY237" s="11"/>
      <c r="AZ237" s="11"/>
      <c r="BA237" s="11"/>
      <c r="BB237" s="11"/>
      <c r="BC237" s="11"/>
      <c r="BD237" s="11"/>
      <c r="BE237" s="11"/>
      <c r="BF237" s="11"/>
      <c r="BG237" s="11"/>
      <c r="BH237" s="11"/>
      <c r="BI237" s="11"/>
      <c r="BJ237" s="11"/>
      <c r="BK237" s="11"/>
      <c r="BL237" s="11"/>
      <c r="BM237" s="11"/>
      <c r="BN237" s="11"/>
      <c r="BO237" s="12"/>
      <c r="BP237" s="8"/>
    </row>
    <row r="238" ht="9" customHeight="1" hidden="1">
      <c r="A238" t="s" s="13">
        <v>789</v>
      </c>
      <c r="B238" s="14"/>
      <c r="C238" t="str" s="14" cm="1">
        <f t="array" ref="C238">_xlfn.IFERROR((VLOOKUP(A238,#REF!,2,FALSE)),"")</f>
      </c>
      <c r="D238" t="s" s="15">
        <v>70</v>
      </c>
      <c r="E238" t="s" s="15">
        <v>781</v>
      </c>
      <c r="F238" s="14"/>
      <c r="G238" t="s" s="15">
        <v>782</v>
      </c>
      <c r="H238" t="s" s="15">
        <v>783</v>
      </c>
      <c r="I238" t="s" s="15">
        <v>111</v>
      </c>
      <c r="J238" t="s" s="15">
        <v>122</v>
      </c>
      <c r="K238" t="s" s="15">
        <v>75</v>
      </c>
      <c r="L238" t="s" s="15">
        <v>76</v>
      </c>
      <c r="M238" t="s" s="15">
        <v>77</v>
      </c>
      <c r="N238" t="s" s="15">
        <v>782</v>
      </c>
      <c r="O238" s="14"/>
      <c r="P238" s="14"/>
      <c r="Q238" t="s" s="15">
        <v>78</v>
      </c>
      <c r="R238" t="s" s="15">
        <v>83</v>
      </c>
      <c r="S238" s="14"/>
      <c r="T238" t="s" s="15">
        <v>69</v>
      </c>
      <c r="U238" s="14"/>
      <c r="V238" t="s" s="15">
        <v>78</v>
      </c>
      <c r="W238" s="14"/>
      <c r="X238" t="s" s="15">
        <v>69</v>
      </c>
      <c r="Y238" s="14"/>
      <c r="Z238" t="s" s="15">
        <v>76</v>
      </c>
      <c r="AA238" s="14"/>
      <c r="AB238" t="s" s="15">
        <v>76</v>
      </c>
      <c r="AC238" s="14"/>
      <c r="AD238" s="14"/>
      <c r="AE238" t="s" s="15">
        <v>784</v>
      </c>
      <c r="AF238" s="14"/>
      <c r="AG238" t="s" s="15">
        <v>299</v>
      </c>
      <c r="AH238" s="14"/>
      <c r="AI238" t="s" s="15">
        <v>76</v>
      </c>
      <c r="AJ238" t="s" s="15">
        <v>76</v>
      </c>
      <c r="AK238" t="s" s="15">
        <v>79</v>
      </c>
      <c r="AL238" t="s" s="15">
        <v>115</v>
      </c>
      <c r="AM238" s="14"/>
      <c r="AN238" t="s" s="15">
        <v>785</v>
      </c>
      <c r="AO238" s="14"/>
      <c r="AP238" s="14"/>
      <c r="AQ238" s="14"/>
      <c r="AR238" s="14"/>
      <c r="AS238" t="s" s="15">
        <v>790</v>
      </c>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6"/>
      <c r="BP238" s="8"/>
    </row>
    <row r="239" ht="9" customHeight="1" hidden="1">
      <c r="A239" t="s" s="9">
        <v>791</v>
      </c>
      <c r="B239" s="11"/>
      <c r="C239" t="str" s="11" cm="1">
        <f t="array" ref="C239">_xlfn.IFERROR((VLOOKUP(A239,#REF!,2,FALSE)),"")</f>
      </c>
      <c r="D239" t="s" s="10">
        <v>70</v>
      </c>
      <c r="E239" t="s" s="10">
        <v>781</v>
      </c>
      <c r="F239" s="11"/>
      <c r="G239" t="s" s="10">
        <v>792</v>
      </c>
      <c r="H239" t="s" s="10">
        <v>484</v>
      </c>
      <c r="I239" t="s" s="10">
        <v>111</v>
      </c>
      <c r="J239" t="s" s="10">
        <v>452</v>
      </c>
      <c r="K239" t="s" s="10">
        <v>75</v>
      </c>
      <c r="L239" t="s" s="10">
        <v>76</v>
      </c>
      <c r="M239" t="s" s="10">
        <v>77</v>
      </c>
      <c r="N239" t="s" s="10">
        <v>792</v>
      </c>
      <c r="O239" s="11"/>
      <c r="P239" s="11"/>
      <c r="Q239" t="s" s="10">
        <v>78</v>
      </c>
      <c r="R239" t="s" s="10">
        <v>83</v>
      </c>
      <c r="S239" s="11"/>
      <c r="T239" t="s" s="10">
        <v>69</v>
      </c>
      <c r="U239" s="11"/>
      <c r="V239" t="s" s="10">
        <v>78</v>
      </c>
      <c r="W239" s="11"/>
      <c r="X239" t="s" s="10">
        <v>69</v>
      </c>
      <c r="Y239" s="11"/>
      <c r="Z239" t="s" s="10">
        <v>76</v>
      </c>
      <c r="AA239" s="11"/>
      <c r="AB239" t="s" s="10">
        <v>76</v>
      </c>
      <c r="AC239" s="11"/>
      <c r="AD239" s="11"/>
      <c r="AE239" t="s" s="10">
        <v>784</v>
      </c>
      <c r="AF239" s="11"/>
      <c r="AG239" s="11"/>
      <c r="AH239" s="11"/>
      <c r="AI239" t="s" s="10">
        <v>76</v>
      </c>
      <c r="AJ239" t="s" s="10">
        <v>76</v>
      </c>
      <c r="AK239" t="s" s="10">
        <v>79</v>
      </c>
      <c r="AL239" t="s" s="10">
        <v>115</v>
      </c>
      <c r="AM239" s="11"/>
      <c r="AN239" t="s" s="10">
        <v>785</v>
      </c>
      <c r="AO239" s="11"/>
      <c r="AP239" s="11"/>
      <c r="AQ239" s="11"/>
      <c r="AR239" s="11"/>
      <c r="AS239" t="s" s="10">
        <v>793</v>
      </c>
      <c r="AT239" s="11"/>
      <c r="AU239" s="11"/>
      <c r="AV239" s="11"/>
      <c r="AW239" s="11"/>
      <c r="AX239" s="11"/>
      <c r="AY239" s="11"/>
      <c r="AZ239" s="11"/>
      <c r="BA239" s="11"/>
      <c r="BB239" s="11"/>
      <c r="BC239" s="11"/>
      <c r="BD239" s="11"/>
      <c r="BE239" s="11"/>
      <c r="BF239" s="11"/>
      <c r="BG239" s="11"/>
      <c r="BH239" s="11"/>
      <c r="BI239" s="11"/>
      <c r="BJ239" s="11"/>
      <c r="BK239" s="11"/>
      <c r="BL239" s="11"/>
      <c r="BM239" s="11"/>
      <c r="BN239" s="11"/>
      <c r="BO239" s="12"/>
      <c r="BP239" s="8"/>
    </row>
    <row r="240" ht="9" customHeight="1" hidden="1">
      <c r="A240" t="s" s="13">
        <v>794</v>
      </c>
      <c r="B240" s="14"/>
      <c r="C240" t="str" s="14" cm="1">
        <f t="array" ref="C240">_xlfn.IFERROR((VLOOKUP(A240,#REF!,2,FALSE)),"")</f>
      </c>
      <c r="D240" t="s" s="15">
        <v>70</v>
      </c>
      <c r="E240" t="s" s="15">
        <v>781</v>
      </c>
      <c r="F240" s="14"/>
      <c r="G240" t="s" s="15">
        <v>792</v>
      </c>
      <c r="H240" t="s" s="15">
        <v>783</v>
      </c>
      <c r="I240" t="s" s="15">
        <v>111</v>
      </c>
      <c r="J240" t="s" s="15">
        <v>452</v>
      </c>
      <c r="K240" t="s" s="15">
        <v>75</v>
      </c>
      <c r="L240" t="s" s="15">
        <v>76</v>
      </c>
      <c r="M240" t="s" s="15">
        <v>77</v>
      </c>
      <c r="N240" t="s" s="15">
        <v>792</v>
      </c>
      <c r="O240" s="14"/>
      <c r="P240" s="14"/>
      <c r="Q240" t="s" s="15">
        <v>78</v>
      </c>
      <c r="R240" t="s" s="15">
        <v>83</v>
      </c>
      <c r="S240" s="14"/>
      <c r="T240" t="s" s="15">
        <v>69</v>
      </c>
      <c r="U240" s="14"/>
      <c r="V240" t="s" s="15">
        <v>78</v>
      </c>
      <c r="W240" s="14"/>
      <c r="X240" t="s" s="15">
        <v>69</v>
      </c>
      <c r="Y240" s="14"/>
      <c r="Z240" t="s" s="15">
        <v>76</v>
      </c>
      <c r="AA240" s="14"/>
      <c r="AB240" t="s" s="15">
        <v>76</v>
      </c>
      <c r="AC240" s="14"/>
      <c r="AD240" s="14"/>
      <c r="AE240" t="s" s="15">
        <v>784</v>
      </c>
      <c r="AF240" s="14"/>
      <c r="AG240" s="14"/>
      <c r="AH240" s="14"/>
      <c r="AI240" t="s" s="15">
        <v>76</v>
      </c>
      <c r="AJ240" t="s" s="15">
        <v>76</v>
      </c>
      <c r="AK240" t="s" s="15">
        <v>79</v>
      </c>
      <c r="AL240" t="s" s="15">
        <v>115</v>
      </c>
      <c r="AM240" s="14"/>
      <c r="AN240" t="s" s="15">
        <v>785</v>
      </c>
      <c r="AO240" s="14"/>
      <c r="AP240" s="14"/>
      <c r="AQ240" s="14"/>
      <c r="AR240" s="14"/>
      <c r="AS240" t="s" s="15">
        <v>795</v>
      </c>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6"/>
      <c r="BP240" s="8"/>
    </row>
    <row r="241" ht="15" customHeight="1" hidden="1">
      <c r="A241" t="s" s="9">
        <v>796</v>
      </c>
      <c r="B241" s="11"/>
      <c r="C241" t="str" s="11" cm="1">
        <f t="array" ref="C241">_xlfn.IFERROR((VLOOKUP(A241,#REF!,2,FALSE)),"")</f>
      </c>
      <c r="D241" s="11"/>
      <c r="E241" s="11"/>
      <c r="F241" s="11"/>
      <c r="G241" t="s" s="10">
        <v>797</v>
      </c>
      <c r="H241" t="s" s="10">
        <v>797</v>
      </c>
      <c r="I241" t="s" s="10">
        <v>111</v>
      </c>
      <c r="J241" t="s" s="10">
        <v>122</v>
      </c>
      <c r="K241" t="s" s="10">
        <v>113</v>
      </c>
      <c r="L241" t="s" s="10">
        <v>76</v>
      </c>
      <c r="M241" t="s" s="10">
        <v>77</v>
      </c>
      <c r="N241" t="s" s="10">
        <v>797</v>
      </c>
      <c r="O241" s="11"/>
      <c r="P241" s="11"/>
      <c r="Q241" t="s" s="10">
        <v>69</v>
      </c>
      <c r="R241" t="s" s="10">
        <v>83</v>
      </c>
      <c r="S241" s="11"/>
      <c r="T241" s="11"/>
      <c r="U241" s="11"/>
      <c r="V241" t="s" s="10">
        <v>69</v>
      </c>
      <c r="W241" s="11"/>
      <c r="X241" t="s" s="10">
        <v>69</v>
      </c>
      <c r="Y241" s="11"/>
      <c r="Z241" t="s" s="10">
        <v>76</v>
      </c>
      <c r="AA241" s="11"/>
      <c r="AB241" t="s" s="10">
        <v>76</v>
      </c>
      <c r="AC241" t="s" s="10">
        <v>796</v>
      </c>
      <c r="AD241" s="11"/>
      <c r="AE241" s="11"/>
      <c r="AF241" t="s" s="10">
        <v>76</v>
      </c>
      <c r="AG241" t="s" s="10">
        <v>299</v>
      </c>
      <c r="AH241" t="s" s="10">
        <v>114</v>
      </c>
      <c r="AI241" t="s" s="10">
        <v>332</v>
      </c>
      <c r="AJ241" t="s" s="10">
        <v>798</v>
      </c>
      <c r="AK241" t="s" s="10">
        <v>83</v>
      </c>
      <c r="AL241" t="s" s="10">
        <v>115</v>
      </c>
      <c r="AM241" s="11"/>
      <c r="AN241" t="s" s="10">
        <v>128</v>
      </c>
      <c r="AO241" s="11"/>
      <c r="AP241" s="11"/>
      <c r="AQ241" s="11"/>
      <c r="AR241" s="11"/>
      <c r="AS241" t="s" s="10">
        <v>799</v>
      </c>
      <c r="AT241" s="11"/>
      <c r="AU241" s="11"/>
      <c r="AV241" s="11"/>
      <c r="AW241" s="11"/>
      <c r="AX241" s="11"/>
      <c r="AY241" s="11"/>
      <c r="AZ241" s="11"/>
      <c r="BA241" s="11"/>
      <c r="BB241" s="11"/>
      <c r="BC241" s="11"/>
      <c r="BD241" t="s" s="10">
        <v>118</v>
      </c>
      <c r="BE241" s="11"/>
      <c r="BF241" s="11"/>
      <c r="BG241" s="11"/>
      <c r="BH241" s="11"/>
      <c r="BI241" s="11"/>
      <c r="BJ241" s="11"/>
      <c r="BK241" s="11"/>
      <c r="BL241" s="11"/>
      <c r="BM241" s="11"/>
      <c r="BN241" s="11"/>
      <c r="BO241" s="12"/>
      <c r="BP241" s="8"/>
    </row>
    <row r="242" ht="15" customHeight="1" hidden="1">
      <c r="A242" t="s" s="13">
        <v>800</v>
      </c>
      <c r="B242" s="14"/>
      <c r="C242" t="str" s="14" cm="1">
        <f t="array" ref="C242">_xlfn.IFERROR((VLOOKUP(A242,#REF!,2,FALSE)),"")</f>
      </c>
      <c r="D242" s="14"/>
      <c r="E242" s="14"/>
      <c r="F242" s="14"/>
      <c r="G242" t="s" s="15">
        <v>801</v>
      </c>
      <c r="H242" t="s" s="15">
        <v>802</v>
      </c>
      <c r="I242" t="s" s="15">
        <v>111</v>
      </c>
      <c r="J242" t="s" s="15">
        <v>322</v>
      </c>
      <c r="K242" t="s" s="15">
        <v>140</v>
      </c>
      <c r="L242" t="s" s="15">
        <v>493</v>
      </c>
      <c r="M242" t="s" s="15">
        <v>77</v>
      </c>
      <c r="N242" t="s" s="15">
        <v>803</v>
      </c>
      <c r="O242" s="14"/>
      <c r="P242" s="14"/>
      <c r="Q242" t="s" s="15">
        <v>69</v>
      </c>
      <c r="R242" t="s" s="15">
        <v>83</v>
      </c>
      <c r="S242" s="14"/>
      <c r="T242" s="14"/>
      <c r="U242" s="14"/>
      <c r="V242" t="s" s="15">
        <v>69</v>
      </c>
      <c r="W242" s="14"/>
      <c r="X242" t="s" s="15">
        <v>69</v>
      </c>
      <c r="Y242" s="14"/>
      <c r="Z242" t="s" s="15">
        <v>495</v>
      </c>
      <c r="AA242" s="14"/>
      <c r="AB242" t="s" s="15">
        <v>495</v>
      </c>
      <c r="AC242" t="s" s="15">
        <v>800</v>
      </c>
      <c r="AD242" s="14"/>
      <c r="AE242" s="14"/>
      <c r="AF242" t="s" s="15">
        <v>492</v>
      </c>
      <c r="AG242" s="14"/>
      <c r="AH242" t="s" s="15">
        <v>114</v>
      </c>
      <c r="AI242" t="s" s="15">
        <v>604</v>
      </c>
      <c r="AJ242" s="14"/>
      <c r="AK242" t="s" s="15">
        <v>83</v>
      </c>
      <c r="AL242" t="s" s="15">
        <v>115</v>
      </c>
      <c r="AM242" s="14"/>
      <c r="AN242" t="s" s="15">
        <v>128</v>
      </c>
      <c r="AO242" s="14"/>
      <c r="AP242" s="14"/>
      <c r="AQ242" s="14"/>
      <c r="AR242" s="14"/>
      <c r="AS242" t="s" s="15">
        <v>804</v>
      </c>
      <c r="AT242" s="14"/>
      <c r="AU242" s="14"/>
      <c r="AV242" s="14"/>
      <c r="AW242" s="14"/>
      <c r="AX242" s="14"/>
      <c r="AY242" s="14"/>
      <c r="AZ242" s="14"/>
      <c r="BA242" s="14"/>
      <c r="BB242" s="14"/>
      <c r="BC242" s="14"/>
      <c r="BD242" t="s" s="15">
        <v>118</v>
      </c>
      <c r="BE242" s="14"/>
      <c r="BF242" s="14"/>
      <c r="BG242" s="14"/>
      <c r="BH242" s="14"/>
      <c r="BI242" s="14"/>
      <c r="BJ242" s="14"/>
      <c r="BK242" s="14"/>
      <c r="BL242" s="14"/>
      <c r="BM242" s="14"/>
      <c r="BN242" s="14"/>
      <c r="BO242" s="16"/>
      <c r="BP242" s="8"/>
    </row>
    <row r="243" ht="15" customHeight="1" hidden="1">
      <c r="A243" t="s" s="9">
        <v>805</v>
      </c>
      <c r="B243" s="11"/>
      <c r="C243" t="str" s="11" cm="1">
        <f t="array" ref="C243">_xlfn.IFERROR((VLOOKUP(A243,#REF!,2,FALSE)),"")</f>
      </c>
      <c r="D243" s="11"/>
      <c r="E243" t="s" s="10">
        <v>806</v>
      </c>
      <c r="F243" s="11"/>
      <c r="G243" t="s" s="10">
        <v>807</v>
      </c>
      <c r="H243" t="s" s="10">
        <v>808</v>
      </c>
      <c r="I243" t="s" s="10">
        <v>111</v>
      </c>
      <c r="J243" t="s" s="10">
        <v>112</v>
      </c>
      <c r="K243" t="s" s="10">
        <v>140</v>
      </c>
      <c r="L243" t="s" s="10">
        <v>76</v>
      </c>
      <c r="M243" t="s" s="10">
        <v>77</v>
      </c>
      <c r="N243" t="s" s="10">
        <v>807</v>
      </c>
      <c r="O243" s="11"/>
      <c r="P243" s="11"/>
      <c r="Q243" t="s" s="10">
        <v>69</v>
      </c>
      <c r="R243" t="s" s="10">
        <v>83</v>
      </c>
      <c r="S243" s="11"/>
      <c r="T243" s="11"/>
      <c r="U243" s="11"/>
      <c r="V243" t="s" s="10">
        <v>69</v>
      </c>
      <c r="W243" s="11"/>
      <c r="X243" t="s" s="10">
        <v>69</v>
      </c>
      <c r="Y243" s="11"/>
      <c r="Z243" t="s" s="10">
        <v>76</v>
      </c>
      <c r="AA243" s="11"/>
      <c r="AB243" t="s" s="10">
        <v>76</v>
      </c>
      <c r="AC243" t="s" s="10">
        <v>805</v>
      </c>
      <c r="AD243" s="11"/>
      <c r="AE243" s="11"/>
      <c r="AF243" s="11"/>
      <c r="AG243" s="11"/>
      <c r="AH243" t="s" s="10">
        <v>106</v>
      </c>
      <c r="AI243" t="s" s="10">
        <v>604</v>
      </c>
      <c r="AJ243" s="11"/>
      <c r="AK243" t="s" s="10">
        <v>292</v>
      </c>
      <c r="AL243" t="s" s="10">
        <v>115</v>
      </c>
      <c r="AM243" s="11"/>
      <c r="AN243" t="s" s="10">
        <v>128</v>
      </c>
      <c r="AO243" s="11"/>
      <c r="AP243" s="11"/>
      <c r="AQ243" s="11"/>
      <c r="AR243" s="11"/>
      <c r="AS243" t="s" s="10">
        <v>809</v>
      </c>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2"/>
      <c r="BP243" s="8"/>
    </row>
    <row r="244" ht="9" customHeight="1" hidden="1">
      <c r="A244" t="s" s="13">
        <v>810</v>
      </c>
      <c r="B244" s="14"/>
      <c r="C244" t="str" s="14" cm="1">
        <f t="array" ref="C244">_xlfn.IFERROR((VLOOKUP(A244,#REF!,2,FALSE)),"")</f>
      </c>
      <c r="D244" t="s" s="15">
        <v>70</v>
      </c>
      <c r="E244" t="s" s="15">
        <v>392</v>
      </c>
      <c r="F244" s="14"/>
      <c r="G244" t="s" s="15">
        <v>464</v>
      </c>
      <c r="H244" t="s" s="15">
        <v>464</v>
      </c>
      <c r="I244" t="s" s="15">
        <v>111</v>
      </c>
      <c r="J244" t="s" s="15">
        <v>452</v>
      </c>
      <c r="K244" t="s" s="15">
        <v>75</v>
      </c>
      <c r="L244" t="s" s="15">
        <v>76</v>
      </c>
      <c r="M244" t="s" s="15">
        <v>77</v>
      </c>
      <c r="N244" t="s" s="15">
        <v>464</v>
      </c>
      <c r="O244" s="14"/>
      <c r="P244" s="14"/>
      <c r="Q244" t="s" s="15">
        <v>78</v>
      </c>
      <c r="R244" t="s" s="15">
        <v>83</v>
      </c>
      <c r="S244" s="14"/>
      <c r="T244" s="14"/>
      <c r="U244" s="14"/>
      <c r="V244" t="s" s="15">
        <v>78</v>
      </c>
      <c r="W244" s="14"/>
      <c r="X244" t="s" s="15">
        <v>69</v>
      </c>
      <c r="Y244" s="14"/>
      <c r="Z244" t="s" s="15">
        <v>76</v>
      </c>
      <c r="AA244" s="14"/>
      <c r="AB244" t="s" s="15">
        <v>76</v>
      </c>
      <c r="AC244" s="14"/>
      <c r="AD244" s="14"/>
      <c r="AE244" s="14"/>
      <c r="AF244" s="14"/>
      <c r="AG244" s="14"/>
      <c r="AH244" s="14"/>
      <c r="AI244" t="s" s="15">
        <v>76</v>
      </c>
      <c r="AJ244" t="s" s="15">
        <v>76</v>
      </c>
      <c r="AK244" t="s" s="15">
        <v>79</v>
      </c>
      <c r="AL244" t="s" s="15">
        <v>115</v>
      </c>
      <c r="AM244" s="14"/>
      <c r="AN244" s="14"/>
      <c r="AO244" s="14"/>
      <c r="AP244" s="14"/>
      <c r="AQ244" s="14"/>
      <c r="AR244" s="14"/>
      <c r="AS244" t="s" s="15">
        <v>811</v>
      </c>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6"/>
      <c r="BP244" s="8"/>
    </row>
    <row r="245" ht="9" customHeight="1" hidden="1">
      <c r="A245" t="s" s="9">
        <v>812</v>
      </c>
      <c r="B245" s="11"/>
      <c r="C245" t="str" s="11" cm="1">
        <f t="array" ref="C245">_xlfn.IFERROR((VLOOKUP(A245,#REF!,2,FALSE)),"")</f>
      </c>
      <c r="D245" t="s" s="10">
        <v>70</v>
      </c>
      <c r="E245" s="11"/>
      <c r="F245" s="11"/>
      <c r="G245" t="s" s="10">
        <v>813</v>
      </c>
      <c r="H245" t="s" s="10">
        <v>813</v>
      </c>
      <c r="I245" t="s" s="10">
        <v>111</v>
      </c>
      <c r="J245" t="s" s="10">
        <v>122</v>
      </c>
      <c r="K245" t="s" s="10">
        <v>75</v>
      </c>
      <c r="L245" t="s" s="10">
        <v>76</v>
      </c>
      <c r="M245" t="s" s="10">
        <v>77</v>
      </c>
      <c r="N245" t="s" s="10">
        <v>813</v>
      </c>
      <c r="O245" s="11"/>
      <c r="P245" s="11"/>
      <c r="Q245" t="s" s="10">
        <v>78</v>
      </c>
      <c r="R245" t="s" s="10">
        <v>83</v>
      </c>
      <c r="S245" s="11"/>
      <c r="T245" s="11"/>
      <c r="U245" s="11"/>
      <c r="V245" t="s" s="10">
        <v>78</v>
      </c>
      <c r="W245" s="11"/>
      <c r="X245" t="s" s="10">
        <v>69</v>
      </c>
      <c r="Y245" s="11"/>
      <c r="Z245" t="s" s="10">
        <v>76</v>
      </c>
      <c r="AA245" s="11"/>
      <c r="AB245" t="s" s="10">
        <v>76</v>
      </c>
      <c r="AC245" s="11"/>
      <c r="AD245" s="11"/>
      <c r="AE245" s="11"/>
      <c r="AF245" s="11"/>
      <c r="AG245" s="11"/>
      <c r="AH245" s="11"/>
      <c r="AI245" t="s" s="10">
        <v>76</v>
      </c>
      <c r="AJ245" t="s" s="10">
        <v>76</v>
      </c>
      <c r="AK245" t="s" s="10">
        <v>79</v>
      </c>
      <c r="AL245" t="s" s="10">
        <v>115</v>
      </c>
      <c r="AM245" s="11"/>
      <c r="AN245" s="11"/>
      <c r="AO245" s="11"/>
      <c r="AP245" s="11"/>
      <c r="AQ245" s="11"/>
      <c r="AR245" s="11"/>
      <c r="AS245" t="s" s="10">
        <v>814</v>
      </c>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2"/>
      <c r="BP245" s="8"/>
    </row>
    <row r="246" ht="9" customHeight="1" hidden="1">
      <c r="A246" t="s" s="13">
        <v>815</v>
      </c>
      <c r="B246" s="14"/>
      <c r="C246" t="str" s="14" cm="1">
        <f t="array" ref="C246">_xlfn.IFERROR((VLOOKUP(A246,#REF!,2,FALSE)),"")</f>
      </c>
      <c r="D246" t="s" s="15">
        <v>70</v>
      </c>
      <c r="E246" s="14"/>
      <c r="F246" s="14"/>
      <c r="G246" t="s" s="15">
        <v>813</v>
      </c>
      <c r="H246" t="s" s="15">
        <v>813</v>
      </c>
      <c r="I246" t="s" s="15">
        <v>111</v>
      </c>
      <c r="J246" t="s" s="15">
        <v>122</v>
      </c>
      <c r="K246" t="s" s="15">
        <v>75</v>
      </c>
      <c r="L246" t="s" s="15">
        <v>76</v>
      </c>
      <c r="M246" t="s" s="15">
        <v>77</v>
      </c>
      <c r="N246" t="s" s="15">
        <v>813</v>
      </c>
      <c r="O246" s="14"/>
      <c r="P246" s="14"/>
      <c r="Q246" t="s" s="15">
        <v>78</v>
      </c>
      <c r="R246" t="s" s="15">
        <v>83</v>
      </c>
      <c r="S246" s="14"/>
      <c r="T246" s="14"/>
      <c r="U246" s="14"/>
      <c r="V246" t="s" s="15">
        <v>78</v>
      </c>
      <c r="W246" s="14"/>
      <c r="X246" t="s" s="15">
        <v>69</v>
      </c>
      <c r="Y246" s="14"/>
      <c r="Z246" t="s" s="15">
        <v>76</v>
      </c>
      <c r="AA246" s="14"/>
      <c r="AB246" t="s" s="15">
        <v>76</v>
      </c>
      <c r="AC246" s="14"/>
      <c r="AD246" s="14"/>
      <c r="AE246" s="14"/>
      <c r="AF246" s="14"/>
      <c r="AG246" s="14"/>
      <c r="AH246" s="14"/>
      <c r="AI246" t="s" s="15">
        <v>76</v>
      </c>
      <c r="AJ246" t="s" s="15">
        <v>76</v>
      </c>
      <c r="AK246" t="s" s="15">
        <v>79</v>
      </c>
      <c r="AL246" t="s" s="15">
        <v>115</v>
      </c>
      <c r="AM246" s="14"/>
      <c r="AN246" s="14"/>
      <c r="AO246" s="14"/>
      <c r="AP246" s="14"/>
      <c r="AQ246" s="14"/>
      <c r="AR246" s="14"/>
      <c r="AS246" t="s" s="15">
        <v>816</v>
      </c>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6"/>
      <c r="BP246" s="8"/>
    </row>
    <row r="247" ht="9" customHeight="1" hidden="1">
      <c r="A247" t="s" s="9">
        <v>817</v>
      </c>
      <c r="B247" s="11"/>
      <c r="C247" t="str" s="11" cm="1">
        <f t="array" ref="C247">_xlfn.IFERROR((VLOOKUP(A247,#REF!,2,FALSE)),"")</f>
      </c>
      <c r="D247" t="s" s="10">
        <v>70</v>
      </c>
      <c r="E247" s="11"/>
      <c r="F247" s="11"/>
      <c r="G247" t="s" s="10">
        <v>813</v>
      </c>
      <c r="H247" t="s" s="10">
        <v>813</v>
      </c>
      <c r="I247" t="s" s="10">
        <v>111</v>
      </c>
      <c r="J247" t="s" s="10">
        <v>122</v>
      </c>
      <c r="K247" t="s" s="10">
        <v>75</v>
      </c>
      <c r="L247" t="s" s="10">
        <v>76</v>
      </c>
      <c r="M247" t="s" s="10">
        <v>77</v>
      </c>
      <c r="N247" t="s" s="10">
        <v>813</v>
      </c>
      <c r="O247" s="11"/>
      <c r="P247" s="11"/>
      <c r="Q247" t="s" s="10">
        <v>78</v>
      </c>
      <c r="R247" t="s" s="10">
        <v>83</v>
      </c>
      <c r="S247" s="11"/>
      <c r="T247" s="11"/>
      <c r="U247" s="11"/>
      <c r="V247" t="s" s="10">
        <v>78</v>
      </c>
      <c r="W247" s="11"/>
      <c r="X247" t="s" s="10">
        <v>69</v>
      </c>
      <c r="Y247" s="11"/>
      <c r="Z247" t="s" s="10">
        <v>76</v>
      </c>
      <c r="AA247" s="11"/>
      <c r="AB247" t="s" s="10">
        <v>76</v>
      </c>
      <c r="AC247" s="11"/>
      <c r="AD247" s="11"/>
      <c r="AE247" s="11"/>
      <c r="AF247" s="11"/>
      <c r="AG247" s="11"/>
      <c r="AH247" s="11"/>
      <c r="AI247" t="s" s="10">
        <v>76</v>
      </c>
      <c r="AJ247" t="s" s="10">
        <v>76</v>
      </c>
      <c r="AK247" t="s" s="10">
        <v>79</v>
      </c>
      <c r="AL247" t="s" s="10">
        <v>115</v>
      </c>
      <c r="AM247" s="11"/>
      <c r="AN247" s="11"/>
      <c r="AO247" s="11"/>
      <c r="AP247" s="11"/>
      <c r="AQ247" s="11"/>
      <c r="AR247" s="11"/>
      <c r="AS247" t="s" s="10">
        <v>818</v>
      </c>
      <c r="AT247" s="11"/>
      <c r="AU247" s="11"/>
      <c r="AV247" s="11"/>
      <c r="AW247" s="11"/>
      <c r="AX247" s="11"/>
      <c r="AY247" s="11"/>
      <c r="AZ247" s="11"/>
      <c r="BA247" s="11"/>
      <c r="BB247" s="11"/>
      <c r="BC247" s="11"/>
      <c r="BD247" s="11"/>
      <c r="BE247" s="11"/>
      <c r="BF247" s="11"/>
      <c r="BG247" s="11"/>
      <c r="BH247" s="11"/>
      <c r="BI247" s="11"/>
      <c r="BJ247" s="11"/>
      <c r="BK247" s="11"/>
      <c r="BL247" s="11"/>
      <c r="BM247" s="11"/>
      <c r="BN247" s="11"/>
      <c r="BO247" s="12"/>
      <c r="BP247" s="8"/>
    </row>
    <row r="248" ht="9" customHeight="1" hidden="1">
      <c r="A248" t="s" s="13">
        <v>819</v>
      </c>
      <c r="B248" s="14"/>
      <c r="C248" t="str" s="14" cm="1">
        <f t="array" ref="C248">_xlfn.IFERROR((VLOOKUP(A248,#REF!,2,FALSE)),"")</f>
      </c>
      <c r="D248" t="s" s="15">
        <v>70</v>
      </c>
      <c r="E248" s="14"/>
      <c r="F248" s="14"/>
      <c r="G248" t="s" s="15">
        <v>813</v>
      </c>
      <c r="H248" t="s" s="15">
        <v>813</v>
      </c>
      <c r="I248" t="s" s="15">
        <v>111</v>
      </c>
      <c r="J248" t="s" s="15">
        <v>122</v>
      </c>
      <c r="K248" t="s" s="15">
        <v>75</v>
      </c>
      <c r="L248" t="s" s="15">
        <v>76</v>
      </c>
      <c r="M248" t="s" s="15">
        <v>77</v>
      </c>
      <c r="N248" t="s" s="15">
        <v>813</v>
      </c>
      <c r="O248" s="14"/>
      <c r="P248" s="14"/>
      <c r="Q248" t="s" s="15">
        <v>78</v>
      </c>
      <c r="R248" t="s" s="15">
        <v>83</v>
      </c>
      <c r="S248" s="14"/>
      <c r="T248" s="14"/>
      <c r="U248" s="14"/>
      <c r="V248" t="s" s="15">
        <v>78</v>
      </c>
      <c r="W248" s="14"/>
      <c r="X248" t="s" s="15">
        <v>69</v>
      </c>
      <c r="Y248" s="14"/>
      <c r="Z248" t="s" s="15">
        <v>76</v>
      </c>
      <c r="AA248" s="14"/>
      <c r="AB248" t="s" s="15">
        <v>76</v>
      </c>
      <c r="AC248" s="14"/>
      <c r="AD248" s="14"/>
      <c r="AE248" s="14"/>
      <c r="AF248" s="14"/>
      <c r="AG248" s="14"/>
      <c r="AH248" s="14"/>
      <c r="AI248" t="s" s="15">
        <v>76</v>
      </c>
      <c r="AJ248" t="s" s="15">
        <v>76</v>
      </c>
      <c r="AK248" t="s" s="15">
        <v>79</v>
      </c>
      <c r="AL248" t="s" s="15">
        <v>115</v>
      </c>
      <c r="AM248" s="14"/>
      <c r="AN248" s="14"/>
      <c r="AO248" s="14"/>
      <c r="AP248" s="14"/>
      <c r="AQ248" s="14"/>
      <c r="AR248" s="14"/>
      <c r="AS248" t="s" s="15">
        <v>820</v>
      </c>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6"/>
      <c r="BP248" s="8"/>
    </row>
    <row r="249" ht="15" customHeight="1" hidden="1">
      <c r="A249" t="s" s="9">
        <v>821</v>
      </c>
      <c r="B249" s="11"/>
      <c r="C249" t="str" s="11" cm="1">
        <f t="array" ref="C249">_xlfn.IFERROR((VLOOKUP(A249,#REF!,2,FALSE)),"")</f>
      </c>
      <c r="D249" s="11"/>
      <c r="E249" t="s" s="10">
        <v>822</v>
      </c>
      <c r="F249" s="11"/>
      <c r="G249" t="s" s="10">
        <v>823</v>
      </c>
      <c r="H249" t="s" s="10">
        <v>824</v>
      </c>
      <c r="I249" t="s" s="10">
        <v>111</v>
      </c>
      <c r="J249" t="s" s="10">
        <v>122</v>
      </c>
      <c r="K249" t="s" s="10">
        <v>825</v>
      </c>
      <c r="L249" t="s" s="10">
        <v>826</v>
      </c>
      <c r="M249" t="s" s="10">
        <v>77</v>
      </c>
      <c r="N249" t="s" s="10">
        <v>823</v>
      </c>
      <c r="O249" s="11"/>
      <c r="P249" s="11"/>
      <c r="Q249" t="s" s="10">
        <v>69</v>
      </c>
      <c r="R249" t="s" s="10">
        <v>83</v>
      </c>
      <c r="S249" s="11"/>
      <c r="T249" s="11"/>
      <c r="U249" s="11"/>
      <c r="V249" t="s" s="10">
        <v>69</v>
      </c>
      <c r="W249" s="11"/>
      <c r="X249" t="s" s="10">
        <v>69</v>
      </c>
      <c r="Y249" t="s" s="10">
        <v>69</v>
      </c>
      <c r="Z249" t="s" s="10">
        <v>205</v>
      </c>
      <c r="AA249" s="11"/>
      <c r="AB249" t="s" s="10">
        <v>520</v>
      </c>
      <c r="AC249" t="s" s="10">
        <v>821</v>
      </c>
      <c r="AD249" s="11"/>
      <c r="AE249" s="11"/>
      <c r="AF249" t="s" s="10">
        <v>83</v>
      </c>
      <c r="AG249" t="s" s="10">
        <v>299</v>
      </c>
      <c r="AH249" t="s" s="10">
        <v>114</v>
      </c>
      <c r="AI249" t="s" s="10">
        <v>332</v>
      </c>
      <c r="AJ249" t="s" s="10">
        <v>827</v>
      </c>
      <c r="AK249" t="s" s="10">
        <v>83</v>
      </c>
      <c r="AL249" t="s" s="10">
        <v>115</v>
      </c>
      <c r="AM249" s="11"/>
      <c r="AN249" t="s" s="10">
        <v>128</v>
      </c>
      <c r="AO249" s="11"/>
      <c r="AP249" s="11"/>
      <c r="AQ249" s="11"/>
      <c r="AR249" s="11"/>
      <c r="AS249" t="s" s="10">
        <v>828</v>
      </c>
      <c r="AT249" t="s" s="10">
        <v>301</v>
      </c>
      <c r="AU249" s="11"/>
      <c r="AV249" s="11"/>
      <c r="AW249" s="11"/>
      <c r="AX249" s="11"/>
      <c r="AY249" s="11"/>
      <c r="AZ249" s="11"/>
      <c r="BA249" s="11"/>
      <c r="BB249" s="11"/>
      <c r="BC249" s="11"/>
      <c r="BD249" t="s" s="10">
        <v>118</v>
      </c>
      <c r="BE249" s="11"/>
      <c r="BF249" s="11"/>
      <c r="BG249" s="11"/>
      <c r="BH249" s="11"/>
      <c r="BI249" s="11"/>
      <c r="BJ249" s="11"/>
      <c r="BK249" s="11"/>
      <c r="BL249" s="11"/>
      <c r="BM249" s="11"/>
      <c r="BN249" s="11"/>
      <c r="BO249" s="12"/>
      <c r="BP249" s="8"/>
    </row>
    <row r="250" ht="15" customHeight="1" hidden="1">
      <c r="A250" t="s" s="13">
        <v>829</v>
      </c>
      <c r="B250" s="14"/>
      <c r="C250" t="str" s="14" cm="1">
        <f t="array" ref="C250">_xlfn.IFERROR((VLOOKUP(A250,#REF!,2,FALSE)),"")</f>
      </c>
      <c r="D250" s="14"/>
      <c r="E250" t="s" s="15">
        <v>822</v>
      </c>
      <c r="F250" s="14"/>
      <c r="G250" t="s" s="15">
        <v>830</v>
      </c>
      <c r="H250" t="s" s="15">
        <v>824</v>
      </c>
      <c r="I250" t="s" s="15">
        <v>111</v>
      </c>
      <c r="J250" t="s" s="15">
        <v>122</v>
      </c>
      <c r="K250" t="s" s="15">
        <v>825</v>
      </c>
      <c r="L250" t="s" s="15">
        <v>826</v>
      </c>
      <c r="M250" t="s" s="15">
        <v>77</v>
      </c>
      <c r="N250" t="s" s="15">
        <v>830</v>
      </c>
      <c r="O250" s="14"/>
      <c r="P250" s="14"/>
      <c r="Q250" t="s" s="15">
        <v>69</v>
      </c>
      <c r="R250" t="s" s="15">
        <v>83</v>
      </c>
      <c r="S250" s="14"/>
      <c r="T250" s="14"/>
      <c r="U250" s="14"/>
      <c r="V250" t="s" s="15">
        <v>69</v>
      </c>
      <c r="W250" s="14"/>
      <c r="X250" t="s" s="15">
        <v>69</v>
      </c>
      <c r="Y250" t="s" s="15">
        <v>69</v>
      </c>
      <c r="Z250" t="s" s="15">
        <v>205</v>
      </c>
      <c r="AA250" s="14"/>
      <c r="AB250" t="s" s="15">
        <v>520</v>
      </c>
      <c r="AC250" t="s" s="15">
        <v>829</v>
      </c>
      <c r="AD250" s="14"/>
      <c r="AE250" s="14"/>
      <c r="AF250" t="s" s="15">
        <v>83</v>
      </c>
      <c r="AG250" t="s" s="15">
        <v>299</v>
      </c>
      <c r="AH250" t="s" s="15">
        <v>114</v>
      </c>
      <c r="AI250" t="s" s="15">
        <v>332</v>
      </c>
      <c r="AJ250" t="s" s="15">
        <v>827</v>
      </c>
      <c r="AK250" t="s" s="15">
        <v>83</v>
      </c>
      <c r="AL250" t="s" s="15">
        <v>115</v>
      </c>
      <c r="AM250" s="14"/>
      <c r="AN250" t="s" s="15">
        <v>128</v>
      </c>
      <c r="AO250" s="14"/>
      <c r="AP250" s="14"/>
      <c r="AQ250" s="14"/>
      <c r="AR250" s="14"/>
      <c r="AS250" t="s" s="15">
        <v>831</v>
      </c>
      <c r="AT250" t="s" s="15">
        <v>301</v>
      </c>
      <c r="AU250" s="14"/>
      <c r="AV250" s="14"/>
      <c r="AW250" s="14"/>
      <c r="AX250" s="14"/>
      <c r="AY250" s="14"/>
      <c r="AZ250" s="14"/>
      <c r="BA250" s="14"/>
      <c r="BB250" s="14"/>
      <c r="BC250" s="14"/>
      <c r="BD250" t="s" s="15">
        <v>118</v>
      </c>
      <c r="BE250" s="14"/>
      <c r="BF250" s="14"/>
      <c r="BG250" s="14"/>
      <c r="BH250" s="14"/>
      <c r="BI250" s="14"/>
      <c r="BJ250" s="14"/>
      <c r="BK250" s="14"/>
      <c r="BL250" s="14"/>
      <c r="BM250" s="14"/>
      <c r="BN250" s="14"/>
      <c r="BO250" s="16"/>
      <c r="BP250" s="8"/>
    </row>
    <row r="251" ht="9" customHeight="1" hidden="1">
      <c r="A251" t="s" s="9">
        <v>832</v>
      </c>
      <c r="B251" s="11"/>
      <c r="C251" t="str" s="11" cm="1">
        <f t="array" ref="C251">_xlfn.IFERROR((VLOOKUP(A251,#REF!,2,FALSE)),"")</f>
      </c>
      <c r="D251" t="s" s="10">
        <v>70</v>
      </c>
      <c r="E251" s="11"/>
      <c r="F251" s="11"/>
      <c r="G251" t="s" s="10">
        <v>462</v>
      </c>
      <c r="H251" t="s" s="10">
        <v>462</v>
      </c>
      <c r="I251" t="s" s="10">
        <v>73</v>
      </c>
      <c r="J251" t="s" s="10">
        <v>74</v>
      </c>
      <c r="K251" t="s" s="10">
        <v>75</v>
      </c>
      <c r="L251" t="s" s="10">
        <v>76</v>
      </c>
      <c r="M251" t="s" s="10">
        <v>77</v>
      </c>
      <c r="N251" t="s" s="10">
        <v>462</v>
      </c>
      <c r="O251" t="s" s="10">
        <v>71</v>
      </c>
      <c r="P251" s="11"/>
      <c r="Q251" t="s" s="10">
        <v>78</v>
      </c>
      <c r="R251" t="s" s="10">
        <v>71</v>
      </c>
      <c r="S251" s="11"/>
      <c r="T251" s="11"/>
      <c r="U251" s="11"/>
      <c r="V251" t="s" s="10">
        <v>78</v>
      </c>
      <c r="W251" t="s" s="10">
        <v>832</v>
      </c>
      <c r="X251" t="s" s="10">
        <v>69</v>
      </c>
      <c r="Y251" s="11"/>
      <c r="Z251" t="s" s="10">
        <v>76</v>
      </c>
      <c r="AA251" s="11"/>
      <c r="AB251" t="s" s="10">
        <v>76</v>
      </c>
      <c r="AC251" s="11"/>
      <c r="AD251" s="11"/>
      <c r="AE251" s="11"/>
      <c r="AF251" s="11"/>
      <c r="AG251" s="11"/>
      <c r="AH251" s="11"/>
      <c r="AI251" t="s" s="10">
        <v>76</v>
      </c>
      <c r="AJ251" t="s" s="10">
        <v>76</v>
      </c>
      <c r="AK251" t="s" s="10">
        <v>79</v>
      </c>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2"/>
      <c r="BP251" s="8"/>
    </row>
    <row r="252" ht="15" customHeight="1" hidden="1">
      <c r="A252" t="s" s="13">
        <v>833</v>
      </c>
      <c r="B252" s="14"/>
      <c r="C252" t="str" s="14" cm="1">
        <f t="array" ref="C252">_xlfn.IFERROR((VLOOKUP(A252,#REF!,2,FALSE)),"")</f>
      </c>
      <c r="D252" s="14"/>
      <c r="E252" s="14"/>
      <c r="F252" s="14"/>
      <c r="G252" t="s" s="15">
        <v>834</v>
      </c>
      <c r="H252" t="s" s="15">
        <v>492</v>
      </c>
      <c r="I252" t="s" s="15">
        <v>111</v>
      </c>
      <c r="J252" t="s" s="15">
        <v>122</v>
      </c>
      <c r="K252" t="s" s="15">
        <v>140</v>
      </c>
      <c r="L252" t="s" s="15">
        <v>493</v>
      </c>
      <c r="M252" t="s" s="15">
        <v>77</v>
      </c>
      <c r="N252" t="s" s="15">
        <v>835</v>
      </c>
      <c r="O252" s="14"/>
      <c r="P252" s="14"/>
      <c r="Q252" t="s" s="15">
        <v>69</v>
      </c>
      <c r="R252" t="s" s="15">
        <v>83</v>
      </c>
      <c r="S252" s="14"/>
      <c r="T252" s="14"/>
      <c r="U252" s="14"/>
      <c r="V252" t="s" s="15">
        <v>69</v>
      </c>
      <c r="W252" s="14"/>
      <c r="X252" t="s" s="15">
        <v>69</v>
      </c>
      <c r="Y252" s="14"/>
      <c r="Z252" t="s" s="15">
        <v>495</v>
      </c>
      <c r="AA252" s="14"/>
      <c r="AB252" t="s" s="15">
        <v>495</v>
      </c>
      <c r="AC252" t="s" s="15">
        <v>833</v>
      </c>
      <c r="AD252" s="14"/>
      <c r="AE252" s="14"/>
      <c r="AF252" t="s" s="15">
        <v>492</v>
      </c>
      <c r="AG252" t="s" s="15">
        <v>299</v>
      </c>
      <c r="AH252" t="s" s="15">
        <v>114</v>
      </c>
      <c r="AI252" t="s" s="15">
        <v>332</v>
      </c>
      <c r="AJ252" t="s" s="15">
        <v>333</v>
      </c>
      <c r="AK252" t="s" s="15">
        <v>83</v>
      </c>
      <c r="AL252" t="s" s="15">
        <v>115</v>
      </c>
      <c r="AM252" s="14"/>
      <c r="AN252" t="s" s="15">
        <v>128</v>
      </c>
      <c r="AO252" s="14"/>
      <c r="AP252" s="14"/>
      <c r="AQ252" s="14"/>
      <c r="AR252" s="14"/>
      <c r="AS252" t="s" s="15">
        <v>836</v>
      </c>
      <c r="AT252" t="s" s="15">
        <v>301</v>
      </c>
      <c r="AU252" s="14"/>
      <c r="AV252" s="14"/>
      <c r="AW252" s="14"/>
      <c r="AX252" s="14"/>
      <c r="AY252" s="14"/>
      <c r="AZ252" s="14"/>
      <c r="BA252" s="14"/>
      <c r="BB252" s="14"/>
      <c r="BC252" s="14"/>
      <c r="BD252" t="s" s="15">
        <v>118</v>
      </c>
      <c r="BE252" s="14"/>
      <c r="BF252" s="14"/>
      <c r="BG252" s="14"/>
      <c r="BH252" s="14"/>
      <c r="BI252" s="14"/>
      <c r="BJ252" s="14"/>
      <c r="BK252" s="14"/>
      <c r="BL252" s="14"/>
      <c r="BM252" s="14"/>
      <c r="BN252" s="14"/>
      <c r="BO252" s="16"/>
      <c r="BP252" s="8"/>
    </row>
    <row r="253" ht="9" customHeight="1" hidden="1">
      <c r="A253" t="s" s="9">
        <v>837</v>
      </c>
      <c r="B253" s="11"/>
      <c r="C253" t="str" s="11" cm="1">
        <f t="array" ref="C253">_xlfn.IFERROR((VLOOKUP(A253,#REF!,2,FALSE)),"")</f>
      </c>
      <c r="D253" s="11"/>
      <c r="E253" s="11"/>
      <c r="F253" s="11"/>
      <c r="G253" t="s" s="10">
        <v>838</v>
      </c>
      <c r="H253" t="s" s="10">
        <v>492</v>
      </c>
      <c r="I253" t="s" s="10">
        <v>111</v>
      </c>
      <c r="J253" t="s" s="10">
        <v>122</v>
      </c>
      <c r="K253" t="s" s="10">
        <v>140</v>
      </c>
      <c r="L253" t="s" s="10">
        <v>493</v>
      </c>
      <c r="M253" t="s" s="10">
        <v>77</v>
      </c>
      <c r="N253" t="s" s="10">
        <v>839</v>
      </c>
      <c r="O253" s="11"/>
      <c r="P253" s="11"/>
      <c r="Q253" t="s" s="10">
        <v>69</v>
      </c>
      <c r="R253" t="s" s="10">
        <v>83</v>
      </c>
      <c r="S253" s="11"/>
      <c r="T253" s="11"/>
      <c r="U253" s="11"/>
      <c r="V253" t="s" s="10">
        <v>69</v>
      </c>
      <c r="W253" s="11"/>
      <c r="X253" t="s" s="10">
        <v>69</v>
      </c>
      <c r="Y253" s="11"/>
      <c r="Z253" t="s" s="10">
        <v>495</v>
      </c>
      <c r="AA253" s="11"/>
      <c r="AB253" t="s" s="10">
        <v>495</v>
      </c>
      <c r="AC253" t="s" s="10">
        <v>837</v>
      </c>
      <c r="AD253" s="11"/>
      <c r="AE253" s="11"/>
      <c r="AF253" t="s" s="10">
        <v>492</v>
      </c>
      <c r="AG253" t="s" s="10">
        <v>299</v>
      </c>
      <c r="AH253" t="s" s="10">
        <v>114</v>
      </c>
      <c r="AI253" t="s" s="10">
        <v>332</v>
      </c>
      <c r="AJ253" t="s" s="10">
        <v>333</v>
      </c>
      <c r="AK253" t="s" s="10">
        <v>83</v>
      </c>
      <c r="AL253" t="s" s="10">
        <v>115</v>
      </c>
      <c r="AM253" s="11"/>
      <c r="AN253" t="s" s="10">
        <v>128</v>
      </c>
      <c r="AO253" s="11"/>
      <c r="AP253" s="11"/>
      <c r="AQ253" s="11"/>
      <c r="AR253" s="11"/>
      <c r="AS253" t="s" s="10">
        <v>840</v>
      </c>
      <c r="AT253" t="s" s="10">
        <v>301</v>
      </c>
      <c r="AU253" s="11"/>
      <c r="AV253" s="11"/>
      <c r="AW253" s="11"/>
      <c r="AX253" s="11"/>
      <c r="AY253" s="11"/>
      <c r="AZ253" s="11"/>
      <c r="BA253" s="11"/>
      <c r="BB253" s="11"/>
      <c r="BC253" s="11"/>
      <c r="BD253" t="s" s="10">
        <v>118</v>
      </c>
      <c r="BE253" s="11"/>
      <c r="BF253" s="11"/>
      <c r="BG253" s="11"/>
      <c r="BH253" s="11"/>
      <c r="BI253" s="11"/>
      <c r="BJ253" s="11"/>
      <c r="BK253" s="11"/>
      <c r="BL253" s="11"/>
      <c r="BM253" s="11"/>
      <c r="BN253" s="11"/>
      <c r="BO253" s="12"/>
      <c r="BP253" s="8"/>
    </row>
    <row r="254" ht="9" customHeight="1" hidden="1">
      <c r="A254" t="s" s="13">
        <v>841</v>
      </c>
      <c r="B254" s="14"/>
      <c r="C254" t="str" s="14" cm="1">
        <f t="array" ref="C254">_xlfn.IFERROR((VLOOKUP(A254,#REF!,2,FALSE)),"")</f>
      </c>
      <c r="D254" t="s" s="15">
        <v>70</v>
      </c>
      <c r="E254" t="s" s="15">
        <v>842</v>
      </c>
      <c r="F254" s="14"/>
      <c r="G254" t="s" s="15">
        <v>843</v>
      </c>
      <c r="H254" t="s" s="15">
        <v>843</v>
      </c>
      <c r="I254" t="s" s="15">
        <v>111</v>
      </c>
      <c r="J254" t="s" s="15">
        <v>122</v>
      </c>
      <c r="K254" t="s" s="15">
        <v>105</v>
      </c>
      <c r="L254" t="s" s="15">
        <v>76</v>
      </c>
      <c r="M254" t="s" s="15">
        <v>77</v>
      </c>
      <c r="N254" t="s" s="15">
        <v>843</v>
      </c>
      <c r="O254" s="14"/>
      <c r="P254" s="14"/>
      <c r="Q254" t="s" s="15">
        <v>69</v>
      </c>
      <c r="R254" t="s" s="15">
        <v>83</v>
      </c>
      <c r="S254" s="14"/>
      <c r="T254" s="14"/>
      <c r="U254" s="14"/>
      <c r="V254" t="s" s="15">
        <v>69</v>
      </c>
      <c r="W254" s="14"/>
      <c r="X254" t="s" s="15">
        <v>69</v>
      </c>
      <c r="Y254" s="14"/>
      <c r="Z254" t="s" s="15">
        <v>76</v>
      </c>
      <c r="AA254" s="14"/>
      <c r="AB254" t="s" s="15">
        <v>76</v>
      </c>
      <c r="AC254" t="s" s="15">
        <v>841</v>
      </c>
      <c r="AD254" s="14"/>
      <c r="AE254" s="14"/>
      <c r="AF254" s="14"/>
      <c r="AG254" s="14"/>
      <c r="AH254" t="s" s="15">
        <v>106</v>
      </c>
      <c r="AI254" t="s" s="15">
        <v>76</v>
      </c>
      <c r="AJ254" t="s" s="15">
        <v>76</v>
      </c>
      <c r="AK254" t="s" s="15">
        <v>79</v>
      </c>
      <c r="AL254" t="s" s="15">
        <v>115</v>
      </c>
      <c r="AM254" s="14"/>
      <c r="AN254" t="s" s="15">
        <v>128</v>
      </c>
      <c r="AO254" s="14"/>
      <c r="AP254" s="14"/>
      <c r="AQ254" s="14"/>
      <c r="AR254" s="14"/>
      <c r="AS254" t="s" s="15">
        <v>844</v>
      </c>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6"/>
      <c r="BP254" s="8"/>
    </row>
    <row r="255" ht="9" customHeight="1" hidden="1">
      <c r="A255" t="s" s="9">
        <v>845</v>
      </c>
      <c r="B255" s="11"/>
      <c r="C255" t="str" s="11" cm="1">
        <f t="array" ref="C255">_xlfn.IFERROR((VLOOKUP(A255,#REF!,2,FALSE)),"")</f>
      </c>
      <c r="D255" s="11"/>
      <c r="E255" s="11"/>
      <c r="F255" s="11"/>
      <c r="G255" t="s" s="10">
        <v>846</v>
      </c>
      <c r="H255" t="s" s="10">
        <v>846</v>
      </c>
      <c r="I255" t="s" s="10">
        <v>111</v>
      </c>
      <c r="J255" t="s" s="10">
        <v>122</v>
      </c>
      <c r="K255" t="s" s="10">
        <v>105</v>
      </c>
      <c r="L255" t="s" s="10">
        <v>76</v>
      </c>
      <c r="M255" t="s" s="10">
        <v>77</v>
      </c>
      <c r="N255" t="s" s="10">
        <v>846</v>
      </c>
      <c r="O255" s="11"/>
      <c r="P255" s="11"/>
      <c r="Q255" t="s" s="10">
        <v>69</v>
      </c>
      <c r="R255" t="s" s="10">
        <v>83</v>
      </c>
      <c r="S255" s="11"/>
      <c r="T255" s="11"/>
      <c r="U255" s="11"/>
      <c r="V255" t="s" s="10">
        <v>69</v>
      </c>
      <c r="W255" s="11"/>
      <c r="X255" t="s" s="10">
        <v>69</v>
      </c>
      <c r="Y255" s="11"/>
      <c r="Z255" t="s" s="10">
        <v>76</v>
      </c>
      <c r="AA255" s="11"/>
      <c r="AB255" t="s" s="10">
        <v>76</v>
      </c>
      <c r="AC255" t="s" s="10">
        <v>845</v>
      </c>
      <c r="AD255" s="11"/>
      <c r="AE255" s="11"/>
      <c r="AF255" s="11"/>
      <c r="AG255" t="s" s="10">
        <v>299</v>
      </c>
      <c r="AH255" t="s" s="10">
        <v>106</v>
      </c>
      <c r="AI255" t="s" s="10">
        <v>76</v>
      </c>
      <c r="AJ255" t="s" s="10">
        <v>76</v>
      </c>
      <c r="AK255" t="s" s="10">
        <v>79</v>
      </c>
      <c r="AL255" t="s" s="10">
        <v>115</v>
      </c>
      <c r="AM255" s="11"/>
      <c r="AN255" t="s" s="10">
        <v>128</v>
      </c>
      <c r="AO255" s="11"/>
      <c r="AP255" s="11"/>
      <c r="AQ255" s="11"/>
      <c r="AR255" s="11"/>
      <c r="AS255" t="s" s="10">
        <v>847</v>
      </c>
      <c r="AT255" s="11"/>
      <c r="AU255" s="11"/>
      <c r="AV255" s="11"/>
      <c r="AW255" s="11"/>
      <c r="AX255" s="11"/>
      <c r="AY255" s="11"/>
      <c r="AZ255" s="11"/>
      <c r="BA255" s="11"/>
      <c r="BB255" s="11"/>
      <c r="BC255" s="11"/>
      <c r="BD255" s="11"/>
      <c r="BE255" s="11"/>
      <c r="BF255" s="11"/>
      <c r="BG255" s="11"/>
      <c r="BH255" s="11"/>
      <c r="BI255" s="11"/>
      <c r="BJ255" s="11"/>
      <c r="BK255" s="11"/>
      <c r="BL255" s="11"/>
      <c r="BM255" s="11"/>
      <c r="BN255" s="11"/>
      <c r="BO255" s="12"/>
      <c r="BP255" s="8"/>
    </row>
    <row r="256" ht="9" customHeight="1" hidden="1">
      <c r="A256" t="s" s="13">
        <v>848</v>
      </c>
      <c r="B256" s="14"/>
      <c r="C256" t="str" s="14" cm="1">
        <f t="array" ref="C256">_xlfn.IFERROR((VLOOKUP(A256,#REF!,2,FALSE)),"")</f>
      </c>
      <c r="D256" t="s" s="15">
        <v>70</v>
      </c>
      <c r="E256" s="14"/>
      <c r="F256" s="14"/>
      <c r="G256" t="s" s="15">
        <v>641</v>
      </c>
      <c r="H256" t="s" s="15">
        <v>484</v>
      </c>
      <c r="I256" t="s" s="15">
        <v>111</v>
      </c>
      <c r="J256" t="s" s="15">
        <v>122</v>
      </c>
      <c r="K256" t="s" s="15">
        <v>75</v>
      </c>
      <c r="L256" t="s" s="15">
        <v>76</v>
      </c>
      <c r="M256" t="s" s="15">
        <v>77</v>
      </c>
      <c r="N256" t="s" s="15">
        <v>641</v>
      </c>
      <c r="O256" s="14"/>
      <c r="P256" s="14"/>
      <c r="Q256" t="s" s="15">
        <v>78</v>
      </c>
      <c r="R256" t="s" s="15">
        <v>83</v>
      </c>
      <c r="S256" s="14"/>
      <c r="T256" s="14"/>
      <c r="U256" s="14"/>
      <c r="V256" t="s" s="15">
        <v>78</v>
      </c>
      <c r="W256" s="14"/>
      <c r="X256" t="s" s="15">
        <v>69</v>
      </c>
      <c r="Y256" s="14"/>
      <c r="Z256" t="s" s="15">
        <v>76</v>
      </c>
      <c r="AA256" s="14"/>
      <c r="AB256" t="s" s="15">
        <v>76</v>
      </c>
      <c r="AC256" s="14"/>
      <c r="AD256" s="14"/>
      <c r="AE256" s="14"/>
      <c r="AF256" s="14"/>
      <c r="AG256" s="14"/>
      <c r="AH256" s="14"/>
      <c r="AI256" t="s" s="15">
        <v>76</v>
      </c>
      <c r="AJ256" t="s" s="15">
        <v>76</v>
      </c>
      <c r="AK256" t="s" s="15">
        <v>79</v>
      </c>
      <c r="AL256" t="s" s="15">
        <v>115</v>
      </c>
      <c r="AM256" s="14"/>
      <c r="AN256" s="14"/>
      <c r="AO256" s="14"/>
      <c r="AP256" s="14"/>
      <c r="AQ256" s="14"/>
      <c r="AR256" s="14"/>
      <c r="AS256" t="s" s="15">
        <v>849</v>
      </c>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6"/>
      <c r="BP256" s="8"/>
    </row>
    <row r="257" ht="9" customHeight="1" hidden="1">
      <c r="A257" t="s" s="9">
        <v>850</v>
      </c>
      <c r="B257" s="11"/>
      <c r="C257" t="str" s="11" cm="1">
        <f t="array" ref="C257">_xlfn.IFERROR((VLOOKUP(A257,#REF!,2,FALSE)),"")</f>
      </c>
      <c r="D257" t="s" s="10">
        <v>70</v>
      </c>
      <c r="E257" s="11"/>
      <c r="F257" s="11"/>
      <c r="G257" t="s" s="10">
        <v>484</v>
      </c>
      <c r="H257" t="s" s="10">
        <v>484</v>
      </c>
      <c r="I257" t="s" s="10">
        <v>111</v>
      </c>
      <c r="J257" t="s" s="10">
        <v>322</v>
      </c>
      <c r="K257" t="s" s="10">
        <v>75</v>
      </c>
      <c r="L257" t="s" s="10">
        <v>76</v>
      </c>
      <c r="M257" t="s" s="10">
        <v>77</v>
      </c>
      <c r="N257" t="s" s="10">
        <v>484</v>
      </c>
      <c r="O257" s="11"/>
      <c r="P257" s="11"/>
      <c r="Q257" t="s" s="10">
        <v>78</v>
      </c>
      <c r="R257" t="s" s="10">
        <v>83</v>
      </c>
      <c r="S257" s="11"/>
      <c r="T257" s="11"/>
      <c r="U257" s="11"/>
      <c r="V257" t="s" s="10">
        <v>78</v>
      </c>
      <c r="W257" s="11"/>
      <c r="X257" t="s" s="10">
        <v>78</v>
      </c>
      <c r="Y257" s="11"/>
      <c r="Z257" t="s" s="10">
        <v>76</v>
      </c>
      <c r="AA257" s="11"/>
      <c r="AB257" t="s" s="10">
        <v>76</v>
      </c>
      <c r="AC257" s="11"/>
      <c r="AD257" s="11"/>
      <c r="AE257" s="11"/>
      <c r="AF257" s="11"/>
      <c r="AG257" s="11"/>
      <c r="AH257" s="11"/>
      <c r="AI257" t="s" s="10">
        <v>76</v>
      </c>
      <c r="AJ257" t="s" s="10">
        <v>76</v>
      </c>
      <c r="AK257" t="s" s="10">
        <v>79</v>
      </c>
      <c r="AL257" t="s" s="10">
        <v>115</v>
      </c>
      <c r="AM257" s="11"/>
      <c r="AN257" s="11"/>
      <c r="AO257" s="11"/>
      <c r="AP257" s="11"/>
      <c r="AQ257" s="11"/>
      <c r="AR257" s="11"/>
      <c r="AS257" t="s" s="10">
        <v>851</v>
      </c>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2"/>
      <c r="BP257" s="8"/>
    </row>
    <row r="258" ht="9" customHeight="1" hidden="1">
      <c r="A258" t="s" s="13">
        <v>852</v>
      </c>
      <c r="B258" s="14"/>
      <c r="C258" t="str" s="14" cm="1">
        <f t="array" ref="C258">_xlfn.IFERROR((VLOOKUP(A258,#REF!,2,FALSE)),"")</f>
      </c>
      <c r="D258" t="s" s="15">
        <v>70</v>
      </c>
      <c r="E258" t="s" s="15">
        <v>126</v>
      </c>
      <c r="F258" s="14"/>
      <c r="G258" s="14"/>
      <c r="H258" s="14"/>
      <c r="I258" t="s" s="15">
        <v>111</v>
      </c>
      <c r="J258" t="s" s="15">
        <v>122</v>
      </c>
      <c r="K258" t="s" s="15">
        <v>203</v>
      </c>
      <c r="L258" t="s" s="15">
        <v>76</v>
      </c>
      <c r="M258" t="s" s="15">
        <v>77</v>
      </c>
      <c r="N258" s="14"/>
      <c r="O258" s="14"/>
      <c r="P258" s="14"/>
      <c r="Q258" t="s" s="15">
        <v>69</v>
      </c>
      <c r="R258" t="s" s="15">
        <v>83</v>
      </c>
      <c r="S258" s="14"/>
      <c r="T258" s="14"/>
      <c r="U258" s="14"/>
      <c r="V258" t="s" s="15">
        <v>69</v>
      </c>
      <c r="W258" s="14"/>
      <c r="X258" t="s" s="15">
        <v>78</v>
      </c>
      <c r="Y258" s="14"/>
      <c r="Z258" t="s" s="15">
        <v>76</v>
      </c>
      <c r="AA258" s="14"/>
      <c r="AB258" t="s" s="15">
        <v>76</v>
      </c>
      <c r="AC258" t="s" s="15">
        <v>852</v>
      </c>
      <c r="AD258" s="14"/>
      <c r="AE258" s="14"/>
      <c r="AF258" s="14"/>
      <c r="AG258" s="14"/>
      <c r="AH258" s="14"/>
      <c r="AI258" t="s" s="15">
        <v>76</v>
      </c>
      <c r="AJ258" t="s" s="15">
        <v>76</v>
      </c>
      <c r="AK258" t="s" s="15">
        <v>79</v>
      </c>
      <c r="AL258" t="s" s="15">
        <v>293</v>
      </c>
      <c r="AM258" t="s" s="15">
        <v>294</v>
      </c>
      <c r="AN258" t="s" s="15">
        <v>128</v>
      </c>
      <c r="AO258" s="17">
        <v>2</v>
      </c>
      <c r="AP258" s="17">
        <v>2048</v>
      </c>
      <c r="AQ258" s="17">
        <v>126459</v>
      </c>
      <c r="AR258" s="17">
        <v>126459</v>
      </c>
      <c r="AS258" t="s" s="15">
        <v>853</v>
      </c>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6"/>
      <c r="BP258" s="8"/>
    </row>
    <row r="259" ht="9" customHeight="1" hidden="1">
      <c r="A259" t="s" s="9">
        <v>854</v>
      </c>
      <c r="B259" s="11"/>
      <c r="C259" t="str" s="11" cm="1">
        <f t="array" ref="C259">_xlfn.IFERROR((VLOOKUP(A259,#REF!,2,FALSE)),"")</f>
      </c>
      <c r="D259" t="s" s="10">
        <v>70</v>
      </c>
      <c r="E259" t="s" s="10">
        <v>261</v>
      </c>
      <c r="F259" s="11"/>
      <c r="G259" s="11"/>
      <c r="H259" s="11"/>
      <c r="I259" t="s" s="10">
        <v>111</v>
      </c>
      <c r="J259" t="s" s="10">
        <v>122</v>
      </c>
      <c r="K259" t="s" s="10">
        <v>203</v>
      </c>
      <c r="L259" t="s" s="10">
        <v>76</v>
      </c>
      <c r="M259" t="s" s="10">
        <v>77</v>
      </c>
      <c r="N259" s="11"/>
      <c r="O259" s="11"/>
      <c r="P259" s="11"/>
      <c r="Q259" t="s" s="10">
        <v>69</v>
      </c>
      <c r="R259" t="s" s="10">
        <v>83</v>
      </c>
      <c r="S259" s="11"/>
      <c r="T259" s="11"/>
      <c r="U259" s="11"/>
      <c r="V259" t="s" s="10">
        <v>69</v>
      </c>
      <c r="W259" s="11"/>
      <c r="X259" t="s" s="10">
        <v>78</v>
      </c>
      <c r="Y259" s="11"/>
      <c r="Z259" t="s" s="10">
        <v>76</v>
      </c>
      <c r="AA259" s="11"/>
      <c r="AB259" t="s" s="10">
        <v>76</v>
      </c>
      <c r="AC259" t="s" s="10">
        <v>854</v>
      </c>
      <c r="AD259" s="11"/>
      <c r="AE259" s="11"/>
      <c r="AF259" s="11"/>
      <c r="AG259" s="11"/>
      <c r="AH259" s="11"/>
      <c r="AI259" t="s" s="10">
        <v>76</v>
      </c>
      <c r="AJ259" t="s" s="10">
        <v>76</v>
      </c>
      <c r="AK259" t="s" s="10">
        <v>79</v>
      </c>
      <c r="AL259" t="s" s="10">
        <v>293</v>
      </c>
      <c r="AM259" t="s" s="10">
        <v>294</v>
      </c>
      <c r="AN259" t="s" s="10">
        <v>187</v>
      </c>
      <c r="AO259" s="18">
        <v>2</v>
      </c>
      <c r="AP259" s="18">
        <v>2048</v>
      </c>
      <c r="AQ259" s="18">
        <v>126459</v>
      </c>
      <c r="AR259" s="18">
        <v>126459</v>
      </c>
      <c r="AS259" t="s" s="10">
        <v>855</v>
      </c>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2"/>
      <c r="BP259" s="8"/>
    </row>
    <row r="260" ht="9" customHeight="1" hidden="1">
      <c r="A260" t="s" s="13">
        <v>856</v>
      </c>
      <c r="B260" s="14"/>
      <c r="C260" t="str" s="14" cm="1">
        <f t="array" ref="C260">_xlfn.IFERROR((VLOOKUP(A260,#REF!,2,FALSE)),"")</f>
      </c>
      <c r="D260" s="14"/>
      <c r="E260" t="s" s="15">
        <v>857</v>
      </c>
      <c r="F260" s="14"/>
      <c r="G260" t="s" s="15">
        <v>858</v>
      </c>
      <c r="H260" t="s" s="15">
        <v>203</v>
      </c>
      <c r="I260" t="s" s="15">
        <v>111</v>
      </c>
      <c r="J260" t="s" s="15">
        <v>122</v>
      </c>
      <c r="K260" t="s" s="15">
        <v>203</v>
      </c>
      <c r="L260" t="s" s="15">
        <v>204</v>
      </c>
      <c r="M260" t="s" s="15">
        <v>77</v>
      </c>
      <c r="N260" t="s" s="15">
        <v>859</v>
      </c>
      <c r="O260" t="s" s="15">
        <v>286</v>
      </c>
      <c r="P260" s="14"/>
      <c r="Q260" t="s" s="15">
        <v>69</v>
      </c>
      <c r="R260" t="s" s="15">
        <v>83</v>
      </c>
      <c r="S260" s="14"/>
      <c r="T260" s="14"/>
      <c r="U260" s="14"/>
      <c r="V260" t="s" s="15">
        <v>69</v>
      </c>
      <c r="W260" s="14"/>
      <c r="X260" t="s" s="15">
        <v>69</v>
      </c>
      <c r="Y260" s="14"/>
      <c r="Z260" t="s" s="15">
        <v>205</v>
      </c>
      <c r="AA260" s="14"/>
      <c r="AB260" t="s" s="15">
        <v>206</v>
      </c>
      <c r="AC260" t="s" s="15">
        <v>856</v>
      </c>
      <c r="AD260" s="14"/>
      <c r="AE260" s="14"/>
      <c r="AF260" s="14"/>
      <c r="AG260" t="s" s="15">
        <v>860</v>
      </c>
      <c r="AH260" t="s" s="15">
        <v>114</v>
      </c>
      <c r="AI260" t="s" s="15">
        <v>290</v>
      </c>
      <c r="AJ260" t="s" s="15">
        <v>291</v>
      </c>
      <c r="AK260" t="s" s="15">
        <v>292</v>
      </c>
      <c r="AL260" t="s" s="15">
        <v>115</v>
      </c>
      <c r="AM260" t="s" s="15">
        <v>294</v>
      </c>
      <c r="AN260" t="s" s="15">
        <v>128</v>
      </c>
      <c r="AO260" s="17">
        <v>2</v>
      </c>
      <c r="AP260" s="17">
        <v>7168</v>
      </c>
      <c r="AQ260" s="17">
        <v>131579</v>
      </c>
      <c r="AR260" s="17">
        <v>131579</v>
      </c>
      <c r="AS260" t="s" s="15">
        <v>861</v>
      </c>
      <c r="AT260" s="14"/>
      <c r="AU260" s="14"/>
      <c r="AV260" s="14"/>
      <c r="AW260" t="s" s="15">
        <v>83</v>
      </c>
      <c r="AX260" t="s" s="15">
        <v>83</v>
      </c>
      <c r="AY260" t="s" s="15">
        <v>309</v>
      </c>
      <c r="AZ260" t="s" s="15">
        <v>83</v>
      </c>
      <c r="BA260" t="s" s="15">
        <v>76</v>
      </c>
      <c r="BB260" t="s" s="15">
        <v>76</v>
      </c>
      <c r="BC260" t="s" s="15">
        <v>76</v>
      </c>
      <c r="BD260" t="s" s="15">
        <v>366</v>
      </c>
      <c r="BE260" t="s" s="15">
        <v>489</v>
      </c>
      <c r="BF260" s="17">
        <v>2</v>
      </c>
      <c r="BG260" s="17">
        <v>8</v>
      </c>
      <c r="BH260" t="s" s="15">
        <v>83</v>
      </c>
      <c r="BI260" t="s" s="15">
        <v>83</v>
      </c>
      <c r="BJ260" t="s" s="15">
        <v>83</v>
      </c>
      <c r="BK260" t="s" s="15">
        <v>83</v>
      </c>
      <c r="BL260" t="s" s="15">
        <v>83</v>
      </c>
      <c r="BM260" t="s" s="15">
        <v>312</v>
      </c>
      <c r="BN260" s="14"/>
      <c r="BO260" t="s" s="21">
        <v>76</v>
      </c>
      <c r="BP260" s="8"/>
    </row>
    <row r="261" ht="9" customHeight="1" hidden="1">
      <c r="A261" t="s" s="9">
        <v>862</v>
      </c>
      <c r="B261" s="11"/>
      <c r="C261" t="str" s="11" cm="1">
        <f t="array" ref="C261">_xlfn.IFERROR((VLOOKUP(A261,#REF!,2,FALSE)),"")</f>
      </c>
      <c r="D261" s="11"/>
      <c r="E261" t="s" s="10">
        <v>857</v>
      </c>
      <c r="F261" s="11"/>
      <c r="G261" t="s" s="10">
        <v>863</v>
      </c>
      <c r="H261" t="s" s="10">
        <v>203</v>
      </c>
      <c r="I261" t="s" s="10">
        <v>111</v>
      </c>
      <c r="J261" t="s" s="10">
        <v>122</v>
      </c>
      <c r="K261" t="s" s="10">
        <v>203</v>
      </c>
      <c r="L261" t="s" s="10">
        <v>204</v>
      </c>
      <c r="M261" t="s" s="10">
        <v>77</v>
      </c>
      <c r="N261" t="s" s="10">
        <v>864</v>
      </c>
      <c r="O261" t="s" s="10">
        <v>286</v>
      </c>
      <c r="P261" s="11"/>
      <c r="Q261" t="s" s="10">
        <v>69</v>
      </c>
      <c r="R261" t="s" s="10">
        <v>83</v>
      </c>
      <c r="S261" s="11"/>
      <c r="T261" s="11"/>
      <c r="U261" s="11"/>
      <c r="V261" t="s" s="10">
        <v>69</v>
      </c>
      <c r="W261" s="11"/>
      <c r="X261" t="s" s="10">
        <v>69</v>
      </c>
      <c r="Y261" s="11"/>
      <c r="Z261" t="s" s="10">
        <v>205</v>
      </c>
      <c r="AA261" s="11"/>
      <c r="AB261" t="s" s="10">
        <v>206</v>
      </c>
      <c r="AC261" t="s" s="10">
        <v>862</v>
      </c>
      <c r="AD261" s="11"/>
      <c r="AE261" s="11"/>
      <c r="AF261" s="11"/>
      <c r="AG261" t="s" s="10">
        <v>865</v>
      </c>
      <c r="AH261" t="s" s="10">
        <v>114</v>
      </c>
      <c r="AI261" t="s" s="10">
        <v>290</v>
      </c>
      <c r="AJ261" t="s" s="10">
        <v>291</v>
      </c>
      <c r="AK261" t="s" s="10">
        <v>292</v>
      </c>
      <c r="AL261" t="s" s="10">
        <v>115</v>
      </c>
      <c r="AM261" t="s" s="10">
        <v>294</v>
      </c>
      <c r="AN261" t="s" s="10">
        <v>128</v>
      </c>
      <c r="AO261" s="18">
        <v>2</v>
      </c>
      <c r="AP261" s="18">
        <v>7168</v>
      </c>
      <c r="AQ261" s="18">
        <v>131579</v>
      </c>
      <c r="AR261" s="18">
        <v>131579</v>
      </c>
      <c r="AS261" t="s" s="10">
        <v>866</v>
      </c>
      <c r="AT261" s="11"/>
      <c r="AU261" s="11"/>
      <c r="AV261" s="11"/>
      <c r="AW261" t="s" s="10">
        <v>83</v>
      </c>
      <c r="AX261" t="s" s="10">
        <v>83</v>
      </c>
      <c r="AY261" t="s" s="10">
        <v>309</v>
      </c>
      <c r="AZ261" t="s" s="10">
        <v>83</v>
      </c>
      <c r="BA261" t="s" s="10">
        <v>76</v>
      </c>
      <c r="BB261" t="s" s="10">
        <v>76</v>
      </c>
      <c r="BC261" t="s" s="10">
        <v>76</v>
      </c>
      <c r="BD261" t="s" s="10">
        <v>366</v>
      </c>
      <c r="BE261" t="s" s="10">
        <v>489</v>
      </c>
      <c r="BF261" s="18">
        <v>2</v>
      </c>
      <c r="BG261" s="18">
        <v>8</v>
      </c>
      <c r="BH261" t="s" s="10">
        <v>83</v>
      </c>
      <c r="BI261" t="s" s="10">
        <v>83</v>
      </c>
      <c r="BJ261" t="s" s="10">
        <v>83</v>
      </c>
      <c r="BK261" t="s" s="10">
        <v>83</v>
      </c>
      <c r="BL261" t="s" s="10">
        <v>83</v>
      </c>
      <c r="BM261" t="s" s="10">
        <v>312</v>
      </c>
      <c r="BN261" s="11"/>
      <c r="BO261" t="s" s="19">
        <v>76</v>
      </c>
      <c r="BP261" s="8"/>
    </row>
    <row r="262" ht="9" customHeight="1" hidden="1">
      <c r="A262" t="s" s="13">
        <v>867</v>
      </c>
      <c r="B262" s="14"/>
      <c r="C262" t="str" s="14" cm="1">
        <f t="array" ref="C262">_xlfn.IFERROR((VLOOKUP(A262,#REF!,2,FALSE)),"")</f>
      </c>
      <c r="D262" t="s" s="15">
        <v>70</v>
      </c>
      <c r="E262" s="14"/>
      <c r="F262" s="14"/>
      <c r="G262" t="s" s="15">
        <v>868</v>
      </c>
      <c r="H262" t="s" s="15">
        <v>869</v>
      </c>
      <c r="I262" t="s" s="15">
        <v>111</v>
      </c>
      <c r="J262" t="s" s="15">
        <v>122</v>
      </c>
      <c r="K262" t="s" s="15">
        <v>113</v>
      </c>
      <c r="L262" t="s" s="15">
        <v>76</v>
      </c>
      <c r="M262" t="s" s="15">
        <v>77</v>
      </c>
      <c r="N262" t="s" s="15">
        <v>868</v>
      </c>
      <c r="O262" s="14"/>
      <c r="P262" s="14"/>
      <c r="Q262" t="s" s="15">
        <v>69</v>
      </c>
      <c r="R262" t="s" s="15">
        <v>83</v>
      </c>
      <c r="S262" s="14"/>
      <c r="T262" s="14"/>
      <c r="U262" s="14"/>
      <c r="V262" t="s" s="15">
        <v>69</v>
      </c>
      <c r="W262" s="14"/>
      <c r="X262" t="s" s="15">
        <v>69</v>
      </c>
      <c r="Y262" s="14"/>
      <c r="Z262" t="s" s="15">
        <v>76</v>
      </c>
      <c r="AA262" s="14"/>
      <c r="AB262" t="s" s="15">
        <v>76</v>
      </c>
      <c r="AC262" t="s" s="15">
        <v>867</v>
      </c>
      <c r="AD262" s="14"/>
      <c r="AE262" s="14"/>
      <c r="AF262" s="14"/>
      <c r="AG262" s="14"/>
      <c r="AH262" t="s" s="15">
        <v>106</v>
      </c>
      <c r="AI262" t="s" s="15">
        <v>76</v>
      </c>
      <c r="AJ262" t="s" s="15">
        <v>76</v>
      </c>
      <c r="AK262" t="s" s="15">
        <v>79</v>
      </c>
      <c r="AL262" t="s" s="15">
        <v>115</v>
      </c>
      <c r="AM262" s="14"/>
      <c r="AN262" t="s" s="15">
        <v>128</v>
      </c>
      <c r="AO262" s="14"/>
      <c r="AP262" s="14"/>
      <c r="AQ262" s="14"/>
      <c r="AR262" s="14"/>
      <c r="AS262" t="s" s="15">
        <v>870</v>
      </c>
      <c r="AT262" s="14"/>
      <c r="AU262" s="14"/>
      <c r="AV262" s="14"/>
      <c r="AW262" s="14"/>
      <c r="AX262" s="14"/>
      <c r="AY262" s="14"/>
      <c r="AZ262" s="14"/>
      <c r="BA262" s="14"/>
      <c r="BB262" s="14"/>
      <c r="BC262" s="14"/>
      <c r="BD262" t="s" s="15">
        <v>366</v>
      </c>
      <c r="BE262" t="s" s="24">
        <v>489</v>
      </c>
      <c r="BF262" s="20"/>
      <c r="BG262" s="20"/>
      <c r="BH262" s="14"/>
      <c r="BI262" s="14"/>
      <c r="BJ262" s="14"/>
      <c r="BK262" s="14"/>
      <c r="BL262" s="14"/>
      <c r="BM262" s="14"/>
      <c r="BN262" s="14"/>
      <c r="BO262" s="16"/>
      <c r="BP262" s="8"/>
    </row>
    <row r="263" ht="9" customHeight="1" hidden="1">
      <c r="A263" t="s" s="9">
        <v>871</v>
      </c>
      <c r="B263" s="23"/>
      <c r="C263" t="str" s="23" cm="1">
        <f t="array" ref="C263">_xlfn.IFERROR((VLOOKUP(A263,#REF!,2,FALSE)),"")</f>
      </c>
      <c r="D263" s="23"/>
      <c r="E263" t="s" s="10">
        <v>857</v>
      </c>
      <c r="F263" s="11"/>
      <c r="G263" t="s" s="10">
        <v>872</v>
      </c>
      <c r="H263" t="s" s="10">
        <v>203</v>
      </c>
      <c r="I263" t="s" s="10">
        <v>111</v>
      </c>
      <c r="J263" t="s" s="10">
        <v>122</v>
      </c>
      <c r="K263" t="s" s="10">
        <v>203</v>
      </c>
      <c r="L263" t="s" s="10">
        <v>204</v>
      </c>
      <c r="M263" t="s" s="10">
        <v>77</v>
      </c>
      <c r="N263" t="s" s="10">
        <v>873</v>
      </c>
      <c r="O263" t="s" s="10">
        <v>286</v>
      </c>
      <c r="P263" s="11"/>
      <c r="Q263" t="s" s="10">
        <v>69</v>
      </c>
      <c r="R263" t="s" s="10">
        <v>83</v>
      </c>
      <c r="S263" s="11"/>
      <c r="T263" s="11"/>
      <c r="U263" s="11"/>
      <c r="V263" t="s" s="10">
        <v>69</v>
      </c>
      <c r="W263" s="11"/>
      <c r="X263" t="s" s="10">
        <v>69</v>
      </c>
      <c r="Y263" s="11"/>
      <c r="Z263" t="s" s="10">
        <v>205</v>
      </c>
      <c r="AA263" s="11"/>
      <c r="AB263" t="s" s="10">
        <v>206</v>
      </c>
      <c r="AC263" t="s" s="10">
        <v>871</v>
      </c>
      <c r="AD263" s="11"/>
      <c r="AE263" s="11"/>
      <c r="AF263" s="11"/>
      <c r="AG263" t="s" s="10">
        <v>874</v>
      </c>
      <c r="AH263" t="s" s="10">
        <v>114</v>
      </c>
      <c r="AI263" t="s" s="10">
        <v>290</v>
      </c>
      <c r="AJ263" t="s" s="10">
        <v>291</v>
      </c>
      <c r="AK263" t="s" s="10">
        <v>292</v>
      </c>
      <c r="AL263" t="s" s="10">
        <v>115</v>
      </c>
      <c r="AM263" t="s" s="10">
        <v>294</v>
      </c>
      <c r="AN263" t="s" s="10">
        <v>128</v>
      </c>
      <c r="AO263" s="18">
        <v>1</v>
      </c>
      <c r="AP263" s="18">
        <v>6144</v>
      </c>
      <c r="AQ263" s="18">
        <v>130535</v>
      </c>
      <c r="AR263" s="28">
        <v>130535</v>
      </c>
      <c r="AS263" t="s" s="10">
        <v>875</v>
      </c>
      <c r="AT263" s="11"/>
      <c r="AU263" s="11"/>
      <c r="AV263" s="11"/>
      <c r="AW263" t="s" s="10">
        <v>83</v>
      </c>
      <c r="AX263" t="s" s="10">
        <v>83</v>
      </c>
      <c r="AY263" t="s" s="10">
        <v>309</v>
      </c>
      <c r="AZ263" t="s" s="10">
        <v>83</v>
      </c>
      <c r="BA263" t="s" s="10">
        <v>76</v>
      </c>
      <c r="BB263" t="s" s="10">
        <v>76</v>
      </c>
      <c r="BC263" t="s" s="10">
        <v>76</v>
      </c>
      <c r="BD263" t="s" s="10">
        <v>366</v>
      </c>
      <c r="BE263" t="s" s="10">
        <v>489</v>
      </c>
      <c r="BF263" s="18">
        <v>2</v>
      </c>
      <c r="BG263" s="18">
        <v>8</v>
      </c>
      <c r="BH263" t="s" s="10">
        <v>83</v>
      </c>
      <c r="BI263" t="s" s="10">
        <v>83</v>
      </c>
      <c r="BJ263" t="s" s="10">
        <v>83</v>
      </c>
      <c r="BK263" t="s" s="10">
        <v>83</v>
      </c>
      <c r="BL263" t="s" s="10">
        <v>83</v>
      </c>
      <c r="BM263" t="s" s="10">
        <v>312</v>
      </c>
      <c r="BN263" s="11"/>
      <c r="BO263" t="s" s="19">
        <v>76</v>
      </c>
      <c r="BP263" s="8"/>
    </row>
    <row r="264" ht="9" customHeight="1" hidden="1">
      <c r="A264" t="s" s="13">
        <v>876</v>
      </c>
      <c r="B264" s="14"/>
      <c r="C264" t="str" s="14" cm="1">
        <f t="array" ref="C264">_xlfn.IFERROR((VLOOKUP(A264,#REF!,2,FALSE)),"")</f>
      </c>
      <c r="D264" s="14"/>
      <c r="E264" t="s" s="15">
        <v>857</v>
      </c>
      <c r="F264" s="14"/>
      <c r="G264" t="s" s="15">
        <v>877</v>
      </c>
      <c r="H264" t="s" s="15">
        <v>203</v>
      </c>
      <c r="I264" t="s" s="15">
        <v>111</v>
      </c>
      <c r="J264" t="s" s="15">
        <v>122</v>
      </c>
      <c r="K264" t="s" s="15">
        <v>203</v>
      </c>
      <c r="L264" t="s" s="15">
        <v>204</v>
      </c>
      <c r="M264" t="s" s="15">
        <v>77</v>
      </c>
      <c r="N264" t="s" s="15">
        <v>878</v>
      </c>
      <c r="O264" t="s" s="15">
        <v>286</v>
      </c>
      <c r="P264" s="14"/>
      <c r="Q264" t="s" s="15">
        <v>69</v>
      </c>
      <c r="R264" t="s" s="15">
        <v>83</v>
      </c>
      <c r="S264" s="14"/>
      <c r="T264" s="14"/>
      <c r="U264" s="14"/>
      <c r="V264" t="s" s="15">
        <v>69</v>
      </c>
      <c r="W264" s="14"/>
      <c r="X264" t="s" s="15">
        <v>69</v>
      </c>
      <c r="Y264" s="14"/>
      <c r="Z264" t="s" s="15">
        <v>205</v>
      </c>
      <c r="AA264" s="14"/>
      <c r="AB264" t="s" s="15">
        <v>206</v>
      </c>
      <c r="AC264" t="s" s="15">
        <v>876</v>
      </c>
      <c r="AD264" s="14"/>
      <c r="AE264" s="14"/>
      <c r="AF264" s="14"/>
      <c r="AG264" t="s" s="15">
        <v>874</v>
      </c>
      <c r="AH264" t="s" s="15">
        <v>114</v>
      </c>
      <c r="AI264" t="s" s="15">
        <v>290</v>
      </c>
      <c r="AJ264" t="s" s="15">
        <v>291</v>
      </c>
      <c r="AK264" t="s" s="15">
        <v>292</v>
      </c>
      <c r="AL264" t="s" s="15">
        <v>115</v>
      </c>
      <c r="AM264" t="s" s="15">
        <v>294</v>
      </c>
      <c r="AN264" t="s" s="15">
        <v>128</v>
      </c>
      <c r="AO264" s="17">
        <v>2</v>
      </c>
      <c r="AP264" s="17">
        <v>3072</v>
      </c>
      <c r="AQ264" s="17">
        <v>127483</v>
      </c>
      <c r="AR264" s="17">
        <v>127483</v>
      </c>
      <c r="AS264" t="s" s="15">
        <v>879</v>
      </c>
      <c r="AT264" s="14"/>
      <c r="AU264" s="14"/>
      <c r="AV264" s="14"/>
      <c r="AW264" t="s" s="15">
        <v>83</v>
      </c>
      <c r="AX264" t="s" s="15">
        <v>83</v>
      </c>
      <c r="AY264" t="s" s="15">
        <v>309</v>
      </c>
      <c r="AZ264" t="s" s="15">
        <v>83</v>
      </c>
      <c r="BA264" t="s" s="15">
        <v>76</v>
      </c>
      <c r="BB264" t="s" s="15">
        <v>76</v>
      </c>
      <c r="BC264" t="s" s="15">
        <v>76</v>
      </c>
      <c r="BD264" t="s" s="15">
        <v>310</v>
      </c>
      <c r="BE264" t="s" s="15">
        <v>419</v>
      </c>
      <c r="BF264" s="17">
        <v>2</v>
      </c>
      <c r="BG264" s="17">
        <v>4</v>
      </c>
      <c r="BH264" t="s" s="15">
        <v>83</v>
      </c>
      <c r="BI264" t="s" s="15">
        <v>83</v>
      </c>
      <c r="BJ264" t="s" s="15">
        <v>83</v>
      </c>
      <c r="BK264" t="s" s="15">
        <v>83</v>
      </c>
      <c r="BL264" t="s" s="15">
        <v>83</v>
      </c>
      <c r="BM264" t="s" s="15">
        <v>312</v>
      </c>
      <c r="BN264" s="14"/>
      <c r="BO264" t="s" s="21">
        <v>76</v>
      </c>
      <c r="BP264" s="8"/>
    </row>
    <row r="265" ht="9" customHeight="1" hidden="1">
      <c r="A265" t="s" s="9">
        <v>880</v>
      </c>
      <c r="B265" s="11"/>
      <c r="C265" t="str" s="11" cm="1">
        <f t="array" ref="C265">_xlfn.IFERROR((VLOOKUP(A265,#REF!,2,FALSE)),"")</f>
      </c>
      <c r="D265" t="s" s="10">
        <v>70</v>
      </c>
      <c r="E265" s="11"/>
      <c r="F265" s="11"/>
      <c r="G265" t="s" s="10">
        <v>881</v>
      </c>
      <c r="H265" t="s" s="10">
        <v>882</v>
      </c>
      <c r="I265" t="s" s="10">
        <v>111</v>
      </c>
      <c r="J265" t="s" s="10">
        <v>122</v>
      </c>
      <c r="K265" t="s" s="10">
        <v>113</v>
      </c>
      <c r="L265" t="s" s="10">
        <v>76</v>
      </c>
      <c r="M265" t="s" s="10">
        <v>77</v>
      </c>
      <c r="N265" t="s" s="10">
        <v>881</v>
      </c>
      <c r="O265" s="11"/>
      <c r="P265" s="11"/>
      <c r="Q265" t="s" s="10">
        <v>69</v>
      </c>
      <c r="R265" t="s" s="10">
        <v>83</v>
      </c>
      <c r="S265" s="11"/>
      <c r="T265" s="11"/>
      <c r="U265" s="11"/>
      <c r="V265" t="s" s="10">
        <v>69</v>
      </c>
      <c r="W265" s="11"/>
      <c r="X265" t="s" s="10">
        <v>69</v>
      </c>
      <c r="Y265" s="11"/>
      <c r="Z265" t="s" s="10">
        <v>76</v>
      </c>
      <c r="AA265" s="11"/>
      <c r="AB265" t="s" s="10">
        <v>76</v>
      </c>
      <c r="AC265" t="s" s="10">
        <v>880</v>
      </c>
      <c r="AD265" s="11"/>
      <c r="AE265" s="11"/>
      <c r="AF265" s="11"/>
      <c r="AG265" s="11"/>
      <c r="AH265" t="s" s="10">
        <v>106</v>
      </c>
      <c r="AI265" t="s" s="10">
        <v>76</v>
      </c>
      <c r="AJ265" t="s" s="10">
        <v>76</v>
      </c>
      <c r="AK265" t="s" s="10">
        <v>79</v>
      </c>
      <c r="AL265" t="s" s="10">
        <v>115</v>
      </c>
      <c r="AM265" s="11"/>
      <c r="AN265" t="s" s="10">
        <v>128</v>
      </c>
      <c r="AO265" s="11"/>
      <c r="AP265" s="11"/>
      <c r="AQ265" s="11"/>
      <c r="AR265" s="11"/>
      <c r="AS265" t="s" s="10">
        <v>883</v>
      </c>
      <c r="AT265" s="11"/>
      <c r="AU265" s="11"/>
      <c r="AV265" s="11"/>
      <c r="AW265" s="11"/>
      <c r="AX265" s="11"/>
      <c r="AY265" s="11"/>
      <c r="AZ265" s="11"/>
      <c r="BA265" s="11"/>
      <c r="BB265" s="11"/>
      <c r="BC265" s="11"/>
      <c r="BD265" t="s" s="10">
        <v>310</v>
      </c>
      <c r="BE265" t="s" s="10">
        <v>311</v>
      </c>
      <c r="BF265" s="11"/>
      <c r="BG265" s="11"/>
      <c r="BH265" s="11"/>
      <c r="BI265" s="11"/>
      <c r="BJ265" s="11"/>
      <c r="BK265" s="11"/>
      <c r="BL265" s="11"/>
      <c r="BM265" s="11"/>
      <c r="BN265" s="11"/>
      <c r="BO265" s="12"/>
      <c r="BP265" s="8"/>
    </row>
    <row r="266" ht="9" customHeight="1" hidden="1">
      <c r="A266" t="s" s="13">
        <v>884</v>
      </c>
      <c r="B266" s="14"/>
      <c r="C266" t="str" s="14" cm="1">
        <f t="array" ref="C266">_xlfn.IFERROR((VLOOKUP(A266,#REF!,2,FALSE)),"")</f>
      </c>
      <c r="D266" t="s" s="15">
        <v>70</v>
      </c>
      <c r="E266" s="14"/>
      <c r="F266" s="14"/>
      <c r="G266" t="s" s="15">
        <v>885</v>
      </c>
      <c r="H266" t="s" s="15">
        <v>886</v>
      </c>
      <c r="I266" t="s" s="15">
        <v>73</v>
      </c>
      <c r="J266" t="s" s="15">
        <v>74</v>
      </c>
      <c r="K266" t="s" s="15">
        <v>113</v>
      </c>
      <c r="L266" t="s" s="15">
        <v>76</v>
      </c>
      <c r="M266" t="s" s="15">
        <v>77</v>
      </c>
      <c r="N266" t="s" s="15">
        <v>885</v>
      </c>
      <c r="O266" t="s" s="15">
        <v>71</v>
      </c>
      <c r="P266" s="14"/>
      <c r="Q266" t="s" s="15">
        <v>78</v>
      </c>
      <c r="R266" t="s" s="15">
        <v>71</v>
      </c>
      <c r="S266" s="14"/>
      <c r="T266" s="14"/>
      <c r="U266" s="14"/>
      <c r="V266" t="s" s="15">
        <v>78</v>
      </c>
      <c r="W266" t="s" s="15">
        <v>884</v>
      </c>
      <c r="X266" t="s" s="15">
        <v>69</v>
      </c>
      <c r="Y266" s="14"/>
      <c r="Z266" t="s" s="15">
        <v>76</v>
      </c>
      <c r="AA266" s="14"/>
      <c r="AB266" t="s" s="15">
        <v>76</v>
      </c>
      <c r="AC266" s="14"/>
      <c r="AD266" s="14"/>
      <c r="AE266" s="14"/>
      <c r="AF266" s="14"/>
      <c r="AG266" s="14"/>
      <c r="AH266" s="14"/>
      <c r="AI266" t="s" s="15">
        <v>76</v>
      </c>
      <c r="AJ266" t="s" s="15">
        <v>76</v>
      </c>
      <c r="AK266" t="s" s="15">
        <v>79</v>
      </c>
      <c r="AL266" s="14"/>
      <c r="AM266" s="14"/>
      <c r="AN266" s="14"/>
      <c r="AO266" s="14"/>
      <c r="AP266" s="14"/>
      <c r="AQ266" s="14"/>
      <c r="AR266" s="14"/>
      <c r="AS266" s="14"/>
      <c r="AT266" s="14"/>
      <c r="AU266" s="14"/>
      <c r="AV266" s="14"/>
      <c r="AW266" s="14"/>
      <c r="AX266" s="14"/>
      <c r="AY266" s="14"/>
      <c r="AZ266" s="14"/>
      <c r="BA266" s="14"/>
      <c r="BB266" s="14"/>
      <c r="BC266" s="14"/>
      <c r="BD266" t="s" s="15">
        <v>310</v>
      </c>
      <c r="BE266" t="s" s="15">
        <v>356</v>
      </c>
      <c r="BF266" s="14"/>
      <c r="BG266" s="14"/>
      <c r="BH266" s="14"/>
      <c r="BI266" s="14"/>
      <c r="BJ266" s="14"/>
      <c r="BK266" s="14"/>
      <c r="BL266" s="14"/>
      <c r="BM266" s="14"/>
      <c r="BN266" s="14"/>
      <c r="BO266" s="16"/>
      <c r="BP266" s="8"/>
    </row>
    <row r="267" ht="9" customHeight="1" hidden="1">
      <c r="A267" t="s" s="9">
        <v>887</v>
      </c>
      <c r="B267" s="11"/>
      <c r="C267" t="str" s="11" cm="1">
        <f t="array" ref="C267">_xlfn.IFERROR((VLOOKUP(A267,#REF!,2,FALSE)),"")</f>
      </c>
      <c r="D267" s="11"/>
      <c r="E267" s="11"/>
      <c r="F267" s="11"/>
      <c r="G267" t="s" s="10">
        <v>888</v>
      </c>
      <c r="H267" t="s" s="10">
        <v>889</v>
      </c>
      <c r="I267" t="s" s="10">
        <v>82</v>
      </c>
      <c r="J267" t="s" s="10">
        <v>82</v>
      </c>
      <c r="K267" t="s" s="10">
        <v>82</v>
      </c>
      <c r="L267" t="s" s="10">
        <v>76</v>
      </c>
      <c r="M267" t="s" s="10">
        <v>77</v>
      </c>
      <c r="N267" t="s" s="10">
        <v>888</v>
      </c>
      <c r="O267" t="s" s="10">
        <v>71</v>
      </c>
      <c r="P267" s="11"/>
      <c r="Q267" t="s" s="10">
        <v>78</v>
      </c>
      <c r="R267" t="s" s="10">
        <v>83</v>
      </c>
      <c r="S267" s="11"/>
      <c r="T267" s="11"/>
      <c r="U267" s="11"/>
      <c r="V267" t="s" s="10">
        <v>78</v>
      </c>
      <c r="W267" s="11"/>
      <c r="X267" t="s" s="10">
        <v>69</v>
      </c>
      <c r="Y267" s="11"/>
      <c r="Z267" t="s" s="10">
        <v>76</v>
      </c>
      <c r="AA267" s="11"/>
      <c r="AB267" t="s" s="10">
        <v>76</v>
      </c>
      <c r="AC267" s="11"/>
      <c r="AD267" s="11"/>
      <c r="AE267" s="11"/>
      <c r="AF267" s="11"/>
      <c r="AG267" s="11"/>
      <c r="AH267" t="s" s="10">
        <v>106</v>
      </c>
      <c r="AI267" t="s" s="10">
        <v>76</v>
      </c>
      <c r="AJ267" t="s" s="10">
        <v>76</v>
      </c>
      <c r="AK267" t="s" s="10">
        <v>79</v>
      </c>
      <c r="AL267" s="11"/>
      <c r="AM267" s="11"/>
      <c r="AN267" s="11"/>
      <c r="AO267" s="11"/>
      <c r="AP267" s="11"/>
      <c r="AQ267" s="11"/>
      <c r="AR267" s="11"/>
      <c r="AS267" s="11"/>
      <c r="AT267" s="11"/>
      <c r="AU267" s="11"/>
      <c r="AV267" s="11"/>
      <c r="AW267" s="11"/>
      <c r="AX267" s="11"/>
      <c r="AY267" s="11"/>
      <c r="AZ267" s="11"/>
      <c r="BA267" s="11"/>
      <c r="BB267" s="11"/>
      <c r="BC267" s="11"/>
      <c r="BD267" t="s" s="10">
        <v>366</v>
      </c>
      <c r="BE267" t="s" s="10">
        <v>394</v>
      </c>
      <c r="BF267" s="11"/>
      <c r="BG267" s="11"/>
      <c r="BH267" s="11"/>
      <c r="BI267" s="11"/>
      <c r="BJ267" s="11"/>
      <c r="BK267" s="11"/>
      <c r="BL267" s="11"/>
      <c r="BM267" s="11"/>
      <c r="BN267" s="11"/>
      <c r="BO267" s="12"/>
      <c r="BP267" s="8"/>
    </row>
    <row r="268" ht="9" customHeight="1" hidden="1">
      <c r="A268" t="s" s="13">
        <v>890</v>
      </c>
      <c r="B268" s="14"/>
      <c r="C268" t="str" s="14" cm="1">
        <f t="array" ref="C268">_xlfn.IFERROR((VLOOKUP(A268,#REF!,2,FALSE)),"")</f>
      </c>
      <c r="D268" t="s" s="15">
        <v>70</v>
      </c>
      <c r="E268" s="14"/>
      <c r="F268" s="14"/>
      <c r="G268" t="s" s="15">
        <v>267</v>
      </c>
      <c r="H268" t="s" s="15">
        <v>267</v>
      </c>
      <c r="I268" t="s" s="15">
        <v>111</v>
      </c>
      <c r="J268" t="s" s="15">
        <v>122</v>
      </c>
      <c r="K268" t="s" s="15">
        <v>75</v>
      </c>
      <c r="L268" t="s" s="15">
        <v>76</v>
      </c>
      <c r="M268" t="s" s="15">
        <v>77</v>
      </c>
      <c r="N268" t="s" s="15">
        <v>267</v>
      </c>
      <c r="O268" s="14"/>
      <c r="P268" s="14"/>
      <c r="Q268" t="s" s="15">
        <v>78</v>
      </c>
      <c r="R268" t="s" s="15">
        <v>83</v>
      </c>
      <c r="S268" s="14"/>
      <c r="T268" s="14"/>
      <c r="U268" s="14"/>
      <c r="V268" t="s" s="15">
        <v>78</v>
      </c>
      <c r="W268" s="14"/>
      <c r="X268" t="s" s="15">
        <v>69</v>
      </c>
      <c r="Y268" s="14"/>
      <c r="Z268" t="s" s="15">
        <v>76</v>
      </c>
      <c r="AA268" s="14"/>
      <c r="AB268" t="s" s="15">
        <v>76</v>
      </c>
      <c r="AC268" s="14"/>
      <c r="AD268" s="14"/>
      <c r="AE268" s="14"/>
      <c r="AF268" s="14"/>
      <c r="AG268" s="14"/>
      <c r="AH268" s="14"/>
      <c r="AI268" t="s" s="15">
        <v>76</v>
      </c>
      <c r="AJ268" t="s" s="15">
        <v>76</v>
      </c>
      <c r="AK268" t="s" s="15">
        <v>79</v>
      </c>
      <c r="AL268" t="s" s="15">
        <v>115</v>
      </c>
      <c r="AM268" s="14"/>
      <c r="AN268" s="14"/>
      <c r="AO268" s="14"/>
      <c r="AP268" s="14"/>
      <c r="AQ268" s="14"/>
      <c r="AR268" s="14"/>
      <c r="AS268" t="s" s="15">
        <v>891</v>
      </c>
      <c r="AT268" s="14"/>
      <c r="AU268" s="14"/>
      <c r="AV268" s="14"/>
      <c r="AW268" s="14"/>
      <c r="AX268" s="14"/>
      <c r="AY268" s="14"/>
      <c r="AZ268" s="14"/>
      <c r="BA268" s="14"/>
      <c r="BB268" s="14"/>
      <c r="BC268" s="14"/>
      <c r="BD268" t="s" s="15">
        <v>310</v>
      </c>
      <c r="BE268" t="s" s="15">
        <v>356</v>
      </c>
      <c r="BF268" s="14"/>
      <c r="BG268" s="14"/>
      <c r="BH268" s="14"/>
      <c r="BI268" s="14"/>
      <c r="BJ268" s="14"/>
      <c r="BK268" s="14"/>
      <c r="BL268" s="14"/>
      <c r="BM268" s="14"/>
      <c r="BN268" s="14"/>
      <c r="BO268" s="16"/>
      <c r="BP268" s="8"/>
    </row>
    <row r="269" ht="9" customHeight="1" hidden="1">
      <c r="A269" t="s" s="9">
        <v>892</v>
      </c>
      <c r="B269" s="11"/>
      <c r="C269" t="str" s="11" cm="1">
        <f t="array" ref="C269">_xlfn.IFERROR((VLOOKUP(A269,#REF!,2,FALSE)),"")</f>
      </c>
      <c r="D269" t="s" s="10">
        <v>70</v>
      </c>
      <c r="E269" s="11"/>
      <c r="F269" s="11"/>
      <c r="G269" t="s" s="10">
        <v>267</v>
      </c>
      <c r="H269" t="s" s="10">
        <v>267</v>
      </c>
      <c r="I269" t="s" s="10">
        <v>111</v>
      </c>
      <c r="J269" t="s" s="10">
        <v>122</v>
      </c>
      <c r="K269" t="s" s="10">
        <v>75</v>
      </c>
      <c r="L269" t="s" s="10">
        <v>76</v>
      </c>
      <c r="M269" t="s" s="10">
        <v>77</v>
      </c>
      <c r="N269" t="s" s="10">
        <v>267</v>
      </c>
      <c r="O269" s="11"/>
      <c r="P269" s="11"/>
      <c r="Q269" t="s" s="10">
        <v>78</v>
      </c>
      <c r="R269" t="s" s="10">
        <v>83</v>
      </c>
      <c r="S269" s="11"/>
      <c r="T269" s="11"/>
      <c r="U269" s="11"/>
      <c r="V269" t="s" s="10">
        <v>78</v>
      </c>
      <c r="W269" s="11"/>
      <c r="X269" t="s" s="10">
        <v>69</v>
      </c>
      <c r="Y269" s="11"/>
      <c r="Z269" t="s" s="10">
        <v>76</v>
      </c>
      <c r="AA269" s="11"/>
      <c r="AB269" t="s" s="10">
        <v>76</v>
      </c>
      <c r="AC269" s="11"/>
      <c r="AD269" s="11"/>
      <c r="AE269" s="11"/>
      <c r="AF269" s="11"/>
      <c r="AG269" s="11"/>
      <c r="AH269" s="11"/>
      <c r="AI269" t="s" s="10">
        <v>76</v>
      </c>
      <c r="AJ269" t="s" s="10">
        <v>76</v>
      </c>
      <c r="AK269" t="s" s="10">
        <v>79</v>
      </c>
      <c r="AL269" t="s" s="10">
        <v>115</v>
      </c>
      <c r="AM269" s="11"/>
      <c r="AN269" s="11"/>
      <c r="AO269" s="11"/>
      <c r="AP269" s="11"/>
      <c r="AQ269" s="11"/>
      <c r="AR269" s="11"/>
      <c r="AS269" t="s" s="10">
        <v>893</v>
      </c>
      <c r="AT269" s="11"/>
      <c r="AU269" s="11"/>
      <c r="AV269" s="11"/>
      <c r="AW269" s="11"/>
      <c r="AX269" s="11"/>
      <c r="AY269" s="11"/>
      <c r="AZ269" s="11"/>
      <c r="BA269" s="11"/>
      <c r="BB269" s="11"/>
      <c r="BC269" s="11"/>
      <c r="BD269" t="s" s="10">
        <v>310</v>
      </c>
      <c r="BE269" t="s" s="10">
        <v>356</v>
      </c>
      <c r="BF269" s="11"/>
      <c r="BG269" s="11"/>
      <c r="BH269" s="11"/>
      <c r="BI269" s="11"/>
      <c r="BJ269" s="11"/>
      <c r="BK269" s="11"/>
      <c r="BL269" s="11"/>
      <c r="BM269" s="11"/>
      <c r="BN269" s="11"/>
      <c r="BO269" s="12"/>
      <c r="BP269" s="8"/>
    </row>
    <row r="270" ht="9" customHeight="1" hidden="1">
      <c r="A270" t="s" s="13">
        <v>894</v>
      </c>
      <c r="B270" s="14"/>
      <c r="C270" t="str" s="14" cm="1">
        <f t="array" ref="C270">_xlfn.IFERROR((VLOOKUP(A270,#REF!,2,FALSE)),"")</f>
      </c>
      <c r="D270" t="s" s="15">
        <v>70</v>
      </c>
      <c r="E270" s="14"/>
      <c r="F270" s="14"/>
      <c r="G270" t="s" s="15">
        <v>267</v>
      </c>
      <c r="H270" t="s" s="15">
        <v>267</v>
      </c>
      <c r="I270" t="s" s="15">
        <v>111</v>
      </c>
      <c r="J270" t="s" s="15">
        <v>122</v>
      </c>
      <c r="K270" t="s" s="15">
        <v>75</v>
      </c>
      <c r="L270" t="s" s="15">
        <v>76</v>
      </c>
      <c r="M270" t="s" s="15">
        <v>77</v>
      </c>
      <c r="N270" t="s" s="15">
        <v>267</v>
      </c>
      <c r="O270" s="14"/>
      <c r="P270" s="14"/>
      <c r="Q270" t="s" s="15">
        <v>78</v>
      </c>
      <c r="R270" t="s" s="15">
        <v>83</v>
      </c>
      <c r="S270" s="14"/>
      <c r="T270" s="14"/>
      <c r="U270" s="14"/>
      <c r="V270" t="s" s="15">
        <v>78</v>
      </c>
      <c r="W270" s="14"/>
      <c r="X270" t="s" s="15">
        <v>69</v>
      </c>
      <c r="Y270" s="14"/>
      <c r="Z270" t="s" s="15">
        <v>76</v>
      </c>
      <c r="AA270" s="14"/>
      <c r="AB270" t="s" s="15">
        <v>76</v>
      </c>
      <c r="AC270" s="14"/>
      <c r="AD270" s="14"/>
      <c r="AE270" s="14"/>
      <c r="AF270" s="14"/>
      <c r="AG270" s="14"/>
      <c r="AH270" s="14"/>
      <c r="AI270" t="s" s="15">
        <v>76</v>
      </c>
      <c r="AJ270" t="s" s="15">
        <v>76</v>
      </c>
      <c r="AK270" t="s" s="15">
        <v>79</v>
      </c>
      <c r="AL270" t="s" s="15">
        <v>115</v>
      </c>
      <c r="AM270" s="14"/>
      <c r="AN270" s="14"/>
      <c r="AO270" s="14"/>
      <c r="AP270" s="14"/>
      <c r="AQ270" s="14"/>
      <c r="AR270" s="14"/>
      <c r="AS270" t="s" s="15">
        <v>895</v>
      </c>
      <c r="AT270" s="14"/>
      <c r="AU270" s="14"/>
      <c r="AV270" s="14"/>
      <c r="AW270" s="14"/>
      <c r="AX270" s="14"/>
      <c r="AY270" s="14"/>
      <c r="AZ270" s="14"/>
      <c r="BA270" s="14"/>
      <c r="BB270" s="14"/>
      <c r="BC270" s="14"/>
      <c r="BD270" t="s" s="15">
        <v>310</v>
      </c>
      <c r="BE270" t="s" s="15">
        <v>356</v>
      </c>
      <c r="BF270" s="14"/>
      <c r="BG270" s="14"/>
      <c r="BH270" s="14"/>
      <c r="BI270" s="14"/>
      <c r="BJ270" s="14"/>
      <c r="BK270" s="14"/>
      <c r="BL270" s="14"/>
      <c r="BM270" s="14"/>
      <c r="BN270" s="14"/>
      <c r="BO270" s="16"/>
      <c r="BP270" s="8"/>
    </row>
    <row r="271" ht="9" customHeight="1" hidden="1">
      <c r="A271" t="s" s="9">
        <v>896</v>
      </c>
      <c r="B271" s="11"/>
      <c r="C271" t="str" s="11" cm="1">
        <f t="array" ref="C271">_xlfn.IFERROR((VLOOKUP(A271,#REF!,2,FALSE)),"")</f>
      </c>
      <c r="D271" t="s" s="10">
        <v>70</v>
      </c>
      <c r="E271" t="s" s="10">
        <v>392</v>
      </c>
      <c r="F271" s="11"/>
      <c r="G271" s="11"/>
      <c r="H271" s="11"/>
      <c r="I271" t="s" s="10">
        <v>111</v>
      </c>
      <c r="J271" t="s" s="10">
        <v>469</v>
      </c>
      <c r="K271" t="s" s="10">
        <v>140</v>
      </c>
      <c r="L271" t="s" s="10">
        <v>76</v>
      </c>
      <c r="M271" t="s" s="10">
        <v>77</v>
      </c>
      <c r="N271" s="11"/>
      <c r="O271" s="11"/>
      <c r="P271" s="11"/>
      <c r="Q271" t="s" s="10">
        <v>69</v>
      </c>
      <c r="R271" t="s" s="10">
        <v>83</v>
      </c>
      <c r="S271" s="11"/>
      <c r="T271" s="11"/>
      <c r="U271" s="11"/>
      <c r="V271" t="s" s="10">
        <v>69</v>
      </c>
      <c r="W271" s="11"/>
      <c r="X271" t="s" s="10">
        <v>78</v>
      </c>
      <c r="Y271" s="11"/>
      <c r="Z271" t="s" s="10">
        <v>76</v>
      </c>
      <c r="AA271" s="11"/>
      <c r="AB271" t="s" s="10">
        <v>76</v>
      </c>
      <c r="AC271" t="s" s="10">
        <v>896</v>
      </c>
      <c r="AD271" s="11"/>
      <c r="AE271" s="11"/>
      <c r="AF271" s="11"/>
      <c r="AG271" s="11"/>
      <c r="AH271" s="11"/>
      <c r="AI271" t="s" s="10">
        <v>76</v>
      </c>
      <c r="AJ271" t="s" s="10">
        <v>76</v>
      </c>
      <c r="AK271" t="s" s="10">
        <v>79</v>
      </c>
      <c r="AL271" t="s" s="10">
        <v>115</v>
      </c>
      <c r="AM271" s="11"/>
      <c r="AN271" t="s" s="10">
        <v>187</v>
      </c>
      <c r="AO271" s="11"/>
      <c r="AP271" s="11"/>
      <c r="AQ271" s="11"/>
      <c r="AR271" s="11"/>
      <c r="AS271" t="s" s="10">
        <v>897</v>
      </c>
      <c r="AT271" s="11"/>
      <c r="AU271" s="11"/>
      <c r="AV271" s="11"/>
      <c r="AW271" s="11"/>
      <c r="AX271" s="11"/>
      <c r="AY271" s="11"/>
      <c r="AZ271" s="11"/>
      <c r="BA271" s="11"/>
      <c r="BB271" s="11"/>
      <c r="BC271" s="11"/>
      <c r="BD271" t="s" s="10">
        <v>310</v>
      </c>
      <c r="BE271" t="s" s="25">
        <v>419</v>
      </c>
      <c r="BF271" s="23"/>
      <c r="BG271" s="23"/>
      <c r="BH271" s="11"/>
      <c r="BI271" s="11"/>
      <c r="BJ271" s="11"/>
      <c r="BK271" s="11"/>
      <c r="BL271" s="11"/>
      <c r="BM271" s="11"/>
      <c r="BN271" s="11"/>
      <c r="BO271" s="12"/>
      <c r="BP271" s="8"/>
    </row>
    <row r="272" ht="9" customHeight="1" hidden="1">
      <c r="A272" t="s" s="13">
        <v>898</v>
      </c>
      <c r="B272" s="14"/>
      <c r="C272" t="str" s="14" cm="1">
        <f t="array" ref="C272">_xlfn.IFERROR((VLOOKUP(A272,#REF!,2,FALSE)),"")</f>
      </c>
      <c r="D272" s="14"/>
      <c r="E272" s="14"/>
      <c r="F272" s="14"/>
      <c r="G272" t="s" s="15">
        <v>899</v>
      </c>
      <c r="H272" t="s" s="15">
        <v>899</v>
      </c>
      <c r="I272" t="s" s="15">
        <v>111</v>
      </c>
      <c r="J272" t="s" s="15">
        <v>122</v>
      </c>
      <c r="K272" t="s" s="15">
        <v>113</v>
      </c>
      <c r="L272" t="s" s="15">
        <v>76</v>
      </c>
      <c r="M272" t="s" s="15">
        <v>77</v>
      </c>
      <c r="N272" t="s" s="15">
        <v>899</v>
      </c>
      <c r="O272" s="14"/>
      <c r="P272" s="14"/>
      <c r="Q272" t="s" s="15">
        <v>69</v>
      </c>
      <c r="R272" t="s" s="15">
        <v>83</v>
      </c>
      <c r="S272" s="14"/>
      <c r="T272" s="14"/>
      <c r="U272" s="14"/>
      <c r="V272" t="s" s="15">
        <v>69</v>
      </c>
      <c r="W272" s="14"/>
      <c r="X272" t="s" s="15">
        <v>69</v>
      </c>
      <c r="Y272" s="14"/>
      <c r="Z272" t="s" s="15">
        <v>76</v>
      </c>
      <c r="AA272" s="14"/>
      <c r="AB272" t="s" s="15">
        <v>76</v>
      </c>
      <c r="AC272" t="s" s="15">
        <v>898</v>
      </c>
      <c r="AD272" s="14"/>
      <c r="AE272" s="14"/>
      <c r="AF272" s="14"/>
      <c r="AG272" t="s" s="15">
        <v>299</v>
      </c>
      <c r="AH272" t="s" s="15">
        <v>106</v>
      </c>
      <c r="AI272" t="s" s="15">
        <v>76</v>
      </c>
      <c r="AJ272" t="s" s="15">
        <v>76</v>
      </c>
      <c r="AK272" t="s" s="15">
        <v>79</v>
      </c>
      <c r="AL272" s="14"/>
      <c r="AM272" s="14"/>
      <c r="AN272" t="s" s="15">
        <v>187</v>
      </c>
      <c r="AO272" s="14"/>
      <c r="AP272" s="14"/>
      <c r="AQ272" s="14"/>
      <c r="AR272" s="14"/>
      <c r="AS272" t="s" s="15">
        <v>900</v>
      </c>
      <c r="AT272" t="s" s="15">
        <v>301</v>
      </c>
      <c r="AU272" s="14"/>
      <c r="AV272" s="14"/>
      <c r="AW272" s="14"/>
      <c r="AX272" s="14"/>
      <c r="AY272" s="14"/>
      <c r="AZ272" s="14"/>
      <c r="BA272" s="14"/>
      <c r="BB272" s="14"/>
      <c r="BC272" s="14"/>
      <c r="BD272" t="s" s="15">
        <v>366</v>
      </c>
      <c r="BE272" t="s" s="15">
        <v>394</v>
      </c>
      <c r="BF272" s="14"/>
      <c r="BG272" s="14"/>
      <c r="BH272" s="14"/>
      <c r="BI272" s="14"/>
      <c r="BJ272" s="14"/>
      <c r="BK272" s="14"/>
      <c r="BL272" s="14"/>
      <c r="BM272" s="14"/>
      <c r="BN272" s="14"/>
      <c r="BO272" s="16"/>
      <c r="BP272" s="8"/>
    </row>
    <row r="273" ht="9" customHeight="1" hidden="1">
      <c r="A273" t="s" s="9">
        <v>901</v>
      </c>
      <c r="B273" s="11"/>
      <c r="C273" t="str" s="11" cm="1">
        <f t="array" ref="C273">_xlfn.IFERROR((VLOOKUP(A273,#REF!,2,FALSE)),"")</f>
      </c>
      <c r="D273" s="11"/>
      <c r="E273" t="s" s="10">
        <v>617</v>
      </c>
      <c r="F273" s="11"/>
      <c r="G273" t="s" s="10">
        <v>902</v>
      </c>
      <c r="H273" t="s" s="10">
        <v>404</v>
      </c>
      <c r="I273" t="s" s="10">
        <v>111</v>
      </c>
      <c r="J273" t="s" s="10">
        <v>122</v>
      </c>
      <c r="K273" t="s" s="10">
        <v>140</v>
      </c>
      <c r="L273" t="s" s="10">
        <v>76</v>
      </c>
      <c r="M273" t="s" s="10">
        <v>77</v>
      </c>
      <c r="N273" t="s" s="10">
        <v>902</v>
      </c>
      <c r="O273" t="s" s="10">
        <v>286</v>
      </c>
      <c r="P273" s="11"/>
      <c r="Q273" t="s" s="10">
        <v>78</v>
      </c>
      <c r="R273" t="s" s="10">
        <v>323</v>
      </c>
      <c r="S273" s="11"/>
      <c r="T273" s="11"/>
      <c r="U273" s="11"/>
      <c r="V273" t="s" s="10">
        <v>78</v>
      </c>
      <c r="W273" s="11"/>
      <c r="X273" t="s" s="10">
        <v>69</v>
      </c>
      <c r="Y273" s="11"/>
      <c r="Z273" t="s" s="10">
        <v>76</v>
      </c>
      <c r="AA273" s="11"/>
      <c r="AB273" t="s" s="10">
        <v>324</v>
      </c>
      <c r="AC273" s="11"/>
      <c r="AD273" s="11"/>
      <c r="AE273" s="11"/>
      <c r="AF273" t="s" s="10">
        <v>404</v>
      </c>
      <c r="AG273" t="s" s="10">
        <v>299</v>
      </c>
      <c r="AH273" t="s" s="10">
        <v>114</v>
      </c>
      <c r="AI273" t="s" s="10">
        <v>332</v>
      </c>
      <c r="AJ273" t="s" s="10">
        <v>405</v>
      </c>
      <c r="AK273" t="s" s="10">
        <v>83</v>
      </c>
      <c r="AL273" t="s" s="10">
        <v>115</v>
      </c>
      <c r="AM273" s="11"/>
      <c r="AN273" s="11"/>
      <c r="AO273" s="11"/>
      <c r="AP273" s="11"/>
      <c r="AQ273" s="11"/>
      <c r="AR273" s="11"/>
      <c r="AS273" t="s" s="10">
        <v>903</v>
      </c>
      <c r="AT273" t="s" s="10">
        <v>301</v>
      </c>
      <c r="AU273" s="11"/>
      <c r="AV273" s="11"/>
      <c r="AW273" s="11"/>
      <c r="AX273" s="11"/>
      <c r="AY273" s="11"/>
      <c r="AZ273" s="11"/>
      <c r="BA273" s="11"/>
      <c r="BB273" s="11"/>
      <c r="BC273" s="11"/>
      <c r="BD273" t="s" s="10">
        <v>118</v>
      </c>
      <c r="BE273" s="11"/>
      <c r="BF273" s="11"/>
      <c r="BG273" s="11"/>
      <c r="BH273" s="11"/>
      <c r="BI273" s="11"/>
      <c r="BJ273" s="11"/>
      <c r="BK273" s="11"/>
      <c r="BL273" s="11"/>
      <c r="BM273" s="11"/>
      <c r="BN273" s="11"/>
      <c r="BO273" t="s" s="19">
        <v>115</v>
      </c>
      <c r="BP273" s="8"/>
    </row>
    <row r="274" ht="15" customHeight="1" hidden="1">
      <c r="A274" t="s" s="13">
        <v>904</v>
      </c>
      <c r="B274" s="14"/>
      <c r="C274" t="str" s="14" cm="1">
        <f t="array" ref="C274">_xlfn.IFERROR((VLOOKUP(A274,#REF!,2,FALSE)),"")</f>
      </c>
      <c r="D274" s="14"/>
      <c r="E274" t="s" s="15">
        <v>905</v>
      </c>
      <c r="F274" s="14"/>
      <c r="G274" t="s" s="15">
        <v>906</v>
      </c>
      <c r="H274" t="s" s="15">
        <v>907</v>
      </c>
      <c r="I274" t="s" s="15">
        <v>111</v>
      </c>
      <c r="J274" t="s" s="15">
        <v>122</v>
      </c>
      <c r="K274" t="s" s="15">
        <v>113</v>
      </c>
      <c r="L274" t="s" s="15">
        <v>76</v>
      </c>
      <c r="M274" t="s" s="15">
        <v>77</v>
      </c>
      <c r="N274" t="s" s="15">
        <v>906</v>
      </c>
      <c r="O274" s="14"/>
      <c r="P274" s="14"/>
      <c r="Q274" t="s" s="15">
        <v>69</v>
      </c>
      <c r="R274" t="s" s="15">
        <v>83</v>
      </c>
      <c r="S274" s="14"/>
      <c r="T274" s="14"/>
      <c r="U274" s="14"/>
      <c r="V274" t="s" s="15">
        <v>69</v>
      </c>
      <c r="W274" s="14"/>
      <c r="X274" t="s" s="15">
        <v>78</v>
      </c>
      <c r="Y274" s="14"/>
      <c r="Z274" t="s" s="15">
        <v>76</v>
      </c>
      <c r="AA274" s="14"/>
      <c r="AB274" t="s" s="15">
        <v>76</v>
      </c>
      <c r="AC274" t="s" s="15">
        <v>904</v>
      </c>
      <c r="AD274" s="14"/>
      <c r="AE274" s="14"/>
      <c r="AF274" t="s" s="15">
        <v>907</v>
      </c>
      <c r="AG274" t="s" s="15">
        <v>299</v>
      </c>
      <c r="AH274" t="s" s="15">
        <v>114</v>
      </c>
      <c r="AI274" t="s" s="15">
        <v>332</v>
      </c>
      <c r="AJ274" t="s" s="15">
        <v>798</v>
      </c>
      <c r="AK274" t="s" s="15">
        <v>292</v>
      </c>
      <c r="AL274" t="s" s="15">
        <v>115</v>
      </c>
      <c r="AM274" s="14"/>
      <c r="AN274" t="s" s="15">
        <v>128</v>
      </c>
      <c r="AO274" s="14"/>
      <c r="AP274" s="14"/>
      <c r="AQ274" s="14"/>
      <c r="AR274" s="14"/>
      <c r="AS274" t="s" s="15">
        <v>908</v>
      </c>
      <c r="AT274" t="s" s="15">
        <v>301</v>
      </c>
      <c r="AU274" s="14"/>
      <c r="AV274" s="14"/>
      <c r="AW274" s="14"/>
      <c r="AX274" s="14"/>
      <c r="AY274" s="14"/>
      <c r="AZ274" s="14"/>
      <c r="BA274" s="14"/>
      <c r="BB274" s="14"/>
      <c r="BC274" s="14"/>
      <c r="BD274" t="s" s="15">
        <v>118</v>
      </c>
      <c r="BE274" s="14"/>
      <c r="BF274" s="14"/>
      <c r="BG274" s="14"/>
      <c r="BH274" s="14"/>
      <c r="BI274" s="14"/>
      <c r="BJ274" s="14"/>
      <c r="BK274" s="14"/>
      <c r="BL274" s="14"/>
      <c r="BM274" s="14"/>
      <c r="BN274" s="14"/>
      <c r="BO274" s="16"/>
      <c r="BP274" s="8"/>
    </row>
    <row r="275" ht="15" customHeight="1" hidden="1">
      <c r="A275" t="s" s="9">
        <v>909</v>
      </c>
      <c r="B275" s="11"/>
      <c r="C275" t="str" s="11" cm="1">
        <f t="array" ref="C275">_xlfn.IFERROR((VLOOKUP(A275,#REF!,2,FALSE)),"")</f>
      </c>
      <c r="D275" s="11"/>
      <c r="E275" t="s" s="10">
        <v>617</v>
      </c>
      <c r="F275" s="11"/>
      <c r="G275" t="s" s="10">
        <v>910</v>
      </c>
      <c r="H275" t="s" s="10">
        <v>404</v>
      </c>
      <c r="I275" t="s" s="10">
        <v>111</v>
      </c>
      <c r="J275" t="s" s="10">
        <v>122</v>
      </c>
      <c r="K275" t="s" s="10">
        <v>140</v>
      </c>
      <c r="L275" t="s" s="10">
        <v>76</v>
      </c>
      <c r="M275" t="s" s="10">
        <v>77</v>
      </c>
      <c r="N275" t="s" s="10">
        <v>910</v>
      </c>
      <c r="O275" t="s" s="10">
        <v>286</v>
      </c>
      <c r="P275" s="11"/>
      <c r="Q275" t="s" s="10">
        <v>78</v>
      </c>
      <c r="R275" t="s" s="10">
        <v>323</v>
      </c>
      <c r="S275" s="11"/>
      <c r="T275" s="11"/>
      <c r="U275" s="11"/>
      <c r="V275" t="s" s="10">
        <v>78</v>
      </c>
      <c r="W275" s="11"/>
      <c r="X275" t="s" s="10">
        <v>69</v>
      </c>
      <c r="Y275" s="11"/>
      <c r="Z275" t="s" s="10">
        <v>76</v>
      </c>
      <c r="AA275" s="11"/>
      <c r="AB275" t="s" s="10">
        <v>324</v>
      </c>
      <c r="AC275" s="11"/>
      <c r="AD275" s="11"/>
      <c r="AE275" s="11"/>
      <c r="AF275" t="s" s="10">
        <v>404</v>
      </c>
      <c r="AG275" t="s" s="10">
        <v>299</v>
      </c>
      <c r="AH275" t="s" s="10">
        <v>114</v>
      </c>
      <c r="AI275" t="s" s="10">
        <v>332</v>
      </c>
      <c r="AJ275" t="s" s="10">
        <v>405</v>
      </c>
      <c r="AK275" t="s" s="10">
        <v>83</v>
      </c>
      <c r="AL275" t="s" s="10">
        <v>115</v>
      </c>
      <c r="AM275" s="11"/>
      <c r="AN275" s="11"/>
      <c r="AO275" s="11"/>
      <c r="AP275" s="11"/>
      <c r="AQ275" s="11"/>
      <c r="AR275" s="11"/>
      <c r="AS275" t="s" s="10">
        <v>911</v>
      </c>
      <c r="AT275" t="s" s="10">
        <v>301</v>
      </c>
      <c r="AU275" s="11"/>
      <c r="AV275" s="11"/>
      <c r="AW275" s="11"/>
      <c r="AX275" s="11"/>
      <c r="AY275" s="11"/>
      <c r="AZ275" s="11"/>
      <c r="BA275" s="11"/>
      <c r="BB275" s="11"/>
      <c r="BC275" s="11"/>
      <c r="BD275" t="s" s="10">
        <v>118</v>
      </c>
      <c r="BE275" s="11"/>
      <c r="BF275" s="11"/>
      <c r="BG275" s="11"/>
      <c r="BH275" s="11"/>
      <c r="BI275" s="11"/>
      <c r="BJ275" s="11"/>
      <c r="BK275" s="11"/>
      <c r="BL275" s="11"/>
      <c r="BM275" s="11"/>
      <c r="BN275" s="11"/>
      <c r="BO275" t="s" s="19">
        <v>115</v>
      </c>
      <c r="BP275" s="8"/>
    </row>
    <row r="276" ht="9" customHeight="1" hidden="1">
      <c r="A276" t="s" s="13">
        <v>912</v>
      </c>
      <c r="B276" s="14"/>
      <c r="C276" t="str" s="14" cm="1">
        <f t="array" ref="C276">_xlfn.IFERROR((VLOOKUP(A276,#REF!,2,FALSE)),"")</f>
      </c>
      <c r="D276" s="14"/>
      <c r="E276" s="14"/>
      <c r="F276" s="14"/>
      <c r="G276" t="s" s="15">
        <v>913</v>
      </c>
      <c r="H276" t="s" s="15">
        <v>913</v>
      </c>
      <c r="I276" t="s" s="15">
        <v>111</v>
      </c>
      <c r="J276" t="s" s="15">
        <v>122</v>
      </c>
      <c r="K276" t="s" s="15">
        <v>140</v>
      </c>
      <c r="L276" t="s" s="15">
        <v>76</v>
      </c>
      <c r="M276" t="s" s="15">
        <v>77</v>
      </c>
      <c r="N276" t="s" s="15">
        <v>913</v>
      </c>
      <c r="O276" s="14"/>
      <c r="P276" s="14"/>
      <c r="Q276" t="s" s="15">
        <v>69</v>
      </c>
      <c r="R276" t="s" s="15">
        <v>83</v>
      </c>
      <c r="S276" s="14"/>
      <c r="T276" s="14"/>
      <c r="U276" s="14"/>
      <c r="V276" t="s" s="15">
        <v>69</v>
      </c>
      <c r="W276" s="14"/>
      <c r="X276" t="s" s="15">
        <v>69</v>
      </c>
      <c r="Y276" s="14"/>
      <c r="Z276" t="s" s="15">
        <v>76</v>
      </c>
      <c r="AA276" s="14"/>
      <c r="AB276" t="s" s="15">
        <v>76</v>
      </c>
      <c r="AC276" t="s" s="15">
        <v>912</v>
      </c>
      <c r="AD276" s="14"/>
      <c r="AE276" s="14"/>
      <c r="AF276" s="14"/>
      <c r="AG276" t="s" s="15">
        <v>299</v>
      </c>
      <c r="AH276" t="s" s="15">
        <v>106</v>
      </c>
      <c r="AI276" t="s" s="15">
        <v>76</v>
      </c>
      <c r="AJ276" t="s" s="15">
        <v>76</v>
      </c>
      <c r="AK276" t="s" s="15">
        <v>79</v>
      </c>
      <c r="AL276" t="s" s="15">
        <v>115</v>
      </c>
      <c r="AM276" s="14"/>
      <c r="AN276" t="s" s="15">
        <v>187</v>
      </c>
      <c r="AO276" s="14"/>
      <c r="AP276" s="14"/>
      <c r="AQ276" s="14"/>
      <c r="AR276" s="14"/>
      <c r="AS276" t="s" s="15">
        <v>914</v>
      </c>
      <c r="AT276" t="s" s="15">
        <v>301</v>
      </c>
      <c r="AU276" s="14"/>
      <c r="AV276" s="14"/>
      <c r="AW276" s="14"/>
      <c r="AX276" s="14"/>
      <c r="AY276" s="14"/>
      <c r="AZ276" s="14"/>
      <c r="BA276" s="14"/>
      <c r="BB276" s="14"/>
      <c r="BC276" s="14"/>
      <c r="BD276" t="s" s="15">
        <v>366</v>
      </c>
      <c r="BE276" t="s" s="15">
        <v>394</v>
      </c>
      <c r="BF276" s="14"/>
      <c r="BG276" s="14"/>
      <c r="BH276" s="14"/>
      <c r="BI276" s="14"/>
      <c r="BJ276" s="14"/>
      <c r="BK276" s="14"/>
      <c r="BL276" s="14"/>
      <c r="BM276" s="14"/>
      <c r="BN276" s="14"/>
      <c r="BO276" s="16"/>
      <c r="BP276" s="8"/>
    </row>
    <row r="277" ht="9" customHeight="1" hidden="1">
      <c r="A277" t="s" s="9">
        <v>915</v>
      </c>
      <c r="B277" s="11"/>
      <c r="C277" t="str" s="11" cm="1">
        <f t="array" ref="C277">_xlfn.IFERROR((VLOOKUP(A277,#REF!,2,FALSE)),"")</f>
      </c>
      <c r="D277" s="11"/>
      <c r="E277" s="11"/>
      <c r="F277" s="11"/>
      <c r="G277" t="s" s="10">
        <v>916</v>
      </c>
      <c r="H277" t="s" s="10">
        <v>917</v>
      </c>
      <c r="I277" t="s" s="10">
        <v>73</v>
      </c>
      <c r="J277" t="s" s="10">
        <v>74</v>
      </c>
      <c r="K277" t="s" s="10">
        <v>825</v>
      </c>
      <c r="L277" t="s" s="10">
        <v>76</v>
      </c>
      <c r="M277" t="s" s="10">
        <v>77</v>
      </c>
      <c r="N277" t="s" s="10">
        <v>916</v>
      </c>
      <c r="O277" t="s" s="10">
        <v>71</v>
      </c>
      <c r="P277" s="11"/>
      <c r="Q277" t="s" s="10">
        <v>78</v>
      </c>
      <c r="R277" t="s" s="10">
        <v>71</v>
      </c>
      <c r="S277" s="11"/>
      <c r="T277" s="11"/>
      <c r="U277" s="11"/>
      <c r="V277" t="s" s="10">
        <v>78</v>
      </c>
      <c r="W277" t="s" s="10">
        <v>915</v>
      </c>
      <c r="X277" t="s" s="10">
        <v>69</v>
      </c>
      <c r="Y277" s="11"/>
      <c r="Z277" t="s" s="10">
        <v>76</v>
      </c>
      <c r="AA277" s="11"/>
      <c r="AB277" t="s" s="10">
        <v>76</v>
      </c>
      <c r="AC277" s="11"/>
      <c r="AD277" s="11"/>
      <c r="AE277" s="11"/>
      <c r="AF277" s="11"/>
      <c r="AG277" s="11"/>
      <c r="AH277" t="s" s="10">
        <v>106</v>
      </c>
      <c r="AI277" t="s" s="10">
        <v>76</v>
      </c>
      <c r="AJ277" t="s" s="10">
        <v>76</v>
      </c>
      <c r="AK277" t="s" s="10">
        <v>79</v>
      </c>
      <c r="AL277" s="11"/>
      <c r="AM277" s="11"/>
      <c r="AN277" s="11"/>
      <c r="AO277" s="11"/>
      <c r="AP277" s="11"/>
      <c r="AQ277" s="11"/>
      <c r="AR277" s="11"/>
      <c r="AS277" s="11"/>
      <c r="AT277" s="11"/>
      <c r="AU277" s="11"/>
      <c r="AV277" s="11"/>
      <c r="AW277" s="11"/>
      <c r="AX277" s="11"/>
      <c r="AY277" s="11"/>
      <c r="AZ277" s="11"/>
      <c r="BA277" s="11"/>
      <c r="BB277" s="11"/>
      <c r="BC277" s="11"/>
      <c r="BD277" t="s" s="10">
        <v>310</v>
      </c>
      <c r="BE277" t="s" s="10">
        <v>311</v>
      </c>
      <c r="BF277" s="11"/>
      <c r="BG277" s="11"/>
      <c r="BH277" s="11"/>
      <c r="BI277" s="11"/>
      <c r="BJ277" s="11"/>
      <c r="BK277" s="11"/>
      <c r="BL277" s="11"/>
      <c r="BM277" s="11"/>
      <c r="BN277" s="11"/>
      <c r="BO277" s="12"/>
      <c r="BP277" s="8"/>
    </row>
    <row r="278" ht="9" customHeight="1" hidden="1">
      <c r="A278" t="s" s="13">
        <v>918</v>
      </c>
      <c r="B278" s="14"/>
      <c r="C278" s="14"/>
      <c r="D278" s="14"/>
      <c r="E278" t="s" s="15">
        <v>919</v>
      </c>
      <c r="F278" s="14"/>
      <c r="G278" t="s" s="15">
        <v>920</v>
      </c>
      <c r="H278" t="s" s="15">
        <v>921</v>
      </c>
      <c r="I278" t="s" s="15">
        <v>111</v>
      </c>
      <c r="J278" t="s" s="29">
        <v>469</v>
      </c>
      <c r="K278" t="s" s="22">
        <v>113</v>
      </c>
      <c r="L278" t="s" s="30">
        <v>76</v>
      </c>
      <c r="M278" t="s" s="15">
        <v>922</v>
      </c>
      <c r="N278" t="s" s="15">
        <v>922</v>
      </c>
      <c r="O278" t="s" s="15">
        <v>286</v>
      </c>
      <c r="P278" t="s" s="15">
        <v>922</v>
      </c>
      <c r="Q278" t="s" s="15">
        <v>922</v>
      </c>
      <c r="R278" t="s" s="15">
        <v>83</v>
      </c>
      <c r="S278" s="14"/>
      <c r="T278" s="14"/>
      <c r="U278" s="14"/>
      <c r="V278" t="s" s="15">
        <v>922</v>
      </c>
      <c r="W278" t="s" s="15">
        <v>922</v>
      </c>
      <c r="X278" t="s" s="15">
        <v>922</v>
      </c>
      <c r="Y278" s="14"/>
      <c r="Z278" t="s" s="15">
        <v>76</v>
      </c>
      <c r="AA278" s="14"/>
      <c r="AB278" t="s" s="15">
        <v>76</v>
      </c>
      <c r="AC278" s="14"/>
      <c r="AD278" s="14"/>
      <c r="AE278" s="14"/>
      <c r="AF278" s="14"/>
      <c r="AG278" t="s" s="15">
        <v>299</v>
      </c>
      <c r="AH278" t="s" s="15">
        <v>106</v>
      </c>
      <c r="AI278" t="s" s="15">
        <v>76</v>
      </c>
      <c r="AJ278" t="s" s="15">
        <v>76</v>
      </c>
      <c r="AK278" t="s" s="15">
        <v>79</v>
      </c>
      <c r="AL278" t="s" s="15">
        <v>115</v>
      </c>
      <c r="AM278" t="s" s="15">
        <v>294</v>
      </c>
      <c r="AN278" t="s" s="15">
        <v>83</v>
      </c>
      <c r="AO278" s="14"/>
      <c r="AP278" s="14"/>
      <c r="AQ278" s="14"/>
      <c r="AR278" s="14"/>
      <c r="AS278" t="s" s="15">
        <v>923</v>
      </c>
      <c r="AT278" t="s" s="15">
        <v>301</v>
      </c>
      <c r="AU278" t="s" s="15">
        <v>924</v>
      </c>
      <c r="AV278" s="14"/>
      <c r="AW278" s="14"/>
      <c r="AX278" s="14"/>
      <c r="AY278" s="14"/>
      <c r="AZ278" s="14"/>
      <c r="BA278" s="14"/>
      <c r="BB278" s="14"/>
      <c r="BC278" s="14"/>
      <c r="BD278" t="s" s="15">
        <v>310</v>
      </c>
      <c r="BE278" t="s" s="15">
        <v>311</v>
      </c>
      <c r="BF278" s="14"/>
      <c r="BG278" s="14"/>
      <c r="BH278" s="14"/>
      <c r="BI278" s="14"/>
      <c r="BJ278" s="14"/>
      <c r="BK278" s="14"/>
      <c r="BL278" s="14"/>
      <c r="BM278" s="14"/>
      <c r="BN278" s="14"/>
      <c r="BO278" s="16"/>
      <c r="BP278" s="8"/>
    </row>
    <row r="279" ht="15" customHeight="1" hidden="1">
      <c r="A279" t="s" s="9">
        <v>925</v>
      </c>
      <c r="B279" s="11"/>
      <c r="C279" t="str" s="11" cm="1">
        <f t="array" ref="C279">_xlfn.IFERROR((VLOOKUP(A279,#REF!,2,FALSE)),"")</f>
      </c>
      <c r="D279" s="11"/>
      <c r="E279" t="s" s="10">
        <v>617</v>
      </c>
      <c r="F279" s="11"/>
      <c r="G279" t="s" s="10">
        <v>926</v>
      </c>
      <c r="H279" t="s" s="10">
        <v>404</v>
      </c>
      <c r="I279" t="s" s="10">
        <v>111</v>
      </c>
      <c r="J279" t="s" s="10">
        <v>122</v>
      </c>
      <c r="K279" t="s" s="10">
        <v>140</v>
      </c>
      <c r="L279" t="s" s="10">
        <v>76</v>
      </c>
      <c r="M279" t="s" s="10">
        <v>77</v>
      </c>
      <c r="N279" t="s" s="10">
        <v>926</v>
      </c>
      <c r="O279" t="s" s="10">
        <v>286</v>
      </c>
      <c r="P279" s="11"/>
      <c r="Q279" t="s" s="10">
        <v>78</v>
      </c>
      <c r="R279" t="s" s="10">
        <v>323</v>
      </c>
      <c r="S279" s="11"/>
      <c r="T279" s="11"/>
      <c r="U279" s="11"/>
      <c r="V279" t="s" s="10">
        <v>78</v>
      </c>
      <c r="W279" s="11"/>
      <c r="X279" t="s" s="10">
        <v>69</v>
      </c>
      <c r="Y279" s="11"/>
      <c r="Z279" t="s" s="10">
        <v>76</v>
      </c>
      <c r="AA279" s="11"/>
      <c r="AB279" t="s" s="10">
        <v>324</v>
      </c>
      <c r="AC279" s="11"/>
      <c r="AD279" s="11"/>
      <c r="AE279" s="11"/>
      <c r="AF279" t="s" s="10">
        <v>404</v>
      </c>
      <c r="AG279" t="s" s="10">
        <v>299</v>
      </c>
      <c r="AH279" t="s" s="10">
        <v>114</v>
      </c>
      <c r="AI279" t="s" s="10">
        <v>332</v>
      </c>
      <c r="AJ279" t="s" s="10">
        <v>405</v>
      </c>
      <c r="AK279" t="s" s="10">
        <v>83</v>
      </c>
      <c r="AL279" t="s" s="10">
        <v>115</v>
      </c>
      <c r="AM279" s="11"/>
      <c r="AN279" s="11"/>
      <c r="AO279" s="11"/>
      <c r="AP279" s="11"/>
      <c r="AQ279" s="11"/>
      <c r="AR279" s="11"/>
      <c r="AS279" t="s" s="10">
        <v>927</v>
      </c>
      <c r="AT279" t="s" s="10">
        <v>301</v>
      </c>
      <c r="AU279" s="11"/>
      <c r="AV279" s="11"/>
      <c r="AW279" s="11"/>
      <c r="AX279" s="11"/>
      <c r="AY279" s="11"/>
      <c r="AZ279" s="11"/>
      <c r="BA279" s="11"/>
      <c r="BB279" s="11"/>
      <c r="BC279" s="11"/>
      <c r="BD279" t="s" s="10">
        <v>118</v>
      </c>
      <c r="BE279" s="11"/>
      <c r="BF279" s="11"/>
      <c r="BG279" s="11"/>
      <c r="BH279" s="11"/>
      <c r="BI279" s="11"/>
      <c r="BJ279" s="11"/>
      <c r="BK279" s="11"/>
      <c r="BL279" s="11"/>
      <c r="BM279" s="11"/>
      <c r="BN279" s="11"/>
      <c r="BO279" t="s" s="19">
        <v>115</v>
      </c>
      <c r="BP279" s="8"/>
    </row>
    <row r="280" ht="9" customHeight="1" hidden="1">
      <c r="A280" t="s" s="13">
        <v>928</v>
      </c>
      <c r="B280" s="14"/>
      <c r="C280" t="str" s="14" cm="1">
        <f t="array" ref="C280">_xlfn.IFERROR((VLOOKUP(A280,#REF!,2,FALSE)),"")</f>
      </c>
      <c r="D280" t="s" s="15">
        <v>70</v>
      </c>
      <c r="E280" t="s" s="15">
        <v>450</v>
      </c>
      <c r="F280" s="14"/>
      <c r="G280" t="s" s="15">
        <v>929</v>
      </c>
      <c r="H280" s="14"/>
      <c r="I280" t="s" s="15">
        <v>111</v>
      </c>
      <c r="J280" t="s" s="15">
        <v>122</v>
      </c>
      <c r="K280" t="s" s="15">
        <v>113</v>
      </c>
      <c r="L280" t="s" s="15">
        <v>76</v>
      </c>
      <c r="M280" t="s" s="15">
        <v>77</v>
      </c>
      <c r="N280" t="s" s="15">
        <v>929</v>
      </c>
      <c r="O280" s="14"/>
      <c r="P280" s="14"/>
      <c r="Q280" t="s" s="15">
        <v>69</v>
      </c>
      <c r="R280" t="s" s="15">
        <v>83</v>
      </c>
      <c r="S280" s="14"/>
      <c r="T280" s="14"/>
      <c r="U280" s="14"/>
      <c r="V280" t="s" s="15">
        <v>69</v>
      </c>
      <c r="W280" s="14"/>
      <c r="X280" t="s" s="15">
        <v>69</v>
      </c>
      <c r="Y280" s="14"/>
      <c r="Z280" t="s" s="15">
        <v>76</v>
      </c>
      <c r="AA280" s="14"/>
      <c r="AB280" t="s" s="15">
        <v>76</v>
      </c>
      <c r="AC280" t="s" s="15">
        <v>928</v>
      </c>
      <c r="AD280" s="14"/>
      <c r="AE280" s="14"/>
      <c r="AF280" s="14"/>
      <c r="AG280" t="s" s="15">
        <v>453</v>
      </c>
      <c r="AH280" t="s" s="15">
        <v>106</v>
      </c>
      <c r="AI280" t="s" s="15">
        <v>76</v>
      </c>
      <c r="AJ280" t="s" s="15">
        <v>76</v>
      </c>
      <c r="AK280" t="s" s="15">
        <v>79</v>
      </c>
      <c r="AL280" t="s" s="15">
        <v>115</v>
      </c>
      <c r="AM280" s="14"/>
      <c r="AN280" t="s" s="15">
        <v>187</v>
      </c>
      <c r="AO280" s="14"/>
      <c r="AP280" s="14"/>
      <c r="AQ280" s="14"/>
      <c r="AR280" s="14"/>
      <c r="AS280" t="s" s="15">
        <v>930</v>
      </c>
      <c r="AT280" s="14"/>
      <c r="AU280" s="14"/>
      <c r="AV280" s="14"/>
      <c r="AW280" s="14"/>
      <c r="AX280" s="14"/>
      <c r="AY280" s="14"/>
      <c r="AZ280" s="14"/>
      <c r="BA280" s="14"/>
      <c r="BB280" s="14"/>
      <c r="BC280" s="14"/>
      <c r="BD280" t="s" s="15">
        <v>310</v>
      </c>
      <c r="BE280" t="s" s="15">
        <v>356</v>
      </c>
      <c r="BF280" s="14"/>
      <c r="BG280" s="14"/>
      <c r="BH280" s="14"/>
      <c r="BI280" s="14"/>
      <c r="BJ280" s="14"/>
      <c r="BK280" s="14"/>
      <c r="BL280" s="14"/>
      <c r="BM280" s="14"/>
      <c r="BN280" s="14"/>
      <c r="BO280" s="16"/>
      <c r="BP280" s="8"/>
    </row>
    <row r="281" ht="15" customHeight="1" hidden="1">
      <c r="A281" t="s" s="9">
        <v>931</v>
      </c>
      <c r="B281" s="11"/>
      <c r="C281" t="str" s="11" cm="1">
        <f t="array" ref="C281">_xlfn.IFERROR((VLOOKUP(A281,#REF!,2,FALSE)),"")</f>
      </c>
      <c r="D281" s="11"/>
      <c r="E281" t="s" s="10">
        <v>932</v>
      </c>
      <c r="F281" s="11"/>
      <c r="G281" t="s" s="10">
        <v>933</v>
      </c>
      <c r="H281" t="s" s="10">
        <v>404</v>
      </c>
      <c r="I281" t="s" s="10">
        <v>111</v>
      </c>
      <c r="J281" t="s" s="10">
        <v>122</v>
      </c>
      <c r="K281" t="s" s="10">
        <v>140</v>
      </c>
      <c r="L281" t="s" s="10">
        <v>76</v>
      </c>
      <c r="M281" t="s" s="10">
        <v>77</v>
      </c>
      <c r="N281" t="s" s="10">
        <v>933</v>
      </c>
      <c r="O281" t="s" s="10">
        <v>286</v>
      </c>
      <c r="P281" s="11"/>
      <c r="Q281" t="s" s="10">
        <v>78</v>
      </c>
      <c r="R281" t="s" s="10">
        <v>323</v>
      </c>
      <c r="S281" s="11"/>
      <c r="T281" s="11"/>
      <c r="U281" s="11"/>
      <c r="V281" t="s" s="10">
        <v>78</v>
      </c>
      <c r="W281" s="11"/>
      <c r="X281" t="s" s="10">
        <v>69</v>
      </c>
      <c r="Y281" s="11"/>
      <c r="Z281" t="s" s="10">
        <v>76</v>
      </c>
      <c r="AA281" s="11"/>
      <c r="AB281" t="s" s="10">
        <v>324</v>
      </c>
      <c r="AC281" s="11"/>
      <c r="AD281" s="11"/>
      <c r="AE281" s="11"/>
      <c r="AF281" t="s" s="10">
        <v>404</v>
      </c>
      <c r="AG281" t="s" s="10">
        <v>299</v>
      </c>
      <c r="AH281" t="s" s="10">
        <v>114</v>
      </c>
      <c r="AI281" t="s" s="10">
        <v>332</v>
      </c>
      <c r="AJ281" t="s" s="10">
        <v>405</v>
      </c>
      <c r="AK281" t="s" s="10">
        <v>83</v>
      </c>
      <c r="AL281" t="s" s="10">
        <v>115</v>
      </c>
      <c r="AM281" s="11"/>
      <c r="AN281" s="11"/>
      <c r="AO281" s="11"/>
      <c r="AP281" s="11"/>
      <c r="AQ281" s="11"/>
      <c r="AR281" s="11"/>
      <c r="AS281" t="s" s="10">
        <v>934</v>
      </c>
      <c r="AT281" t="s" s="10">
        <v>301</v>
      </c>
      <c r="AU281" s="11"/>
      <c r="AV281" s="11"/>
      <c r="AW281" s="11"/>
      <c r="AX281" s="11"/>
      <c r="AY281" s="11"/>
      <c r="AZ281" s="11"/>
      <c r="BA281" s="11"/>
      <c r="BB281" s="11"/>
      <c r="BC281" s="11"/>
      <c r="BD281" t="s" s="10">
        <v>118</v>
      </c>
      <c r="BE281" s="11"/>
      <c r="BF281" s="11"/>
      <c r="BG281" s="11"/>
      <c r="BH281" s="11"/>
      <c r="BI281" s="11"/>
      <c r="BJ281" s="11"/>
      <c r="BK281" s="11"/>
      <c r="BL281" s="11"/>
      <c r="BM281" s="11"/>
      <c r="BN281" s="11"/>
      <c r="BO281" t="s" s="19">
        <v>115</v>
      </c>
      <c r="BP281" s="8"/>
    </row>
    <row r="282" ht="9" customHeight="1" hidden="1">
      <c r="A282" t="s" s="13">
        <v>935</v>
      </c>
      <c r="B282" s="14"/>
      <c r="C282" s="14"/>
      <c r="D282" s="14"/>
      <c r="E282" t="s" s="15">
        <v>936</v>
      </c>
      <c r="F282" s="14"/>
      <c r="G282" t="s" s="15">
        <v>920</v>
      </c>
      <c r="H282" t="s" s="15">
        <v>921</v>
      </c>
      <c r="I282" t="s" s="15">
        <v>111</v>
      </c>
      <c r="J282" t="s" s="29">
        <v>469</v>
      </c>
      <c r="K282" t="s" s="22">
        <v>113</v>
      </c>
      <c r="L282" t="s" s="30">
        <v>518</v>
      </c>
      <c r="M282" t="s" s="15">
        <v>922</v>
      </c>
      <c r="N282" t="s" s="15">
        <v>922</v>
      </c>
      <c r="O282" t="s" s="15">
        <v>286</v>
      </c>
      <c r="P282" t="s" s="15">
        <v>922</v>
      </c>
      <c r="Q282" t="s" s="15">
        <v>922</v>
      </c>
      <c r="R282" t="s" s="15">
        <v>83</v>
      </c>
      <c r="S282" s="14"/>
      <c r="T282" s="14"/>
      <c r="U282" s="14"/>
      <c r="V282" t="s" s="15">
        <v>922</v>
      </c>
      <c r="W282" t="s" s="15">
        <v>922</v>
      </c>
      <c r="X282" t="s" s="15">
        <v>922</v>
      </c>
      <c r="Y282" s="14"/>
      <c r="Z282" t="s" s="15">
        <v>552</v>
      </c>
      <c r="AA282" s="14"/>
      <c r="AB282" t="s" s="15">
        <v>553</v>
      </c>
      <c r="AC282" s="14"/>
      <c r="AD282" s="14"/>
      <c r="AE282" s="14"/>
      <c r="AF282" s="14"/>
      <c r="AG282" t="s" s="15">
        <v>299</v>
      </c>
      <c r="AH282" t="s" s="15">
        <v>106</v>
      </c>
      <c r="AI282" t="s" s="15">
        <v>76</v>
      </c>
      <c r="AJ282" t="s" s="15">
        <v>76</v>
      </c>
      <c r="AK282" t="s" s="15">
        <v>79</v>
      </c>
      <c r="AL282" t="s" s="15">
        <v>115</v>
      </c>
      <c r="AM282" t="s" s="15">
        <v>294</v>
      </c>
      <c r="AN282" t="s" s="15">
        <v>83</v>
      </c>
      <c r="AO282" s="14"/>
      <c r="AP282" s="14"/>
      <c r="AQ282" s="14"/>
      <c r="AR282" s="14"/>
      <c r="AS282" t="s" s="15">
        <v>937</v>
      </c>
      <c r="AT282" t="s" s="15">
        <v>301</v>
      </c>
      <c r="AU282" t="s" s="15">
        <v>924</v>
      </c>
      <c r="AV282" s="14"/>
      <c r="AW282" s="14"/>
      <c r="AX282" s="14"/>
      <c r="AY282" s="14"/>
      <c r="AZ282" s="14"/>
      <c r="BA282" s="14"/>
      <c r="BB282" s="14"/>
      <c r="BC282" s="14"/>
      <c r="BD282" t="s" s="15">
        <v>310</v>
      </c>
      <c r="BE282" t="s" s="15">
        <v>356</v>
      </c>
      <c r="BF282" s="14"/>
      <c r="BG282" s="14"/>
      <c r="BH282" s="14"/>
      <c r="BI282" s="14"/>
      <c r="BJ282" s="14"/>
      <c r="BK282" s="14"/>
      <c r="BL282" s="14"/>
      <c r="BM282" s="14"/>
      <c r="BN282" s="14"/>
      <c r="BO282" s="16"/>
      <c r="BP282" s="8"/>
    </row>
    <row r="283" ht="9" customHeight="1" hidden="1">
      <c r="A283" t="s" s="9">
        <v>938</v>
      </c>
      <c r="B283" s="11"/>
      <c r="C283" t="str" s="11" cm="1">
        <f t="array" ref="C283">_xlfn.IFERROR((VLOOKUP(A283,#REF!,2,FALSE)),"")</f>
      </c>
      <c r="D283" s="11"/>
      <c r="E283" s="11"/>
      <c r="F283" s="11"/>
      <c r="G283" t="s" s="10">
        <v>939</v>
      </c>
      <c r="H283" t="s" s="10">
        <v>940</v>
      </c>
      <c r="I283" t="s" s="10">
        <v>111</v>
      </c>
      <c r="J283" t="s" s="10">
        <v>469</v>
      </c>
      <c r="K283" t="s" s="10">
        <v>127</v>
      </c>
      <c r="L283" t="s" s="10">
        <v>76</v>
      </c>
      <c r="M283" t="s" s="10">
        <v>77</v>
      </c>
      <c r="N283" t="s" s="10">
        <v>939</v>
      </c>
      <c r="O283" s="11"/>
      <c r="P283" s="11"/>
      <c r="Q283" t="s" s="10">
        <v>69</v>
      </c>
      <c r="R283" t="s" s="10">
        <v>83</v>
      </c>
      <c r="S283" s="11"/>
      <c r="T283" s="11"/>
      <c r="U283" s="11"/>
      <c r="V283" t="s" s="10">
        <v>69</v>
      </c>
      <c r="W283" s="11"/>
      <c r="X283" t="s" s="10">
        <v>69</v>
      </c>
      <c r="Y283" s="11"/>
      <c r="Z283" t="s" s="10">
        <v>76</v>
      </c>
      <c r="AA283" s="11"/>
      <c r="AB283" t="s" s="10">
        <v>76</v>
      </c>
      <c r="AC283" t="s" s="10">
        <v>938</v>
      </c>
      <c r="AD283" s="11"/>
      <c r="AE283" s="11"/>
      <c r="AF283" s="11"/>
      <c r="AG283" s="11"/>
      <c r="AH283" s="11"/>
      <c r="AI283" t="s" s="10">
        <v>76</v>
      </c>
      <c r="AJ283" t="s" s="10">
        <v>76</v>
      </c>
      <c r="AK283" t="s" s="10">
        <v>79</v>
      </c>
      <c r="AL283" t="s" s="10">
        <v>115</v>
      </c>
      <c r="AM283" s="11"/>
      <c r="AN283" t="s" s="10">
        <v>187</v>
      </c>
      <c r="AO283" s="11"/>
      <c r="AP283" s="11"/>
      <c r="AQ283" s="11"/>
      <c r="AR283" s="11"/>
      <c r="AS283" t="s" s="10">
        <v>941</v>
      </c>
      <c r="AT283" s="11"/>
      <c r="AU283" s="11"/>
      <c r="AV283" s="11"/>
      <c r="AW283" s="11"/>
      <c r="AX283" s="11"/>
      <c r="AY283" s="11"/>
      <c r="AZ283" s="11"/>
      <c r="BA283" s="11"/>
      <c r="BB283" s="11"/>
      <c r="BC283" s="11"/>
      <c r="BD283" t="s" s="10">
        <v>310</v>
      </c>
      <c r="BE283" t="s" s="25">
        <v>419</v>
      </c>
      <c r="BF283" s="23"/>
      <c r="BG283" s="23"/>
      <c r="BH283" s="11"/>
      <c r="BI283" s="11"/>
      <c r="BJ283" s="11"/>
      <c r="BK283" s="11"/>
      <c r="BL283" s="11"/>
      <c r="BM283" s="11"/>
      <c r="BN283" s="11"/>
      <c r="BO283" s="12"/>
      <c r="BP283" s="8"/>
    </row>
    <row r="284" ht="9" customHeight="1" hidden="1">
      <c r="A284" t="s" s="13">
        <v>942</v>
      </c>
      <c r="B284" s="14"/>
      <c r="C284" t="str" s="14" cm="1">
        <f t="array" ref="C284">_xlfn.IFERROR((VLOOKUP(A284,#REF!,2,FALSE)),"")</f>
      </c>
      <c r="D284" s="14"/>
      <c r="E284" s="14"/>
      <c r="F284" s="14"/>
      <c r="G284" t="s" s="15">
        <v>943</v>
      </c>
      <c r="H284" t="s" s="15">
        <v>943</v>
      </c>
      <c r="I284" t="s" s="15">
        <v>73</v>
      </c>
      <c r="J284" t="s" s="15">
        <v>74</v>
      </c>
      <c r="K284" t="s" s="15">
        <v>140</v>
      </c>
      <c r="L284" t="s" s="15">
        <v>76</v>
      </c>
      <c r="M284" t="s" s="15">
        <v>77</v>
      </c>
      <c r="N284" t="s" s="15">
        <v>943</v>
      </c>
      <c r="O284" t="s" s="15">
        <v>71</v>
      </c>
      <c r="P284" s="14"/>
      <c r="Q284" t="s" s="15">
        <v>78</v>
      </c>
      <c r="R284" t="s" s="15">
        <v>71</v>
      </c>
      <c r="S284" s="14"/>
      <c r="T284" s="14"/>
      <c r="U284" s="14"/>
      <c r="V284" t="s" s="15">
        <v>78</v>
      </c>
      <c r="W284" t="s" s="15">
        <v>942</v>
      </c>
      <c r="X284" t="s" s="15">
        <v>69</v>
      </c>
      <c r="Y284" s="14"/>
      <c r="Z284" t="s" s="15">
        <v>76</v>
      </c>
      <c r="AA284" s="14"/>
      <c r="AB284" t="s" s="15">
        <v>76</v>
      </c>
      <c r="AC284" s="14"/>
      <c r="AD284" s="14"/>
      <c r="AE284" s="14"/>
      <c r="AF284" s="14"/>
      <c r="AG284" s="14"/>
      <c r="AH284" t="s" s="15">
        <v>106</v>
      </c>
      <c r="AI284" t="s" s="15">
        <v>76</v>
      </c>
      <c r="AJ284" t="s" s="15">
        <v>76</v>
      </c>
      <c r="AK284" t="s" s="15">
        <v>79</v>
      </c>
      <c r="AL284" s="14"/>
      <c r="AM284" s="14"/>
      <c r="AN284" s="14"/>
      <c r="AO284" s="14"/>
      <c r="AP284" s="14"/>
      <c r="AQ284" s="14"/>
      <c r="AR284" s="14"/>
      <c r="AS284" s="14"/>
      <c r="AT284" s="14"/>
      <c r="AU284" s="14"/>
      <c r="AV284" s="14"/>
      <c r="AW284" s="14"/>
      <c r="AX284" s="14"/>
      <c r="AY284" s="14"/>
      <c r="AZ284" s="14"/>
      <c r="BA284" s="14"/>
      <c r="BB284" s="14"/>
      <c r="BC284" s="14"/>
      <c r="BD284" t="s" s="15">
        <v>366</v>
      </c>
      <c r="BE284" t="s" s="15">
        <v>367</v>
      </c>
      <c r="BF284" s="14"/>
      <c r="BG284" s="14"/>
      <c r="BH284" s="14"/>
      <c r="BI284" s="14"/>
      <c r="BJ284" s="14"/>
      <c r="BK284" s="14"/>
      <c r="BL284" s="14"/>
      <c r="BM284" s="14"/>
      <c r="BN284" s="14"/>
      <c r="BO284" s="16"/>
      <c r="BP284" s="8"/>
    </row>
    <row r="285" ht="9" customHeight="1" hidden="1">
      <c r="A285" t="s" s="9">
        <v>944</v>
      </c>
      <c r="B285" s="11"/>
      <c r="C285" t="str" s="11" cm="1">
        <f t="array" ref="C285">_xlfn.IFERROR((VLOOKUP(A285,#REF!,2,FALSE)),"")</f>
      </c>
      <c r="D285" t="s" s="10">
        <v>70</v>
      </c>
      <c r="E285" s="11"/>
      <c r="F285" s="11"/>
      <c r="G285" t="s" s="10">
        <v>945</v>
      </c>
      <c r="H285" t="s" s="10">
        <v>945</v>
      </c>
      <c r="I285" t="s" s="10">
        <v>111</v>
      </c>
      <c r="J285" t="s" s="10">
        <v>469</v>
      </c>
      <c r="K285" t="s" s="10">
        <v>75</v>
      </c>
      <c r="L285" t="s" s="10">
        <v>76</v>
      </c>
      <c r="M285" t="s" s="10">
        <v>77</v>
      </c>
      <c r="N285" t="s" s="10">
        <v>945</v>
      </c>
      <c r="O285" s="11"/>
      <c r="P285" s="11"/>
      <c r="Q285" t="s" s="10">
        <v>78</v>
      </c>
      <c r="R285" t="s" s="10">
        <v>83</v>
      </c>
      <c r="S285" s="11"/>
      <c r="T285" s="11"/>
      <c r="U285" s="11"/>
      <c r="V285" t="s" s="10">
        <v>78</v>
      </c>
      <c r="W285" s="11"/>
      <c r="X285" t="s" s="10">
        <v>69</v>
      </c>
      <c r="Y285" s="11"/>
      <c r="Z285" t="s" s="10">
        <v>76</v>
      </c>
      <c r="AA285" s="11"/>
      <c r="AB285" t="s" s="10">
        <v>76</v>
      </c>
      <c r="AC285" s="11"/>
      <c r="AD285" s="11"/>
      <c r="AE285" s="11"/>
      <c r="AF285" s="11"/>
      <c r="AG285" s="11"/>
      <c r="AH285" s="11"/>
      <c r="AI285" t="s" s="10">
        <v>76</v>
      </c>
      <c r="AJ285" t="s" s="10">
        <v>76</v>
      </c>
      <c r="AK285" t="s" s="10">
        <v>79</v>
      </c>
      <c r="AL285" t="s" s="10">
        <v>115</v>
      </c>
      <c r="AM285" s="11"/>
      <c r="AN285" s="11"/>
      <c r="AO285" s="11"/>
      <c r="AP285" s="11"/>
      <c r="AQ285" s="11"/>
      <c r="AR285" s="11"/>
      <c r="AS285" t="s" s="10">
        <v>946</v>
      </c>
      <c r="AT285" s="11"/>
      <c r="AU285" s="11"/>
      <c r="AV285" s="11"/>
      <c r="AW285" s="11"/>
      <c r="AX285" s="11"/>
      <c r="AY285" s="11"/>
      <c r="AZ285" s="11"/>
      <c r="BA285" s="11"/>
      <c r="BB285" s="11"/>
      <c r="BC285" s="11"/>
      <c r="BD285" t="s" s="10">
        <v>366</v>
      </c>
      <c r="BE285" t="s" s="10">
        <v>367</v>
      </c>
      <c r="BF285" s="11"/>
      <c r="BG285" s="11"/>
      <c r="BH285" s="11"/>
      <c r="BI285" s="11"/>
      <c r="BJ285" s="11"/>
      <c r="BK285" s="11"/>
      <c r="BL285" s="11"/>
      <c r="BM285" s="11"/>
      <c r="BN285" s="11"/>
      <c r="BO285" s="12"/>
      <c r="BP285" s="8"/>
    </row>
    <row r="286" ht="9" customHeight="1" hidden="1">
      <c r="A286" t="s" s="13">
        <v>947</v>
      </c>
      <c r="B286" s="14"/>
      <c r="C286" t="str" s="14" cm="1">
        <f t="array" ref="C286">_xlfn.IFERROR((VLOOKUP(A286,#REF!,2,FALSE)),"")</f>
      </c>
      <c r="D286" t="s" s="15">
        <v>70</v>
      </c>
      <c r="E286" s="14"/>
      <c r="F286" s="14"/>
      <c r="G286" t="s" s="15">
        <v>813</v>
      </c>
      <c r="H286" t="s" s="15">
        <v>813</v>
      </c>
      <c r="I286" t="s" s="15">
        <v>111</v>
      </c>
      <c r="J286" t="s" s="15">
        <v>122</v>
      </c>
      <c r="K286" t="s" s="15">
        <v>75</v>
      </c>
      <c r="L286" t="s" s="15">
        <v>76</v>
      </c>
      <c r="M286" t="s" s="15">
        <v>77</v>
      </c>
      <c r="N286" t="s" s="15">
        <v>813</v>
      </c>
      <c r="O286" s="14"/>
      <c r="P286" s="14"/>
      <c r="Q286" t="s" s="15">
        <v>78</v>
      </c>
      <c r="R286" t="s" s="15">
        <v>83</v>
      </c>
      <c r="S286" s="14"/>
      <c r="T286" s="14"/>
      <c r="U286" s="14"/>
      <c r="V286" t="s" s="15">
        <v>78</v>
      </c>
      <c r="W286" s="14"/>
      <c r="X286" t="s" s="15">
        <v>69</v>
      </c>
      <c r="Y286" s="14"/>
      <c r="Z286" t="s" s="15">
        <v>76</v>
      </c>
      <c r="AA286" s="14"/>
      <c r="AB286" t="s" s="15">
        <v>76</v>
      </c>
      <c r="AC286" s="14"/>
      <c r="AD286" s="14"/>
      <c r="AE286" s="14"/>
      <c r="AF286" s="14"/>
      <c r="AG286" s="14"/>
      <c r="AH286" s="14"/>
      <c r="AI286" t="s" s="15">
        <v>76</v>
      </c>
      <c r="AJ286" t="s" s="15">
        <v>76</v>
      </c>
      <c r="AK286" t="s" s="15">
        <v>79</v>
      </c>
      <c r="AL286" t="s" s="15">
        <v>115</v>
      </c>
      <c r="AM286" s="14"/>
      <c r="AN286" s="14"/>
      <c r="AO286" s="14"/>
      <c r="AP286" s="14"/>
      <c r="AQ286" s="14"/>
      <c r="AR286" s="14"/>
      <c r="AS286" t="s" s="15">
        <v>948</v>
      </c>
      <c r="AT286" s="14"/>
      <c r="AU286" s="14"/>
      <c r="AV286" s="14"/>
      <c r="AW286" s="14"/>
      <c r="AX286" s="14"/>
      <c r="AY286" s="14"/>
      <c r="AZ286" s="14"/>
      <c r="BA286" s="14"/>
      <c r="BB286" s="14"/>
      <c r="BC286" s="14"/>
      <c r="BD286" t="s" s="15">
        <v>310</v>
      </c>
      <c r="BE286" t="s" s="15">
        <v>356</v>
      </c>
      <c r="BF286" s="14"/>
      <c r="BG286" s="14"/>
      <c r="BH286" s="14"/>
      <c r="BI286" s="14"/>
      <c r="BJ286" s="14"/>
      <c r="BK286" s="14"/>
      <c r="BL286" s="14"/>
      <c r="BM286" s="14"/>
      <c r="BN286" s="14"/>
      <c r="BO286" s="16"/>
      <c r="BP286" s="8"/>
    </row>
    <row r="287" ht="9" customHeight="1" hidden="1">
      <c r="A287" t="s" s="9">
        <v>949</v>
      </c>
      <c r="B287" s="11"/>
      <c r="C287" t="str" s="11" cm="1">
        <f t="array" ref="C287">_xlfn.IFERROR((VLOOKUP(A287,#REF!,2,FALSE)),"")</f>
      </c>
      <c r="D287" t="s" s="10">
        <v>70</v>
      </c>
      <c r="E287" s="11"/>
      <c r="F287" s="11"/>
      <c r="G287" t="s" s="10">
        <v>813</v>
      </c>
      <c r="H287" t="s" s="10">
        <v>813</v>
      </c>
      <c r="I287" t="s" s="10">
        <v>111</v>
      </c>
      <c r="J287" t="s" s="10">
        <v>122</v>
      </c>
      <c r="K287" t="s" s="10">
        <v>75</v>
      </c>
      <c r="L287" t="s" s="10">
        <v>76</v>
      </c>
      <c r="M287" t="s" s="10">
        <v>77</v>
      </c>
      <c r="N287" t="s" s="10">
        <v>813</v>
      </c>
      <c r="O287" s="11"/>
      <c r="P287" s="11"/>
      <c r="Q287" t="s" s="10">
        <v>78</v>
      </c>
      <c r="R287" t="s" s="10">
        <v>83</v>
      </c>
      <c r="S287" s="11"/>
      <c r="T287" s="11"/>
      <c r="U287" s="11"/>
      <c r="V287" t="s" s="10">
        <v>78</v>
      </c>
      <c r="W287" s="11"/>
      <c r="X287" t="s" s="10">
        <v>69</v>
      </c>
      <c r="Y287" s="11"/>
      <c r="Z287" t="s" s="10">
        <v>76</v>
      </c>
      <c r="AA287" s="11"/>
      <c r="AB287" t="s" s="10">
        <v>76</v>
      </c>
      <c r="AC287" s="11"/>
      <c r="AD287" s="11"/>
      <c r="AE287" s="11"/>
      <c r="AF287" s="11"/>
      <c r="AG287" s="11"/>
      <c r="AH287" s="11"/>
      <c r="AI287" t="s" s="10">
        <v>76</v>
      </c>
      <c r="AJ287" t="s" s="10">
        <v>76</v>
      </c>
      <c r="AK287" t="s" s="10">
        <v>79</v>
      </c>
      <c r="AL287" t="s" s="10">
        <v>115</v>
      </c>
      <c r="AM287" s="11"/>
      <c r="AN287" s="11"/>
      <c r="AO287" s="11"/>
      <c r="AP287" s="11"/>
      <c r="AQ287" s="11"/>
      <c r="AR287" s="11"/>
      <c r="AS287" t="s" s="10">
        <v>950</v>
      </c>
      <c r="AT287" s="11"/>
      <c r="AU287" s="11"/>
      <c r="AV287" s="11"/>
      <c r="AW287" s="11"/>
      <c r="AX287" s="11"/>
      <c r="AY287" s="11"/>
      <c r="AZ287" s="11"/>
      <c r="BA287" s="11"/>
      <c r="BB287" s="11"/>
      <c r="BC287" s="11"/>
      <c r="BD287" t="s" s="10">
        <v>83</v>
      </c>
      <c r="BE287" s="11"/>
      <c r="BF287" s="11"/>
      <c r="BG287" s="11"/>
      <c r="BH287" s="11"/>
      <c r="BI287" s="11"/>
      <c r="BJ287" s="11"/>
      <c r="BK287" s="11"/>
      <c r="BL287" s="11"/>
      <c r="BM287" s="11"/>
      <c r="BN287" s="11"/>
      <c r="BO287" s="12"/>
      <c r="BP287" s="8"/>
    </row>
    <row r="288" ht="9" customHeight="1" hidden="1">
      <c r="A288" t="s" s="13">
        <v>951</v>
      </c>
      <c r="B288" s="14"/>
      <c r="C288" t="str" s="14" cm="1">
        <f t="array" ref="C288">_xlfn.IFERROR((VLOOKUP(A288,#REF!,2,FALSE)),"")</f>
      </c>
      <c r="D288" t="s" s="15">
        <v>70</v>
      </c>
      <c r="E288" t="s" s="15">
        <v>450</v>
      </c>
      <c r="F288" s="14"/>
      <c r="G288" t="s" s="15">
        <v>952</v>
      </c>
      <c r="H288" t="s" s="15">
        <v>952</v>
      </c>
      <c r="I288" t="s" s="15">
        <v>111</v>
      </c>
      <c r="J288" t="s" s="15">
        <v>452</v>
      </c>
      <c r="K288" t="s" s="15">
        <v>75</v>
      </c>
      <c r="L288" t="s" s="15">
        <v>76</v>
      </c>
      <c r="M288" t="s" s="15">
        <v>77</v>
      </c>
      <c r="N288" s="14"/>
      <c r="O288" s="14"/>
      <c r="P288" s="14"/>
      <c r="Q288" t="s" s="15">
        <v>78</v>
      </c>
      <c r="R288" t="s" s="15">
        <v>83</v>
      </c>
      <c r="S288" s="14"/>
      <c r="T288" s="14"/>
      <c r="U288" s="14"/>
      <c r="V288" t="s" s="15">
        <v>78</v>
      </c>
      <c r="W288" s="14"/>
      <c r="X288" t="s" s="15">
        <v>78</v>
      </c>
      <c r="Y288" s="14"/>
      <c r="Z288" t="s" s="15">
        <v>76</v>
      </c>
      <c r="AA288" s="14"/>
      <c r="AB288" t="s" s="15">
        <v>76</v>
      </c>
      <c r="AC288" s="14"/>
      <c r="AD288" s="14"/>
      <c r="AE288" s="14"/>
      <c r="AF288" s="14"/>
      <c r="AG288" t="s" s="15">
        <v>453</v>
      </c>
      <c r="AH288" t="s" s="15">
        <v>106</v>
      </c>
      <c r="AI288" t="s" s="15">
        <v>76</v>
      </c>
      <c r="AJ288" t="s" s="15">
        <v>76</v>
      </c>
      <c r="AK288" t="s" s="15">
        <v>79</v>
      </c>
      <c r="AL288" t="s" s="15">
        <v>115</v>
      </c>
      <c r="AM288" s="14"/>
      <c r="AN288" s="14"/>
      <c r="AO288" s="14"/>
      <c r="AP288" s="14"/>
      <c r="AQ288" s="14"/>
      <c r="AR288" s="14"/>
      <c r="AS288" t="s" s="15">
        <v>953</v>
      </c>
      <c r="AT288" s="14"/>
      <c r="AU288" s="14"/>
      <c r="AV288" s="14"/>
      <c r="AW288" s="14"/>
      <c r="AX288" s="14"/>
      <c r="AY288" s="14"/>
      <c r="AZ288" s="14"/>
      <c r="BA288" s="14"/>
      <c r="BB288" s="14"/>
      <c r="BC288" s="14"/>
      <c r="BD288" t="s" s="15">
        <v>83</v>
      </c>
      <c r="BE288" s="14"/>
      <c r="BF288" s="14"/>
      <c r="BG288" s="14"/>
      <c r="BH288" s="14"/>
      <c r="BI288" s="14"/>
      <c r="BJ288" s="14"/>
      <c r="BK288" s="14"/>
      <c r="BL288" s="14"/>
      <c r="BM288" s="14"/>
      <c r="BN288" s="14"/>
      <c r="BO288" s="16"/>
      <c r="BP288" s="8"/>
    </row>
    <row r="289" ht="9" customHeight="1" hidden="1">
      <c r="A289" t="s" s="9">
        <v>954</v>
      </c>
      <c r="B289" s="11"/>
      <c r="C289" t="str" s="11" cm="1">
        <f t="array" ref="C289">_xlfn.IFERROR((VLOOKUP(A289,#REF!,2,FALSE)),"")</f>
      </c>
      <c r="D289" t="s" s="10">
        <v>70</v>
      </c>
      <c r="E289" t="s" s="10">
        <v>450</v>
      </c>
      <c r="F289" s="11"/>
      <c r="G289" t="s" s="10">
        <v>952</v>
      </c>
      <c r="H289" t="s" s="10">
        <v>952</v>
      </c>
      <c r="I289" t="s" s="10">
        <v>111</v>
      </c>
      <c r="J289" t="s" s="10">
        <v>452</v>
      </c>
      <c r="K289" t="s" s="10">
        <v>75</v>
      </c>
      <c r="L289" t="s" s="10">
        <v>76</v>
      </c>
      <c r="M289" t="s" s="10">
        <v>77</v>
      </c>
      <c r="N289" s="11"/>
      <c r="O289" s="11"/>
      <c r="P289" s="11"/>
      <c r="Q289" t="s" s="10">
        <v>78</v>
      </c>
      <c r="R289" t="s" s="10">
        <v>83</v>
      </c>
      <c r="S289" s="11"/>
      <c r="T289" s="11"/>
      <c r="U289" s="11"/>
      <c r="V289" t="s" s="10">
        <v>78</v>
      </c>
      <c r="W289" s="11"/>
      <c r="X289" t="s" s="10">
        <v>78</v>
      </c>
      <c r="Y289" s="11"/>
      <c r="Z289" t="s" s="10">
        <v>76</v>
      </c>
      <c r="AA289" s="11"/>
      <c r="AB289" t="s" s="10">
        <v>76</v>
      </c>
      <c r="AC289" s="11"/>
      <c r="AD289" s="11"/>
      <c r="AE289" s="11"/>
      <c r="AF289" s="11"/>
      <c r="AG289" t="s" s="10">
        <v>453</v>
      </c>
      <c r="AH289" t="s" s="10">
        <v>106</v>
      </c>
      <c r="AI289" t="s" s="10">
        <v>76</v>
      </c>
      <c r="AJ289" t="s" s="10">
        <v>76</v>
      </c>
      <c r="AK289" t="s" s="10">
        <v>79</v>
      </c>
      <c r="AL289" t="s" s="10">
        <v>115</v>
      </c>
      <c r="AM289" s="11"/>
      <c r="AN289" s="11"/>
      <c r="AO289" s="11"/>
      <c r="AP289" s="11"/>
      <c r="AQ289" s="11"/>
      <c r="AR289" s="11"/>
      <c r="AS289" t="s" s="10">
        <v>955</v>
      </c>
      <c r="AT289" s="11"/>
      <c r="AU289" s="11"/>
      <c r="AV289" s="11"/>
      <c r="AW289" s="11"/>
      <c r="AX289" s="11"/>
      <c r="AY289" s="11"/>
      <c r="AZ289" s="11"/>
      <c r="BA289" s="11"/>
      <c r="BB289" s="11"/>
      <c r="BC289" s="11"/>
      <c r="BD289" t="s" s="10">
        <v>310</v>
      </c>
      <c r="BE289" s="11"/>
      <c r="BF289" s="11"/>
      <c r="BG289" s="11"/>
      <c r="BH289" s="11"/>
      <c r="BI289" s="11"/>
      <c r="BJ289" s="11"/>
      <c r="BK289" s="11"/>
      <c r="BL289" s="11"/>
      <c r="BM289" s="11"/>
      <c r="BN289" s="11"/>
      <c r="BO289" s="12"/>
      <c r="BP289" s="8"/>
    </row>
    <row r="290" ht="9" customHeight="1" hidden="1">
      <c r="A290" t="s" s="13">
        <v>956</v>
      </c>
      <c r="B290" s="14"/>
      <c r="C290" t="str" s="14" cm="1">
        <f t="array" ref="C290">_xlfn.IFERROR((VLOOKUP(A290,#REF!,2,FALSE)),"")</f>
      </c>
      <c r="D290" t="s" s="15">
        <v>70</v>
      </c>
      <c r="E290" t="s" s="15">
        <v>957</v>
      </c>
      <c r="F290" s="14"/>
      <c r="G290" t="s" s="15">
        <v>958</v>
      </c>
      <c r="H290" t="s" s="15">
        <v>958</v>
      </c>
      <c r="I290" t="s" s="15">
        <v>111</v>
      </c>
      <c r="J290" t="s" s="15">
        <v>452</v>
      </c>
      <c r="K290" t="s" s="15">
        <v>75</v>
      </c>
      <c r="L290" t="s" s="15">
        <v>76</v>
      </c>
      <c r="M290" t="s" s="15">
        <v>77</v>
      </c>
      <c r="N290" s="14"/>
      <c r="O290" s="14"/>
      <c r="P290" s="14"/>
      <c r="Q290" t="s" s="15">
        <v>78</v>
      </c>
      <c r="R290" t="s" s="15">
        <v>83</v>
      </c>
      <c r="S290" s="14"/>
      <c r="T290" s="14"/>
      <c r="U290" s="14"/>
      <c r="V290" t="s" s="15">
        <v>78</v>
      </c>
      <c r="W290" s="14"/>
      <c r="X290" t="s" s="15">
        <v>78</v>
      </c>
      <c r="Y290" s="14"/>
      <c r="Z290" t="s" s="15">
        <v>76</v>
      </c>
      <c r="AA290" s="14"/>
      <c r="AB290" t="s" s="15">
        <v>76</v>
      </c>
      <c r="AC290" s="14"/>
      <c r="AD290" s="14"/>
      <c r="AE290" s="14"/>
      <c r="AF290" s="14"/>
      <c r="AG290" t="s" s="15">
        <v>453</v>
      </c>
      <c r="AH290" t="s" s="15">
        <v>106</v>
      </c>
      <c r="AI290" t="s" s="15">
        <v>76</v>
      </c>
      <c r="AJ290" t="s" s="15">
        <v>76</v>
      </c>
      <c r="AK290" t="s" s="15">
        <v>79</v>
      </c>
      <c r="AL290" t="s" s="15">
        <v>115</v>
      </c>
      <c r="AM290" s="14"/>
      <c r="AN290" s="14"/>
      <c r="AO290" s="14"/>
      <c r="AP290" s="14"/>
      <c r="AQ290" s="14"/>
      <c r="AR290" s="14"/>
      <c r="AS290" t="s" s="15">
        <v>959</v>
      </c>
      <c r="AT290" s="14"/>
      <c r="AU290" s="14"/>
      <c r="AV290" s="14"/>
      <c r="AW290" s="14"/>
      <c r="AX290" s="14"/>
      <c r="AY290" s="14"/>
      <c r="AZ290" s="14"/>
      <c r="BA290" s="14"/>
      <c r="BB290" s="14"/>
      <c r="BC290" s="14"/>
      <c r="BD290" t="s" s="15">
        <v>310</v>
      </c>
      <c r="BE290" s="14"/>
      <c r="BF290" s="14"/>
      <c r="BG290" s="14"/>
      <c r="BH290" s="14"/>
      <c r="BI290" s="14"/>
      <c r="BJ290" s="14"/>
      <c r="BK290" s="14"/>
      <c r="BL290" s="14"/>
      <c r="BM290" s="14"/>
      <c r="BN290" s="14"/>
      <c r="BO290" s="16"/>
      <c r="BP290" s="8"/>
    </row>
    <row r="291" ht="15" customHeight="1" hidden="1">
      <c r="A291" t="s" s="9">
        <v>960</v>
      </c>
      <c r="B291" s="11"/>
      <c r="C291" t="str" s="11" cm="1">
        <f t="array" ref="C291">_xlfn.IFERROR((VLOOKUP(A291,#REF!,2,FALSE)),"")</f>
      </c>
      <c r="D291" s="11"/>
      <c r="E291" t="s" s="10">
        <v>961</v>
      </c>
      <c r="F291" s="11"/>
      <c r="G291" t="s" s="10">
        <v>962</v>
      </c>
      <c r="H291" t="s" s="10">
        <v>963</v>
      </c>
      <c r="I291" t="s" s="10">
        <v>111</v>
      </c>
      <c r="J291" t="s" s="10">
        <v>469</v>
      </c>
      <c r="K291" t="s" s="10">
        <v>127</v>
      </c>
      <c r="L291" t="s" s="10">
        <v>518</v>
      </c>
      <c r="M291" t="s" s="10">
        <v>77</v>
      </c>
      <c r="N291" t="s" s="10">
        <v>964</v>
      </c>
      <c r="O291" s="11"/>
      <c r="P291" s="11"/>
      <c r="Q291" t="s" s="10">
        <v>69</v>
      </c>
      <c r="R291" t="s" s="10">
        <v>83</v>
      </c>
      <c r="S291" s="11"/>
      <c r="T291" s="11"/>
      <c r="U291" s="11"/>
      <c r="V291" t="s" s="10">
        <v>69</v>
      </c>
      <c r="W291" s="11"/>
      <c r="X291" t="s" s="10">
        <v>69</v>
      </c>
      <c r="Y291" s="11"/>
      <c r="Z291" t="s" s="10">
        <v>965</v>
      </c>
      <c r="AA291" s="11"/>
      <c r="AB291" t="s" s="10">
        <v>206</v>
      </c>
      <c r="AC291" t="s" s="10">
        <v>960</v>
      </c>
      <c r="AD291" s="11"/>
      <c r="AE291" s="11"/>
      <c r="AF291" t="s" s="10">
        <v>966</v>
      </c>
      <c r="AG291" t="s" s="10">
        <v>299</v>
      </c>
      <c r="AH291" t="s" s="10">
        <v>114</v>
      </c>
      <c r="AI291" t="s" s="10">
        <v>332</v>
      </c>
      <c r="AJ291" t="s" s="10">
        <v>523</v>
      </c>
      <c r="AK291" t="s" s="10">
        <v>292</v>
      </c>
      <c r="AL291" t="s" s="10">
        <v>115</v>
      </c>
      <c r="AM291" s="11"/>
      <c r="AN291" t="s" s="10">
        <v>128</v>
      </c>
      <c r="AO291" s="11"/>
      <c r="AP291" s="11"/>
      <c r="AQ291" s="11"/>
      <c r="AR291" s="11"/>
      <c r="AS291" t="s" s="10">
        <v>967</v>
      </c>
      <c r="AT291" t="s" s="10">
        <v>301</v>
      </c>
      <c r="AU291" s="11"/>
      <c r="AV291" s="11"/>
      <c r="AW291" s="11"/>
      <c r="AX291" s="11"/>
      <c r="AY291" s="11"/>
      <c r="AZ291" s="11"/>
      <c r="BA291" s="11"/>
      <c r="BB291" s="11"/>
      <c r="BC291" s="11"/>
      <c r="BD291" t="s" s="10">
        <v>118</v>
      </c>
      <c r="BE291" s="11"/>
      <c r="BF291" s="11"/>
      <c r="BG291" s="11"/>
      <c r="BH291" s="11"/>
      <c r="BI291" s="11"/>
      <c r="BJ291" s="11"/>
      <c r="BK291" s="11"/>
      <c r="BL291" s="11"/>
      <c r="BM291" s="11"/>
      <c r="BN291" s="11"/>
      <c r="BO291" s="12"/>
      <c r="BP291" s="8"/>
    </row>
    <row r="292" ht="9" customHeight="1" hidden="1">
      <c r="A292" t="s" s="13">
        <v>968</v>
      </c>
      <c r="B292" s="14"/>
      <c r="C292" t="str" s="14" cm="1">
        <f t="array" ref="C292">_xlfn.IFERROR((VLOOKUP(A292,#REF!,2,FALSE)),"")</f>
      </c>
      <c r="D292" s="14"/>
      <c r="E292" t="s" s="15">
        <v>961</v>
      </c>
      <c r="F292" s="14"/>
      <c r="G292" t="s" s="15">
        <v>964</v>
      </c>
      <c r="H292" t="s" s="15">
        <v>963</v>
      </c>
      <c r="I292" t="s" s="15">
        <v>111</v>
      </c>
      <c r="J292" t="s" s="15">
        <v>469</v>
      </c>
      <c r="K292" t="s" s="15">
        <v>127</v>
      </c>
      <c r="L292" t="s" s="15">
        <v>518</v>
      </c>
      <c r="M292" t="s" s="15">
        <v>77</v>
      </c>
      <c r="N292" t="s" s="15">
        <v>969</v>
      </c>
      <c r="O292" s="14"/>
      <c r="P292" s="14"/>
      <c r="Q292" t="s" s="15">
        <v>69</v>
      </c>
      <c r="R292" t="s" s="15">
        <v>83</v>
      </c>
      <c r="S292" s="14"/>
      <c r="T292" s="14"/>
      <c r="U292" s="14"/>
      <c r="V292" t="s" s="15">
        <v>69</v>
      </c>
      <c r="W292" s="14"/>
      <c r="X292" t="s" s="15">
        <v>69</v>
      </c>
      <c r="Y292" s="14"/>
      <c r="Z292" t="s" s="15">
        <v>965</v>
      </c>
      <c r="AA292" s="14"/>
      <c r="AB292" t="s" s="15">
        <v>206</v>
      </c>
      <c r="AC292" t="s" s="15">
        <v>968</v>
      </c>
      <c r="AD292" s="14"/>
      <c r="AE292" s="14"/>
      <c r="AF292" t="s" s="15">
        <v>966</v>
      </c>
      <c r="AG292" t="s" s="15">
        <v>299</v>
      </c>
      <c r="AH292" t="s" s="15">
        <v>114</v>
      </c>
      <c r="AI292" t="s" s="15">
        <v>332</v>
      </c>
      <c r="AJ292" t="s" s="15">
        <v>523</v>
      </c>
      <c r="AK292" t="s" s="15">
        <v>292</v>
      </c>
      <c r="AL292" t="s" s="15">
        <v>115</v>
      </c>
      <c r="AM292" s="14"/>
      <c r="AN292" t="s" s="15">
        <v>128</v>
      </c>
      <c r="AO292" s="14"/>
      <c r="AP292" s="14"/>
      <c r="AQ292" s="14"/>
      <c r="AR292" s="14"/>
      <c r="AS292" t="s" s="15">
        <v>970</v>
      </c>
      <c r="AT292" t="s" s="15">
        <v>301</v>
      </c>
      <c r="AU292" s="14"/>
      <c r="AV292" s="14"/>
      <c r="AW292" s="14"/>
      <c r="AX292" s="14"/>
      <c r="AY292" s="14"/>
      <c r="AZ292" s="14"/>
      <c r="BA292" s="14"/>
      <c r="BB292" s="14"/>
      <c r="BC292" s="14"/>
      <c r="BD292" t="s" s="15">
        <v>118</v>
      </c>
      <c r="BE292" s="14"/>
      <c r="BF292" s="14"/>
      <c r="BG292" s="14"/>
      <c r="BH292" s="14"/>
      <c r="BI292" s="14"/>
      <c r="BJ292" s="14"/>
      <c r="BK292" s="14"/>
      <c r="BL292" s="14"/>
      <c r="BM292" s="14"/>
      <c r="BN292" s="14"/>
      <c r="BO292" s="16"/>
      <c r="BP292" s="8"/>
    </row>
    <row r="293" ht="9" customHeight="1" hidden="1">
      <c r="A293" t="s" s="9">
        <v>971</v>
      </c>
      <c r="B293" s="11"/>
      <c r="C293" t="str" s="11" cm="1">
        <f t="array" ref="C293">_xlfn.IFERROR((VLOOKUP(A293,#REF!,2,FALSE)),"")</f>
      </c>
      <c r="D293" t="s" s="10">
        <v>70</v>
      </c>
      <c r="E293" s="11"/>
      <c r="F293" s="11"/>
      <c r="G293" t="s" s="10">
        <v>972</v>
      </c>
      <c r="H293" t="s" s="10">
        <v>945</v>
      </c>
      <c r="I293" t="s" s="10">
        <v>111</v>
      </c>
      <c r="J293" t="s" s="10">
        <v>122</v>
      </c>
      <c r="K293" t="s" s="10">
        <v>75</v>
      </c>
      <c r="L293" t="s" s="10">
        <v>76</v>
      </c>
      <c r="M293" t="s" s="10">
        <v>77</v>
      </c>
      <c r="N293" t="s" s="10">
        <v>972</v>
      </c>
      <c r="O293" s="11"/>
      <c r="P293" s="11"/>
      <c r="Q293" t="s" s="10">
        <v>78</v>
      </c>
      <c r="R293" t="s" s="10">
        <v>83</v>
      </c>
      <c r="S293" s="11"/>
      <c r="T293" s="11"/>
      <c r="U293" s="11"/>
      <c r="V293" t="s" s="10">
        <v>78</v>
      </c>
      <c r="W293" s="11"/>
      <c r="X293" t="s" s="10">
        <v>69</v>
      </c>
      <c r="Y293" s="11"/>
      <c r="Z293" t="s" s="10">
        <v>76</v>
      </c>
      <c r="AA293" s="11"/>
      <c r="AB293" t="s" s="10">
        <v>76</v>
      </c>
      <c r="AC293" s="11"/>
      <c r="AD293" s="11"/>
      <c r="AE293" s="11"/>
      <c r="AF293" s="11"/>
      <c r="AG293" s="11"/>
      <c r="AH293" s="11"/>
      <c r="AI293" t="s" s="10">
        <v>76</v>
      </c>
      <c r="AJ293" t="s" s="10">
        <v>76</v>
      </c>
      <c r="AK293" t="s" s="10">
        <v>79</v>
      </c>
      <c r="AL293" t="s" s="10">
        <v>115</v>
      </c>
      <c r="AM293" s="11"/>
      <c r="AN293" s="11"/>
      <c r="AO293" s="11"/>
      <c r="AP293" s="11"/>
      <c r="AQ293" s="11"/>
      <c r="AR293" s="11"/>
      <c r="AS293" t="s" s="10">
        <v>973</v>
      </c>
      <c r="AT293" s="11"/>
      <c r="AU293" s="11"/>
      <c r="AV293" s="11"/>
      <c r="AW293" s="11"/>
      <c r="AX293" s="11"/>
      <c r="AY293" s="11"/>
      <c r="AZ293" s="11"/>
      <c r="BA293" s="11"/>
      <c r="BB293" s="11"/>
      <c r="BC293" s="11"/>
      <c r="BD293" t="s" s="10">
        <v>310</v>
      </c>
      <c r="BE293" s="11"/>
      <c r="BF293" s="11"/>
      <c r="BG293" s="11"/>
      <c r="BH293" s="11"/>
      <c r="BI293" s="11"/>
      <c r="BJ293" s="11"/>
      <c r="BK293" s="11"/>
      <c r="BL293" s="11"/>
      <c r="BM293" s="11"/>
      <c r="BN293" s="11"/>
      <c r="BO293" s="12"/>
      <c r="BP293" s="8"/>
    </row>
    <row r="294" ht="9" customHeight="1" hidden="1">
      <c r="A294" t="s" s="13">
        <v>974</v>
      </c>
      <c r="B294" s="14"/>
      <c r="C294" t="str" s="14" cm="1">
        <f t="array" ref="C294">_xlfn.IFERROR((VLOOKUP(A294,#REF!,2,FALSE)),"")</f>
      </c>
      <c r="D294" t="s" s="15">
        <v>70</v>
      </c>
      <c r="E294" s="14"/>
      <c r="F294" s="14"/>
      <c r="G294" t="s" s="15">
        <v>972</v>
      </c>
      <c r="H294" t="s" s="15">
        <v>945</v>
      </c>
      <c r="I294" t="s" s="15">
        <v>111</v>
      </c>
      <c r="J294" t="s" s="15">
        <v>122</v>
      </c>
      <c r="K294" t="s" s="15">
        <v>75</v>
      </c>
      <c r="L294" t="s" s="15">
        <v>76</v>
      </c>
      <c r="M294" t="s" s="15">
        <v>77</v>
      </c>
      <c r="N294" t="s" s="15">
        <v>972</v>
      </c>
      <c r="O294" s="14"/>
      <c r="P294" s="14"/>
      <c r="Q294" t="s" s="15">
        <v>78</v>
      </c>
      <c r="R294" t="s" s="15">
        <v>83</v>
      </c>
      <c r="S294" s="14"/>
      <c r="T294" s="14"/>
      <c r="U294" s="14"/>
      <c r="V294" t="s" s="15">
        <v>78</v>
      </c>
      <c r="W294" s="14"/>
      <c r="X294" t="s" s="15">
        <v>69</v>
      </c>
      <c r="Y294" s="14"/>
      <c r="Z294" t="s" s="15">
        <v>76</v>
      </c>
      <c r="AA294" s="14"/>
      <c r="AB294" t="s" s="15">
        <v>76</v>
      </c>
      <c r="AC294" s="14"/>
      <c r="AD294" s="14"/>
      <c r="AE294" s="14"/>
      <c r="AF294" s="14"/>
      <c r="AG294" s="14"/>
      <c r="AH294" s="14"/>
      <c r="AI294" t="s" s="15">
        <v>76</v>
      </c>
      <c r="AJ294" t="s" s="15">
        <v>76</v>
      </c>
      <c r="AK294" t="s" s="15">
        <v>79</v>
      </c>
      <c r="AL294" t="s" s="15">
        <v>115</v>
      </c>
      <c r="AM294" s="14"/>
      <c r="AN294" s="14"/>
      <c r="AO294" s="14"/>
      <c r="AP294" s="14"/>
      <c r="AQ294" s="14"/>
      <c r="AR294" s="14"/>
      <c r="AS294" t="s" s="15">
        <v>975</v>
      </c>
      <c r="AT294" s="14"/>
      <c r="AU294" s="14"/>
      <c r="AV294" s="14"/>
      <c r="AW294" s="14"/>
      <c r="AX294" s="14"/>
      <c r="AY294" s="14"/>
      <c r="AZ294" s="14"/>
      <c r="BA294" s="14"/>
      <c r="BB294" s="14"/>
      <c r="BC294" s="14"/>
      <c r="BD294" t="s" s="15">
        <v>310</v>
      </c>
      <c r="BE294" s="14"/>
      <c r="BF294" s="14"/>
      <c r="BG294" s="14"/>
      <c r="BH294" s="14"/>
      <c r="BI294" s="14"/>
      <c r="BJ294" s="14"/>
      <c r="BK294" s="14"/>
      <c r="BL294" s="14"/>
      <c r="BM294" s="14"/>
      <c r="BN294" s="14"/>
      <c r="BO294" s="16"/>
      <c r="BP294" s="8"/>
    </row>
    <row r="295" ht="9" customHeight="1" hidden="1">
      <c r="A295" t="s" s="9">
        <v>976</v>
      </c>
      <c r="B295" s="11"/>
      <c r="C295" t="str" s="11" cm="1">
        <f t="array" ref="C295">_xlfn.IFERROR((VLOOKUP(A295,#REF!,2,FALSE)),"")</f>
      </c>
      <c r="D295" t="s" s="10">
        <v>70</v>
      </c>
      <c r="E295" s="11"/>
      <c r="F295" s="11"/>
      <c r="G295" t="s" s="10">
        <v>972</v>
      </c>
      <c r="H295" t="s" s="10">
        <v>945</v>
      </c>
      <c r="I295" t="s" s="10">
        <v>111</v>
      </c>
      <c r="J295" t="s" s="10">
        <v>122</v>
      </c>
      <c r="K295" t="s" s="10">
        <v>75</v>
      </c>
      <c r="L295" t="s" s="10">
        <v>76</v>
      </c>
      <c r="M295" t="s" s="10">
        <v>77</v>
      </c>
      <c r="N295" t="s" s="10">
        <v>972</v>
      </c>
      <c r="O295" s="11"/>
      <c r="P295" s="11"/>
      <c r="Q295" t="s" s="10">
        <v>78</v>
      </c>
      <c r="R295" t="s" s="10">
        <v>83</v>
      </c>
      <c r="S295" s="11"/>
      <c r="T295" s="11"/>
      <c r="U295" s="11"/>
      <c r="V295" t="s" s="10">
        <v>78</v>
      </c>
      <c r="W295" s="11"/>
      <c r="X295" t="s" s="10">
        <v>69</v>
      </c>
      <c r="Y295" s="11"/>
      <c r="Z295" t="s" s="10">
        <v>76</v>
      </c>
      <c r="AA295" s="11"/>
      <c r="AB295" t="s" s="10">
        <v>76</v>
      </c>
      <c r="AC295" s="11"/>
      <c r="AD295" s="11"/>
      <c r="AE295" s="11"/>
      <c r="AF295" s="11"/>
      <c r="AG295" s="11"/>
      <c r="AH295" s="11"/>
      <c r="AI295" t="s" s="10">
        <v>76</v>
      </c>
      <c r="AJ295" t="s" s="10">
        <v>76</v>
      </c>
      <c r="AK295" t="s" s="10">
        <v>79</v>
      </c>
      <c r="AL295" t="s" s="10">
        <v>115</v>
      </c>
      <c r="AM295" s="11"/>
      <c r="AN295" s="11"/>
      <c r="AO295" s="11"/>
      <c r="AP295" s="11"/>
      <c r="AQ295" s="11"/>
      <c r="AR295" s="11"/>
      <c r="AS295" t="s" s="10">
        <v>977</v>
      </c>
      <c r="AT295" s="11"/>
      <c r="AU295" s="11"/>
      <c r="AV295" s="11"/>
      <c r="AW295" s="11"/>
      <c r="AX295" s="11"/>
      <c r="AY295" s="11"/>
      <c r="AZ295" s="11"/>
      <c r="BA295" s="11"/>
      <c r="BB295" s="11"/>
      <c r="BC295" s="11"/>
      <c r="BD295" t="s" s="10">
        <v>428</v>
      </c>
      <c r="BE295" s="11"/>
      <c r="BF295" s="11"/>
      <c r="BG295" s="11"/>
      <c r="BH295" s="11"/>
      <c r="BI295" s="11"/>
      <c r="BJ295" s="11"/>
      <c r="BK295" s="11"/>
      <c r="BL295" s="11"/>
      <c r="BM295" s="11"/>
      <c r="BN295" s="11"/>
      <c r="BO295" s="12"/>
      <c r="BP295" s="8"/>
    </row>
    <row r="296" ht="9" customHeight="1" hidden="1">
      <c r="A296" t="s" s="13">
        <v>978</v>
      </c>
      <c r="B296" s="14"/>
      <c r="C296" t="str" s="14" cm="1">
        <f t="array" ref="C296">_xlfn.IFERROR((VLOOKUP(A296,#REF!,2,FALSE)),"")</f>
      </c>
      <c r="D296" t="s" s="15">
        <v>70</v>
      </c>
      <c r="E296" s="14"/>
      <c r="F296" s="14"/>
      <c r="G296" t="s" s="15">
        <v>972</v>
      </c>
      <c r="H296" t="s" s="15">
        <v>945</v>
      </c>
      <c r="I296" t="s" s="15">
        <v>111</v>
      </c>
      <c r="J296" t="s" s="15">
        <v>122</v>
      </c>
      <c r="K296" t="s" s="15">
        <v>75</v>
      </c>
      <c r="L296" t="s" s="15">
        <v>76</v>
      </c>
      <c r="M296" t="s" s="15">
        <v>77</v>
      </c>
      <c r="N296" t="s" s="15">
        <v>972</v>
      </c>
      <c r="O296" s="14"/>
      <c r="P296" s="14"/>
      <c r="Q296" t="s" s="15">
        <v>78</v>
      </c>
      <c r="R296" t="s" s="15">
        <v>83</v>
      </c>
      <c r="S296" s="14"/>
      <c r="T296" s="14"/>
      <c r="U296" s="14"/>
      <c r="V296" t="s" s="15">
        <v>78</v>
      </c>
      <c r="W296" s="14"/>
      <c r="X296" t="s" s="15">
        <v>69</v>
      </c>
      <c r="Y296" s="14"/>
      <c r="Z296" t="s" s="15">
        <v>76</v>
      </c>
      <c r="AA296" s="14"/>
      <c r="AB296" t="s" s="15">
        <v>76</v>
      </c>
      <c r="AC296" s="14"/>
      <c r="AD296" s="14"/>
      <c r="AE296" s="14"/>
      <c r="AF296" s="14"/>
      <c r="AG296" s="14"/>
      <c r="AH296" s="14"/>
      <c r="AI296" t="s" s="15">
        <v>76</v>
      </c>
      <c r="AJ296" t="s" s="15">
        <v>76</v>
      </c>
      <c r="AK296" t="s" s="15">
        <v>79</v>
      </c>
      <c r="AL296" t="s" s="15">
        <v>115</v>
      </c>
      <c r="AM296" s="14"/>
      <c r="AN296" s="14"/>
      <c r="AO296" s="14"/>
      <c r="AP296" s="14"/>
      <c r="AQ296" s="14"/>
      <c r="AR296" s="14"/>
      <c r="AS296" t="s" s="15">
        <v>979</v>
      </c>
      <c r="AT296" s="14"/>
      <c r="AU296" s="14"/>
      <c r="AV296" s="14"/>
      <c r="AW296" s="14"/>
      <c r="AX296" s="14"/>
      <c r="AY296" s="14"/>
      <c r="AZ296" s="14"/>
      <c r="BA296" s="14"/>
      <c r="BB296" s="14"/>
      <c r="BC296" s="14"/>
      <c r="BD296" t="s" s="15">
        <v>428</v>
      </c>
      <c r="BE296" s="14"/>
      <c r="BF296" s="14"/>
      <c r="BG296" s="14"/>
      <c r="BH296" s="14"/>
      <c r="BI296" s="14"/>
      <c r="BJ296" s="14"/>
      <c r="BK296" s="14"/>
      <c r="BL296" s="14"/>
      <c r="BM296" s="14"/>
      <c r="BN296" s="14"/>
      <c r="BO296" s="16"/>
      <c r="BP296" s="8"/>
    </row>
    <row r="297" ht="9" customHeight="1" hidden="1">
      <c r="A297" t="s" s="9">
        <v>980</v>
      </c>
      <c r="B297" s="11"/>
      <c r="C297" t="str" s="11" cm="1">
        <f t="array" ref="C297">_xlfn.IFERROR((VLOOKUP(A297,#REF!,2,FALSE)),"")</f>
      </c>
      <c r="D297" t="s" s="10">
        <v>70</v>
      </c>
      <c r="E297" s="11"/>
      <c r="F297" s="11"/>
      <c r="G297" t="s" s="10">
        <v>972</v>
      </c>
      <c r="H297" t="s" s="10">
        <v>945</v>
      </c>
      <c r="I297" t="s" s="10">
        <v>111</v>
      </c>
      <c r="J297" t="s" s="10">
        <v>122</v>
      </c>
      <c r="K297" t="s" s="10">
        <v>75</v>
      </c>
      <c r="L297" t="s" s="10">
        <v>76</v>
      </c>
      <c r="M297" t="s" s="10">
        <v>77</v>
      </c>
      <c r="N297" t="s" s="10">
        <v>972</v>
      </c>
      <c r="O297" s="11"/>
      <c r="P297" s="11"/>
      <c r="Q297" t="s" s="10">
        <v>78</v>
      </c>
      <c r="R297" t="s" s="10">
        <v>83</v>
      </c>
      <c r="S297" s="11"/>
      <c r="T297" s="11"/>
      <c r="U297" s="11"/>
      <c r="V297" t="s" s="10">
        <v>78</v>
      </c>
      <c r="W297" s="11"/>
      <c r="X297" t="s" s="10">
        <v>69</v>
      </c>
      <c r="Y297" s="11"/>
      <c r="Z297" t="s" s="10">
        <v>76</v>
      </c>
      <c r="AA297" s="11"/>
      <c r="AB297" t="s" s="10">
        <v>76</v>
      </c>
      <c r="AC297" s="11"/>
      <c r="AD297" s="11"/>
      <c r="AE297" s="11"/>
      <c r="AF297" s="11"/>
      <c r="AG297" s="11"/>
      <c r="AH297" s="11"/>
      <c r="AI297" t="s" s="10">
        <v>76</v>
      </c>
      <c r="AJ297" t="s" s="10">
        <v>76</v>
      </c>
      <c r="AK297" t="s" s="10">
        <v>79</v>
      </c>
      <c r="AL297" t="s" s="10">
        <v>115</v>
      </c>
      <c r="AM297" s="11"/>
      <c r="AN297" s="11"/>
      <c r="AO297" s="11"/>
      <c r="AP297" s="11"/>
      <c r="AQ297" s="11"/>
      <c r="AR297" s="11"/>
      <c r="AS297" t="s" s="10">
        <v>981</v>
      </c>
      <c r="AT297" s="11"/>
      <c r="AU297" s="11"/>
      <c r="AV297" s="11"/>
      <c r="AW297" s="11"/>
      <c r="AX297" s="11"/>
      <c r="AY297" s="11"/>
      <c r="AZ297" s="11"/>
      <c r="BA297" s="11"/>
      <c r="BB297" s="11"/>
      <c r="BC297" s="11"/>
      <c r="BD297" t="s" s="10">
        <v>310</v>
      </c>
      <c r="BE297" s="11"/>
      <c r="BF297" s="11"/>
      <c r="BG297" s="11"/>
      <c r="BH297" s="11"/>
      <c r="BI297" s="11"/>
      <c r="BJ297" s="11"/>
      <c r="BK297" s="11"/>
      <c r="BL297" s="11"/>
      <c r="BM297" s="11"/>
      <c r="BN297" s="11"/>
      <c r="BO297" s="12"/>
      <c r="BP297" s="8"/>
    </row>
    <row r="298" ht="9" customHeight="1" hidden="1">
      <c r="A298" t="s" s="13">
        <v>982</v>
      </c>
      <c r="B298" s="14"/>
      <c r="C298" t="str" s="14" cm="1">
        <f t="array" ref="C298">_xlfn.IFERROR((VLOOKUP(A298,#REF!,2,FALSE)),"")</f>
      </c>
      <c r="D298" t="s" s="15">
        <v>70</v>
      </c>
      <c r="E298" s="14"/>
      <c r="F298" s="14"/>
      <c r="G298" t="s" s="15">
        <v>972</v>
      </c>
      <c r="H298" t="s" s="15">
        <v>945</v>
      </c>
      <c r="I298" t="s" s="15">
        <v>111</v>
      </c>
      <c r="J298" t="s" s="15">
        <v>122</v>
      </c>
      <c r="K298" t="s" s="15">
        <v>75</v>
      </c>
      <c r="L298" t="s" s="15">
        <v>76</v>
      </c>
      <c r="M298" t="s" s="15">
        <v>77</v>
      </c>
      <c r="N298" t="s" s="15">
        <v>972</v>
      </c>
      <c r="O298" s="14"/>
      <c r="P298" s="14"/>
      <c r="Q298" t="s" s="15">
        <v>78</v>
      </c>
      <c r="R298" t="s" s="15">
        <v>83</v>
      </c>
      <c r="S298" s="14"/>
      <c r="T298" s="14"/>
      <c r="U298" s="14"/>
      <c r="V298" t="s" s="15">
        <v>78</v>
      </c>
      <c r="W298" s="14"/>
      <c r="X298" t="s" s="15">
        <v>69</v>
      </c>
      <c r="Y298" s="14"/>
      <c r="Z298" t="s" s="15">
        <v>76</v>
      </c>
      <c r="AA298" s="14"/>
      <c r="AB298" t="s" s="15">
        <v>76</v>
      </c>
      <c r="AC298" s="14"/>
      <c r="AD298" s="14"/>
      <c r="AE298" s="14"/>
      <c r="AF298" s="14"/>
      <c r="AG298" s="14"/>
      <c r="AH298" s="14"/>
      <c r="AI298" t="s" s="15">
        <v>76</v>
      </c>
      <c r="AJ298" t="s" s="15">
        <v>76</v>
      </c>
      <c r="AK298" t="s" s="15">
        <v>79</v>
      </c>
      <c r="AL298" t="s" s="15">
        <v>115</v>
      </c>
      <c r="AM298" s="14"/>
      <c r="AN298" s="14"/>
      <c r="AO298" s="14"/>
      <c r="AP298" s="14"/>
      <c r="AQ298" s="14"/>
      <c r="AR298" s="14"/>
      <c r="AS298" t="s" s="15">
        <v>983</v>
      </c>
      <c r="AT298" s="14"/>
      <c r="AU298" s="14"/>
      <c r="AV298" s="14"/>
      <c r="AW298" s="14"/>
      <c r="AX298" s="14"/>
      <c r="AY298" s="14"/>
      <c r="AZ298" s="14"/>
      <c r="BA298" s="14"/>
      <c r="BB298" s="14"/>
      <c r="BC298" s="14"/>
      <c r="BD298" t="s" s="15">
        <v>310</v>
      </c>
      <c r="BE298" s="14"/>
      <c r="BF298" s="14"/>
      <c r="BG298" s="14"/>
      <c r="BH298" s="14"/>
      <c r="BI298" s="14"/>
      <c r="BJ298" s="14"/>
      <c r="BK298" s="14"/>
      <c r="BL298" s="14"/>
      <c r="BM298" s="14"/>
      <c r="BN298" s="14"/>
      <c r="BO298" s="16"/>
      <c r="BP298" s="8"/>
    </row>
    <row r="299" ht="15" customHeight="1" hidden="1">
      <c r="A299" t="s" s="9">
        <v>984</v>
      </c>
      <c r="B299" s="11"/>
      <c r="C299" t="str" s="11" cm="1">
        <f t="array" ref="C299">_xlfn.IFERROR((VLOOKUP(A299,#REF!,2,FALSE)),"")</f>
      </c>
      <c r="D299" s="11"/>
      <c r="E299" s="11"/>
      <c r="F299" s="11"/>
      <c r="G299" t="s" s="10">
        <v>985</v>
      </c>
      <c r="H299" t="s" s="10">
        <v>492</v>
      </c>
      <c r="I299" t="s" s="10">
        <v>111</v>
      </c>
      <c r="J299" t="s" s="10">
        <v>322</v>
      </c>
      <c r="K299" t="s" s="10">
        <v>113</v>
      </c>
      <c r="L299" t="s" s="10">
        <v>493</v>
      </c>
      <c r="M299" t="s" s="10">
        <v>77</v>
      </c>
      <c r="N299" t="s" s="10">
        <v>986</v>
      </c>
      <c r="O299" s="11"/>
      <c r="P299" s="11"/>
      <c r="Q299" t="s" s="10">
        <v>69</v>
      </c>
      <c r="R299" t="s" s="10">
        <v>83</v>
      </c>
      <c r="S299" s="11"/>
      <c r="T299" s="11"/>
      <c r="U299" s="11"/>
      <c r="V299" t="s" s="10">
        <v>69</v>
      </c>
      <c r="W299" s="11"/>
      <c r="X299" t="s" s="10">
        <v>69</v>
      </c>
      <c r="Y299" s="11"/>
      <c r="Z299" t="s" s="10">
        <v>495</v>
      </c>
      <c r="AA299" s="11"/>
      <c r="AB299" t="s" s="10">
        <v>495</v>
      </c>
      <c r="AC299" t="s" s="10">
        <v>984</v>
      </c>
      <c r="AD299" s="11"/>
      <c r="AE299" s="11"/>
      <c r="AF299" t="s" s="10">
        <v>492</v>
      </c>
      <c r="AG299" s="11"/>
      <c r="AH299" t="s" s="10">
        <v>114</v>
      </c>
      <c r="AI299" t="s" s="10">
        <v>332</v>
      </c>
      <c r="AJ299" t="s" s="10">
        <v>473</v>
      </c>
      <c r="AK299" t="s" s="10">
        <v>83</v>
      </c>
      <c r="AL299" t="s" s="10">
        <v>115</v>
      </c>
      <c r="AM299" s="11"/>
      <c r="AN299" t="s" s="10">
        <v>187</v>
      </c>
      <c r="AO299" s="11"/>
      <c r="AP299" s="11"/>
      <c r="AQ299" s="11"/>
      <c r="AR299" s="11"/>
      <c r="AS299" t="s" s="10">
        <v>987</v>
      </c>
      <c r="AT299" s="11"/>
      <c r="AU299" s="11"/>
      <c r="AV299" s="11"/>
      <c r="AW299" s="11"/>
      <c r="AX299" s="11"/>
      <c r="AY299" s="11"/>
      <c r="AZ299" s="11"/>
      <c r="BA299" s="11"/>
      <c r="BB299" s="11"/>
      <c r="BC299" s="11"/>
      <c r="BD299" t="s" s="10">
        <v>118</v>
      </c>
      <c r="BE299" s="11"/>
      <c r="BF299" s="11"/>
      <c r="BG299" s="11"/>
      <c r="BH299" s="11"/>
      <c r="BI299" s="11"/>
      <c r="BJ299" s="11"/>
      <c r="BK299" s="11"/>
      <c r="BL299" s="11"/>
      <c r="BM299" s="11"/>
      <c r="BN299" s="11"/>
      <c r="BO299" s="12"/>
      <c r="BP299" s="8"/>
    </row>
    <row r="300" ht="9" customHeight="1" hidden="1">
      <c r="A300" t="s" s="13">
        <v>988</v>
      </c>
      <c r="B300" s="14"/>
      <c r="C300" t="str" s="14" cm="1">
        <f t="array" ref="C300">_xlfn.IFERROR((VLOOKUP(A300,#REF!,2,FALSE)),"")</f>
      </c>
      <c r="D300" s="14"/>
      <c r="E300" s="14"/>
      <c r="F300" s="14"/>
      <c r="G300" t="s" s="15">
        <v>989</v>
      </c>
      <c r="H300" t="s" s="15">
        <v>492</v>
      </c>
      <c r="I300" t="s" s="15">
        <v>111</v>
      </c>
      <c r="J300" t="s" s="15">
        <v>122</v>
      </c>
      <c r="K300" t="s" s="15">
        <v>113</v>
      </c>
      <c r="L300" t="s" s="15">
        <v>493</v>
      </c>
      <c r="M300" t="s" s="15">
        <v>77</v>
      </c>
      <c r="N300" t="s" s="15">
        <v>990</v>
      </c>
      <c r="O300" s="14"/>
      <c r="P300" s="14"/>
      <c r="Q300" t="s" s="15">
        <v>69</v>
      </c>
      <c r="R300" t="s" s="15">
        <v>83</v>
      </c>
      <c r="S300" s="14"/>
      <c r="T300" s="14"/>
      <c r="U300" s="14"/>
      <c r="V300" t="s" s="15">
        <v>69</v>
      </c>
      <c r="W300" s="14"/>
      <c r="X300" t="s" s="15">
        <v>69</v>
      </c>
      <c r="Y300" s="14"/>
      <c r="Z300" t="s" s="15">
        <v>495</v>
      </c>
      <c r="AA300" s="14"/>
      <c r="AB300" t="s" s="15">
        <v>495</v>
      </c>
      <c r="AC300" t="s" s="15">
        <v>988</v>
      </c>
      <c r="AD300" s="14"/>
      <c r="AE300" s="14"/>
      <c r="AF300" t="s" s="15">
        <v>492</v>
      </c>
      <c r="AG300" t="s" s="15">
        <v>299</v>
      </c>
      <c r="AH300" t="s" s="15">
        <v>114</v>
      </c>
      <c r="AI300" t="s" s="15">
        <v>332</v>
      </c>
      <c r="AJ300" t="s" s="15">
        <v>333</v>
      </c>
      <c r="AK300" t="s" s="15">
        <v>83</v>
      </c>
      <c r="AL300" t="s" s="15">
        <v>115</v>
      </c>
      <c r="AM300" s="14"/>
      <c r="AN300" t="s" s="15">
        <v>187</v>
      </c>
      <c r="AO300" s="14"/>
      <c r="AP300" s="14"/>
      <c r="AQ300" s="14"/>
      <c r="AR300" s="14"/>
      <c r="AS300" t="s" s="15">
        <v>991</v>
      </c>
      <c r="AT300" t="s" s="15">
        <v>301</v>
      </c>
      <c r="AU300" s="14"/>
      <c r="AV300" s="14"/>
      <c r="AW300" s="14"/>
      <c r="AX300" s="14"/>
      <c r="AY300" s="14"/>
      <c r="AZ300" s="14"/>
      <c r="BA300" s="14"/>
      <c r="BB300" s="14"/>
      <c r="BC300" s="14"/>
      <c r="BD300" t="s" s="15">
        <v>118</v>
      </c>
      <c r="BE300" s="14"/>
      <c r="BF300" s="14"/>
      <c r="BG300" s="14"/>
      <c r="BH300" s="14"/>
      <c r="BI300" s="14"/>
      <c r="BJ300" s="14"/>
      <c r="BK300" s="14"/>
      <c r="BL300" s="14"/>
      <c r="BM300" s="14"/>
      <c r="BN300" s="14"/>
      <c r="BO300" s="16"/>
      <c r="BP300" s="8"/>
    </row>
    <row r="301" ht="9" customHeight="1" hidden="1">
      <c r="A301" t="s" s="9">
        <v>992</v>
      </c>
      <c r="B301" s="11"/>
      <c r="C301" t="str" s="11" cm="1">
        <f t="array" ref="C301">_xlfn.IFERROR((VLOOKUP(A301,#REF!,2,FALSE)),"")</f>
      </c>
      <c r="D301" t="s" s="10">
        <v>70</v>
      </c>
      <c r="E301" t="s" s="10">
        <v>687</v>
      </c>
      <c r="F301" s="11"/>
      <c r="G301" t="s" s="10">
        <v>993</v>
      </c>
      <c r="H301" t="s" s="10">
        <v>994</v>
      </c>
      <c r="I301" t="s" s="10">
        <v>111</v>
      </c>
      <c r="J301" t="s" s="10">
        <v>452</v>
      </c>
      <c r="K301" t="s" s="10">
        <v>140</v>
      </c>
      <c r="L301" t="s" s="10">
        <v>76</v>
      </c>
      <c r="M301" t="s" s="10">
        <v>77</v>
      </c>
      <c r="N301" t="s" s="10">
        <v>993</v>
      </c>
      <c r="O301" s="11"/>
      <c r="P301" s="11"/>
      <c r="Q301" t="s" s="10">
        <v>69</v>
      </c>
      <c r="R301" t="s" s="10">
        <v>83</v>
      </c>
      <c r="S301" s="11"/>
      <c r="T301" s="11"/>
      <c r="U301" s="11"/>
      <c r="V301" t="s" s="10">
        <v>69</v>
      </c>
      <c r="W301" s="11"/>
      <c r="X301" t="s" s="10">
        <v>69</v>
      </c>
      <c r="Y301" s="11"/>
      <c r="Z301" t="s" s="10">
        <v>76</v>
      </c>
      <c r="AA301" s="11"/>
      <c r="AB301" t="s" s="10">
        <v>76</v>
      </c>
      <c r="AC301" t="s" s="10">
        <v>992</v>
      </c>
      <c r="AD301" s="11"/>
      <c r="AE301" s="11"/>
      <c r="AF301" s="11"/>
      <c r="AG301" t="s" s="10">
        <v>288</v>
      </c>
      <c r="AH301" t="s" s="10">
        <v>114</v>
      </c>
      <c r="AI301" t="s" s="10">
        <v>604</v>
      </c>
      <c r="AJ301" s="11"/>
      <c r="AK301" t="s" s="10">
        <v>83</v>
      </c>
      <c r="AL301" t="s" s="10">
        <v>115</v>
      </c>
      <c r="AM301" s="11"/>
      <c r="AN301" t="s" s="10">
        <v>187</v>
      </c>
      <c r="AO301" s="11"/>
      <c r="AP301" s="11"/>
      <c r="AQ301" s="11"/>
      <c r="AR301" s="11"/>
      <c r="AS301" t="s" s="10">
        <v>995</v>
      </c>
      <c r="AT301" s="11"/>
      <c r="AU301" s="11"/>
      <c r="AV301" s="11"/>
      <c r="AW301" s="11"/>
      <c r="AX301" s="11"/>
      <c r="AY301" s="11"/>
      <c r="AZ301" s="11"/>
      <c r="BA301" s="11"/>
      <c r="BB301" s="11"/>
      <c r="BC301" s="11"/>
      <c r="BD301" t="s" s="10">
        <v>118</v>
      </c>
      <c r="BE301" s="11"/>
      <c r="BF301" s="11"/>
      <c r="BG301" s="11"/>
      <c r="BH301" s="11"/>
      <c r="BI301" s="11"/>
      <c r="BJ301" s="11"/>
      <c r="BK301" s="11"/>
      <c r="BL301" s="11"/>
      <c r="BM301" s="11"/>
      <c r="BN301" s="11"/>
      <c r="BO301" s="12"/>
      <c r="BP301" s="8"/>
    </row>
    <row r="302" ht="9" customHeight="1" hidden="1">
      <c r="A302" t="s" s="13">
        <v>996</v>
      </c>
      <c r="B302" s="14"/>
      <c r="C302" t="str" s="14" cm="1">
        <f t="array" ref="C302">_xlfn.IFERROR((VLOOKUP(A302,#REF!,2,FALSE)),"")</f>
      </c>
      <c r="D302" s="14"/>
      <c r="E302" t="s" s="15">
        <v>687</v>
      </c>
      <c r="F302" s="14"/>
      <c r="G302" t="s" s="15">
        <v>997</v>
      </c>
      <c r="H302" t="s" s="15">
        <v>994</v>
      </c>
      <c r="I302" t="s" s="15">
        <v>111</v>
      </c>
      <c r="J302" t="s" s="15">
        <v>122</v>
      </c>
      <c r="K302" t="s" s="15">
        <v>140</v>
      </c>
      <c r="L302" t="s" s="15">
        <v>76</v>
      </c>
      <c r="M302" t="s" s="15">
        <v>77</v>
      </c>
      <c r="N302" t="s" s="15">
        <v>997</v>
      </c>
      <c r="O302" s="14"/>
      <c r="P302" s="14"/>
      <c r="Q302" t="s" s="15">
        <v>69</v>
      </c>
      <c r="R302" t="s" s="15">
        <v>83</v>
      </c>
      <c r="S302" s="14"/>
      <c r="T302" s="14"/>
      <c r="U302" s="14"/>
      <c r="V302" t="s" s="15">
        <v>69</v>
      </c>
      <c r="W302" s="14"/>
      <c r="X302" t="s" s="15">
        <v>69</v>
      </c>
      <c r="Y302" s="14"/>
      <c r="Z302" t="s" s="15">
        <v>76</v>
      </c>
      <c r="AA302" s="14"/>
      <c r="AB302" t="s" s="15">
        <v>76</v>
      </c>
      <c r="AC302" t="s" s="15">
        <v>996</v>
      </c>
      <c r="AD302" s="14"/>
      <c r="AE302" s="14"/>
      <c r="AF302" s="14"/>
      <c r="AG302" t="s" s="15">
        <v>299</v>
      </c>
      <c r="AH302" t="s" s="15">
        <v>114</v>
      </c>
      <c r="AI302" t="s" s="15">
        <v>604</v>
      </c>
      <c r="AJ302" s="14"/>
      <c r="AK302" t="s" s="15">
        <v>83</v>
      </c>
      <c r="AL302" t="s" s="15">
        <v>115</v>
      </c>
      <c r="AM302" s="14"/>
      <c r="AN302" t="s" s="15">
        <v>187</v>
      </c>
      <c r="AO302" s="14"/>
      <c r="AP302" s="14"/>
      <c r="AQ302" s="14"/>
      <c r="AR302" s="14"/>
      <c r="AS302" t="s" s="15">
        <v>998</v>
      </c>
      <c r="AT302" t="s" s="15">
        <v>301</v>
      </c>
      <c r="AU302" s="14"/>
      <c r="AV302" s="14"/>
      <c r="AW302" s="14"/>
      <c r="AX302" s="14"/>
      <c r="AY302" s="14"/>
      <c r="AZ302" s="14"/>
      <c r="BA302" s="14"/>
      <c r="BB302" s="14"/>
      <c r="BC302" s="14"/>
      <c r="BD302" t="s" s="15">
        <v>118</v>
      </c>
      <c r="BE302" s="14"/>
      <c r="BF302" s="14"/>
      <c r="BG302" s="14"/>
      <c r="BH302" s="14"/>
      <c r="BI302" s="14"/>
      <c r="BJ302" s="14"/>
      <c r="BK302" s="14"/>
      <c r="BL302" s="14"/>
      <c r="BM302" s="14"/>
      <c r="BN302" s="14"/>
      <c r="BO302" s="16"/>
      <c r="BP302" s="8"/>
    </row>
    <row r="303" ht="15" customHeight="1" hidden="1">
      <c r="A303" t="s" s="9">
        <v>999</v>
      </c>
      <c r="B303" s="11"/>
      <c r="C303" t="str" s="11" cm="1">
        <f t="array" ref="C303">_xlfn.IFERROR((VLOOKUP(A303,#REF!,2,FALSE)),"")</f>
      </c>
      <c r="D303" s="11"/>
      <c r="E303" t="s" s="10">
        <v>1000</v>
      </c>
      <c r="F303" s="11"/>
      <c r="G303" t="s" s="10">
        <v>1001</v>
      </c>
      <c r="H303" t="s" s="10">
        <v>492</v>
      </c>
      <c r="I303" t="s" s="10">
        <v>111</v>
      </c>
      <c r="J303" t="s" s="10">
        <v>322</v>
      </c>
      <c r="K303" t="s" s="10">
        <v>140</v>
      </c>
      <c r="L303" t="s" s="10">
        <v>493</v>
      </c>
      <c r="M303" t="s" s="10">
        <v>77</v>
      </c>
      <c r="N303" t="s" s="10">
        <v>1002</v>
      </c>
      <c r="O303" s="11"/>
      <c r="P303" s="11"/>
      <c r="Q303" t="s" s="10">
        <v>69</v>
      </c>
      <c r="R303" t="s" s="10">
        <v>83</v>
      </c>
      <c r="S303" s="11"/>
      <c r="T303" s="11"/>
      <c r="U303" s="11"/>
      <c r="V303" t="s" s="10">
        <v>69</v>
      </c>
      <c r="W303" s="11"/>
      <c r="X303" t="s" s="10">
        <v>69</v>
      </c>
      <c r="Y303" s="11"/>
      <c r="Z303" t="s" s="10">
        <v>495</v>
      </c>
      <c r="AA303" s="11"/>
      <c r="AB303" t="s" s="10">
        <v>495</v>
      </c>
      <c r="AC303" t="s" s="10">
        <v>999</v>
      </c>
      <c r="AD303" s="11"/>
      <c r="AE303" s="11"/>
      <c r="AF303" t="s" s="10">
        <v>492</v>
      </c>
      <c r="AG303" t="s" s="10">
        <v>299</v>
      </c>
      <c r="AH303" t="s" s="10">
        <v>114</v>
      </c>
      <c r="AI303" t="s" s="10">
        <v>332</v>
      </c>
      <c r="AJ303" t="s" s="10">
        <v>473</v>
      </c>
      <c r="AK303" t="s" s="10">
        <v>83</v>
      </c>
      <c r="AL303" t="s" s="10">
        <v>115</v>
      </c>
      <c r="AM303" s="11"/>
      <c r="AN303" t="s" s="10">
        <v>187</v>
      </c>
      <c r="AO303" s="11"/>
      <c r="AP303" s="11"/>
      <c r="AQ303" s="11"/>
      <c r="AR303" s="11"/>
      <c r="AS303" t="s" s="10">
        <v>1003</v>
      </c>
      <c r="AT303" t="s" s="10">
        <v>301</v>
      </c>
      <c r="AU303" s="11"/>
      <c r="AV303" s="11"/>
      <c r="AW303" s="11"/>
      <c r="AX303" s="11"/>
      <c r="AY303" s="11"/>
      <c r="AZ303" s="11"/>
      <c r="BA303" s="11"/>
      <c r="BB303" s="11"/>
      <c r="BC303" s="11"/>
      <c r="BD303" t="s" s="10">
        <v>118</v>
      </c>
      <c r="BE303" s="11"/>
      <c r="BF303" s="11"/>
      <c r="BG303" s="11"/>
      <c r="BH303" s="11"/>
      <c r="BI303" s="11"/>
      <c r="BJ303" s="11"/>
      <c r="BK303" s="11"/>
      <c r="BL303" s="11"/>
      <c r="BM303" s="11"/>
      <c r="BN303" s="11"/>
      <c r="BO303" s="12"/>
      <c r="BP303" s="8"/>
    </row>
    <row r="304" ht="15" customHeight="1" hidden="1">
      <c r="A304" t="s" s="13">
        <v>1004</v>
      </c>
      <c r="B304" s="14"/>
      <c r="C304" t="str" s="14" cm="1">
        <f t="array" ref="C304">_xlfn.IFERROR((VLOOKUP(A304,#REF!,2,FALSE)),"")</f>
      </c>
      <c r="D304" s="14"/>
      <c r="E304" t="s" s="15">
        <v>687</v>
      </c>
      <c r="F304" s="14"/>
      <c r="G304" t="s" s="15">
        <v>1005</v>
      </c>
      <c r="H304" t="s" s="15">
        <v>994</v>
      </c>
      <c r="I304" t="s" s="15">
        <v>111</v>
      </c>
      <c r="J304" t="s" s="15">
        <v>122</v>
      </c>
      <c r="K304" t="s" s="15">
        <v>140</v>
      </c>
      <c r="L304" t="s" s="15">
        <v>76</v>
      </c>
      <c r="M304" t="s" s="15">
        <v>77</v>
      </c>
      <c r="N304" t="s" s="15">
        <v>1005</v>
      </c>
      <c r="O304" s="14"/>
      <c r="P304" s="14"/>
      <c r="Q304" t="s" s="15">
        <v>69</v>
      </c>
      <c r="R304" t="s" s="15">
        <v>83</v>
      </c>
      <c r="S304" s="14"/>
      <c r="T304" s="14"/>
      <c r="U304" s="14"/>
      <c r="V304" t="s" s="15">
        <v>69</v>
      </c>
      <c r="W304" s="14"/>
      <c r="X304" t="s" s="15">
        <v>69</v>
      </c>
      <c r="Y304" s="14"/>
      <c r="Z304" t="s" s="15">
        <v>76</v>
      </c>
      <c r="AA304" s="14"/>
      <c r="AB304" t="s" s="15">
        <v>76</v>
      </c>
      <c r="AC304" t="s" s="15">
        <v>1004</v>
      </c>
      <c r="AD304" s="14"/>
      <c r="AE304" s="14"/>
      <c r="AF304" s="14"/>
      <c r="AG304" t="s" s="15">
        <v>299</v>
      </c>
      <c r="AH304" t="s" s="15">
        <v>114</v>
      </c>
      <c r="AI304" t="s" s="15">
        <v>604</v>
      </c>
      <c r="AJ304" s="14"/>
      <c r="AK304" t="s" s="15">
        <v>83</v>
      </c>
      <c r="AL304" t="s" s="15">
        <v>115</v>
      </c>
      <c r="AM304" s="14"/>
      <c r="AN304" t="s" s="15">
        <v>187</v>
      </c>
      <c r="AO304" s="14"/>
      <c r="AP304" s="14"/>
      <c r="AQ304" s="14"/>
      <c r="AR304" s="14"/>
      <c r="AS304" t="s" s="15">
        <v>1006</v>
      </c>
      <c r="AT304" t="s" s="15">
        <v>301</v>
      </c>
      <c r="AU304" s="14"/>
      <c r="AV304" s="14"/>
      <c r="AW304" s="14"/>
      <c r="AX304" s="14"/>
      <c r="AY304" s="14"/>
      <c r="AZ304" s="14"/>
      <c r="BA304" s="14"/>
      <c r="BB304" s="14"/>
      <c r="BC304" s="14"/>
      <c r="BD304" t="s" s="15">
        <v>118</v>
      </c>
      <c r="BE304" s="14"/>
      <c r="BF304" s="14"/>
      <c r="BG304" s="14"/>
      <c r="BH304" s="14"/>
      <c r="BI304" s="14"/>
      <c r="BJ304" s="14"/>
      <c r="BK304" s="14"/>
      <c r="BL304" s="14"/>
      <c r="BM304" s="14"/>
      <c r="BN304" s="14"/>
      <c r="BO304" s="16"/>
      <c r="BP304" s="8"/>
    </row>
    <row r="305" ht="9" customHeight="1" hidden="1">
      <c r="A305" t="s" s="9">
        <v>1007</v>
      </c>
      <c r="B305" s="11"/>
      <c r="C305" t="str" s="11" cm="1">
        <f t="array" ref="C305">_xlfn.IFERROR((VLOOKUP(A305,#REF!,2,FALSE)),"")</f>
      </c>
      <c r="D305" s="11"/>
      <c r="E305" s="11"/>
      <c r="F305" s="11"/>
      <c r="G305" t="s" s="10">
        <v>1008</v>
      </c>
      <c r="H305" t="s" s="10">
        <v>1008</v>
      </c>
      <c r="I305" t="s" s="10">
        <v>111</v>
      </c>
      <c r="J305" t="s" s="10">
        <v>122</v>
      </c>
      <c r="K305" t="s" s="10">
        <v>210</v>
      </c>
      <c r="L305" t="s" s="10">
        <v>76</v>
      </c>
      <c r="M305" t="s" s="10">
        <v>77</v>
      </c>
      <c r="N305" t="s" s="10">
        <v>1008</v>
      </c>
      <c r="O305" s="11"/>
      <c r="P305" s="11"/>
      <c r="Q305" t="s" s="10">
        <v>69</v>
      </c>
      <c r="R305" t="s" s="10">
        <v>83</v>
      </c>
      <c r="S305" s="11"/>
      <c r="T305" s="11"/>
      <c r="U305" s="11"/>
      <c r="V305" t="s" s="10">
        <v>69</v>
      </c>
      <c r="W305" s="11"/>
      <c r="X305" t="s" s="10">
        <v>69</v>
      </c>
      <c r="Y305" s="11"/>
      <c r="Z305" t="s" s="10">
        <v>76</v>
      </c>
      <c r="AA305" s="11"/>
      <c r="AB305" t="s" s="10">
        <v>76</v>
      </c>
      <c r="AC305" t="s" s="10">
        <v>1007</v>
      </c>
      <c r="AD305" s="11"/>
      <c r="AE305" s="11"/>
      <c r="AF305" s="11"/>
      <c r="AG305" t="s" s="10">
        <v>299</v>
      </c>
      <c r="AH305" t="s" s="10">
        <v>106</v>
      </c>
      <c r="AI305" t="s" s="10">
        <v>76</v>
      </c>
      <c r="AJ305" t="s" s="10">
        <v>76</v>
      </c>
      <c r="AK305" t="s" s="10">
        <v>79</v>
      </c>
      <c r="AL305" t="s" s="10">
        <v>115</v>
      </c>
      <c r="AM305" s="11"/>
      <c r="AN305" t="s" s="10">
        <v>187</v>
      </c>
      <c r="AO305" s="11"/>
      <c r="AP305" s="11"/>
      <c r="AQ305" s="11"/>
      <c r="AR305" s="11"/>
      <c r="AS305" t="s" s="10">
        <v>1009</v>
      </c>
      <c r="AT305" t="s" s="10">
        <v>301</v>
      </c>
      <c r="AU305" s="11"/>
      <c r="AV305" s="11"/>
      <c r="AW305" s="11"/>
      <c r="AX305" s="11"/>
      <c r="AY305" s="11"/>
      <c r="AZ305" s="11"/>
      <c r="BA305" s="11"/>
      <c r="BB305" s="11"/>
      <c r="BC305" s="11"/>
      <c r="BD305" t="s" s="10">
        <v>310</v>
      </c>
      <c r="BE305" s="11"/>
      <c r="BF305" s="11"/>
      <c r="BG305" s="11"/>
      <c r="BH305" s="11"/>
      <c r="BI305" s="11"/>
      <c r="BJ305" s="11"/>
      <c r="BK305" s="11"/>
      <c r="BL305" s="11"/>
      <c r="BM305" s="11"/>
      <c r="BN305" s="11"/>
      <c r="BO305" s="12"/>
      <c r="BP305" s="8"/>
    </row>
    <row r="306" ht="9" customHeight="1" hidden="1">
      <c r="A306" t="s" s="13">
        <v>1010</v>
      </c>
      <c r="B306" s="14"/>
      <c r="C306" t="str" s="14" cm="1">
        <f t="array" ref="C306">_xlfn.IFERROR((VLOOKUP(A306,#REF!,2,FALSE)),"")</f>
      </c>
      <c r="D306" s="14"/>
      <c r="E306" s="14"/>
      <c r="F306" s="14"/>
      <c r="G306" t="s" s="15">
        <v>1011</v>
      </c>
      <c r="H306" t="s" s="15">
        <v>1011</v>
      </c>
      <c r="I306" t="s" s="15">
        <v>111</v>
      </c>
      <c r="J306" t="s" s="15">
        <v>122</v>
      </c>
      <c r="K306" t="s" s="15">
        <v>210</v>
      </c>
      <c r="L306" t="s" s="15">
        <v>76</v>
      </c>
      <c r="M306" t="s" s="15">
        <v>77</v>
      </c>
      <c r="N306" t="s" s="15">
        <v>1011</v>
      </c>
      <c r="O306" s="14"/>
      <c r="P306" s="14"/>
      <c r="Q306" t="s" s="15">
        <v>69</v>
      </c>
      <c r="R306" t="s" s="15">
        <v>83</v>
      </c>
      <c r="S306" s="14"/>
      <c r="T306" s="14"/>
      <c r="U306" s="14"/>
      <c r="V306" t="s" s="15">
        <v>69</v>
      </c>
      <c r="W306" s="14"/>
      <c r="X306" t="s" s="15">
        <v>69</v>
      </c>
      <c r="Y306" s="14"/>
      <c r="Z306" t="s" s="15">
        <v>76</v>
      </c>
      <c r="AA306" s="14"/>
      <c r="AB306" t="s" s="15">
        <v>76</v>
      </c>
      <c r="AC306" t="s" s="15">
        <v>1010</v>
      </c>
      <c r="AD306" s="14"/>
      <c r="AE306" s="14"/>
      <c r="AF306" s="14"/>
      <c r="AG306" t="s" s="15">
        <v>299</v>
      </c>
      <c r="AH306" t="s" s="15">
        <v>106</v>
      </c>
      <c r="AI306" t="s" s="15">
        <v>76</v>
      </c>
      <c r="AJ306" t="s" s="15">
        <v>76</v>
      </c>
      <c r="AK306" t="s" s="15">
        <v>79</v>
      </c>
      <c r="AL306" t="s" s="15">
        <v>115</v>
      </c>
      <c r="AM306" s="14"/>
      <c r="AN306" t="s" s="15">
        <v>187</v>
      </c>
      <c r="AO306" s="14"/>
      <c r="AP306" s="14"/>
      <c r="AQ306" s="14"/>
      <c r="AR306" s="14"/>
      <c r="AS306" t="s" s="15">
        <v>1012</v>
      </c>
      <c r="AT306" t="s" s="15">
        <v>301</v>
      </c>
      <c r="AU306" s="14"/>
      <c r="AV306" s="14"/>
      <c r="AW306" s="14"/>
      <c r="AX306" s="14"/>
      <c r="AY306" s="14"/>
      <c r="AZ306" s="14"/>
      <c r="BA306" s="14"/>
      <c r="BB306" s="14"/>
      <c r="BC306" s="14"/>
      <c r="BD306" t="s" s="15">
        <v>310</v>
      </c>
      <c r="BE306" s="14"/>
      <c r="BF306" s="14"/>
      <c r="BG306" s="14"/>
      <c r="BH306" s="14"/>
      <c r="BI306" s="14"/>
      <c r="BJ306" s="14"/>
      <c r="BK306" s="14"/>
      <c r="BL306" s="14"/>
      <c r="BM306" s="14"/>
      <c r="BN306" s="14"/>
      <c r="BO306" s="16"/>
      <c r="BP306" s="8"/>
    </row>
    <row r="307" ht="9" customHeight="1" hidden="1">
      <c r="A307" t="s" s="9">
        <v>1013</v>
      </c>
      <c r="B307" s="11"/>
      <c r="C307" t="str" s="11" cm="1">
        <f t="array" ref="C307">_xlfn.IFERROR((VLOOKUP(A307,#REF!,2,FALSE)),"")</f>
      </c>
      <c r="D307" t="s" s="10">
        <v>70</v>
      </c>
      <c r="E307" t="s" s="10">
        <v>450</v>
      </c>
      <c r="F307" s="11"/>
      <c r="G307" t="s" s="10">
        <v>1014</v>
      </c>
      <c r="H307" t="s" s="10">
        <v>1014</v>
      </c>
      <c r="I307" t="s" s="10">
        <v>111</v>
      </c>
      <c r="J307" t="s" s="10">
        <v>122</v>
      </c>
      <c r="K307" t="s" s="10">
        <v>113</v>
      </c>
      <c r="L307" t="s" s="10">
        <v>76</v>
      </c>
      <c r="M307" t="s" s="10">
        <v>77</v>
      </c>
      <c r="N307" t="s" s="10">
        <v>1014</v>
      </c>
      <c r="O307" s="11"/>
      <c r="P307" s="11"/>
      <c r="Q307" t="s" s="10">
        <v>69</v>
      </c>
      <c r="R307" t="s" s="10">
        <v>83</v>
      </c>
      <c r="S307" s="11"/>
      <c r="T307" s="11"/>
      <c r="U307" s="11"/>
      <c r="V307" t="s" s="10">
        <v>69</v>
      </c>
      <c r="W307" s="11"/>
      <c r="X307" t="s" s="10">
        <v>69</v>
      </c>
      <c r="Y307" s="11"/>
      <c r="Z307" t="s" s="10">
        <v>76</v>
      </c>
      <c r="AA307" s="11"/>
      <c r="AB307" t="s" s="10">
        <v>76</v>
      </c>
      <c r="AC307" t="s" s="10">
        <v>1013</v>
      </c>
      <c r="AD307" s="11"/>
      <c r="AE307" s="11"/>
      <c r="AF307" s="11"/>
      <c r="AG307" t="s" s="10">
        <v>453</v>
      </c>
      <c r="AH307" t="s" s="10">
        <v>106</v>
      </c>
      <c r="AI307" t="s" s="10">
        <v>76</v>
      </c>
      <c r="AJ307" t="s" s="10">
        <v>76</v>
      </c>
      <c r="AK307" t="s" s="10">
        <v>79</v>
      </c>
      <c r="AL307" t="s" s="10">
        <v>115</v>
      </c>
      <c r="AM307" s="11"/>
      <c r="AN307" t="s" s="10">
        <v>187</v>
      </c>
      <c r="AO307" s="11"/>
      <c r="AP307" s="11"/>
      <c r="AQ307" s="11"/>
      <c r="AR307" s="11"/>
      <c r="AS307" t="s" s="10">
        <v>1015</v>
      </c>
      <c r="AT307" s="11"/>
      <c r="AU307" s="11"/>
      <c r="AV307" s="11"/>
      <c r="AW307" s="11"/>
      <c r="AX307" s="11"/>
      <c r="AY307" s="11"/>
      <c r="AZ307" s="11"/>
      <c r="BA307" s="11"/>
      <c r="BB307" s="11"/>
      <c r="BC307" s="11"/>
      <c r="BD307" t="s" s="10">
        <v>310</v>
      </c>
      <c r="BE307" s="11"/>
      <c r="BF307" s="11"/>
      <c r="BG307" s="11"/>
      <c r="BH307" s="11"/>
      <c r="BI307" s="11"/>
      <c r="BJ307" s="11"/>
      <c r="BK307" s="11"/>
      <c r="BL307" s="11"/>
      <c r="BM307" s="11"/>
      <c r="BN307" s="11"/>
      <c r="BO307" s="12"/>
      <c r="BP307" s="8"/>
    </row>
    <row r="308" ht="9" customHeight="1" hidden="1">
      <c r="A308" t="s" s="13">
        <v>1016</v>
      </c>
      <c r="B308" s="14"/>
      <c r="C308" t="str" s="14" cm="1">
        <f t="array" ref="C308">_xlfn.IFERROR((VLOOKUP(A308,#REF!,2,FALSE)),"")</f>
      </c>
      <c r="D308" t="s" s="15">
        <v>70</v>
      </c>
      <c r="E308" t="s" s="15">
        <v>450</v>
      </c>
      <c r="F308" s="14"/>
      <c r="G308" t="s" s="15">
        <v>1017</v>
      </c>
      <c r="H308" t="s" s="15">
        <v>1017</v>
      </c>
      <c r="I308" t="s" s="15">
        <v>111</v>
      </c>
      <c r="J308" t="s" s="15">
        <v>122</v>
      </c>
      <c r="K308" t="s" s="15">
        <v>105</v>
      </c>
      <c r="L308" t="s" s="15">
        <v>76</v>
      </c>
      <c r="M308" t="s" s="15">
        <v>77</v>
      </c>
      <c r="N308" t="s" s="15">
        <v>1017</v>
      </c>
      <c r="O308" s="14"/>
      <c r="P308" s="14"/>
      <c r="Q308" t="s" s="15">
        <v>69</v>
      </c>
      <c r="R308" t="s" s="15">
        <v>83</v>
      </c>
      <c r="S308" s="14"/>
      <c r="T308" s="14"/>
      <c r="U308" s="14"/>
      <c r="V308" t="s" s="15">
        <v>69</v>
      </c>
      <c r="W308" s="14"/>
      <c r="X308" t="s" s="15">
        <v>69</v>
      </c>
      <c r="Y308" s="14"/>
      <c r="Z308" t="s" s="15">
        <v>76</v>
      </c>
      <c r="AA308" s="14"/>
      <c r="AB308" t="s" s="15">
        <v>76</v>
      </c>
      <c r="AC308" t="s" s="15">
        <v>1016</v>
      </c>
      <c r="AD308" s="14"/>
      <c r="AE308" s="14"/>
      <c r="AF308" s="14"/>
      <c r="AG308" t="s" s="15">
        <v>453</v>
      </c>
      <c r="AH308" t="s" s="15">
        <v>106</v>
      </c>
      <c r="AI308" t="s" s="15">
        <v>76</v>
      </c>
      <c r="AJ308" t="s" s="15">
        <v>76</v>
      </c>
      <c r="AK308" t="s" s="15">
        <v>79</v>
      </c>
      <c r="AL308" t="s" s="15">
        <v>115</v>
      </c>
      <c r="AM308" s="14"/>
      <c r="AN308" t="s" s="15">
        <v>187</v>
      </c>
      <c r="AO308" s="14"/>
      <c r="AP308" s="14"/>
      <c r="AQ308" s="14"/>
      <c r="AR308" s="14"/>
      <c r="AS308" t="s" s="15">
        <v>1018</v>
      </c>
      <c r="AT308" s="14"/>
      <c r="AU308" s="14"/>
      <c r="AV308" s="14"/>
      <c r="AW308" s="14"/>
      <c r="AX308" s="14"/>
      <c r="AY308" s="14"/>
      <c r="AZ308" s="14"/>
      <c r="BA308" s="14"/>
      <c r="BB308" s="14"/>
      <c r="BC308" s="14"/>
      <c r="BD308" t="s" s="15">
        <v>310</v>
      </c>
      <c r="BE308" s="14"/>
      <c r="BF308" s="14"/>
      <c r="BG308" s="14"/>
      <c r="BH308" s="14"/>
      <c r="BI308" s="14"/>
      <c r="BJ308" s="14"/>
      <c r="BK308" s="14"/>
      <c r="BL308" s="14"/>
      <c r="BM308" s="14"/>
      <c r="BN308" s="14"/>
      <c r="BO308" s="16"/>
      <c r="BP308" s="8"/>
    </row>
    <row r="309" ht="15" customHeight="1" hidden="1">
      <c r="A309" t="s" s="9">
        <v>1019</v>
      </c>
      <c r="B309" s="11"/>
      <c r="C309" t="str" s="11" cm="1">
        <f t="array" ref="C309">_xlfn.IFERROR((VLOOKUP(A309,#REF!,2,FALSE)),"")</f>
      </c>
      <c r="D309" t="s" s="10">
        <v>70</v>
      </c>
      <c r="E309" t="s" s="10">
        <v>687</v>
      </c>
      <c r="F309" s="11"/>
      <c r="G309" t="s" s="10">
        <v>1020</v>
      </c>
      <c r="H309" t="s" s="10">
        <v>1021</v>
      </c>
      <c r="I309" t="s" s="10">
        <v>111</v>
      </c>
      <c r="J309" t="s" s="10">
        <v>452</v>
      </c>
      <c r="K309" t="s" s="10">
        <v>140</v>
      </c>
      <c r="L309" t="s" s="10">
        <v>76</v>
      </c>
      <c r="M309" t="s" s="10">
        <v>77</v>
      </c>
      <c r="N309" t="s" s="10">
        <v>1020</v>
      </c>
      <c r="O309" s="11"/>
      <c r="P309" s="11"/>
      <c r="Q309" t="s" s="10">
        <v>69</v>
      </c>
      <c r="R309" t="s" s="10">
        <v>83</v>
      </c>
      <c r="S309" s="11"/>
      <c r="T309" s="11"/>
      <c r="U309" s="11"/>
      <c r="V309" t="s" s="10">
        <v>69</v>
      </c>
      <c r="W309" s="11"/>
      <c r="X309" t="s" s="10">
        <v>69</v>
      </c>
      <c r="Y309" s="11"/>
      <c r="Z309" t="s" s="10">
        <v>76</v>
      </c>
      <c r="AA309" s="11"/>
      <c r="AB309" t="s" s="10">
        <v>76</v>
      </c>
      <c r="AC309" s="11"/>
      <c r="AD309" s="11"/>
      <c r="AE309" s="11"/>
      <c r="AF309" s="11"/>
      <c r="AG309" t="s" s="10">
        <v>453</v>
      </c>
      <c r="AH309" t="s" s="10">
        <v>114</v>
      </c>
      <c r="AI309" t="s" s="10">
        <v>604</v>
      </c>
      <c r="AJ309" s="11"/>
      <c r="AK309" t="s" s="10">
        <v>83</v>
      </c>
      <c r="AL309" t="s" s="10">
        <v>115</v>
      </c>
      <c r="AM309" s="11"/>
      <c r="AN309" t="s" s="10">
        <v>128</v>
      </c>
      <c r="AO309" s="11"/>
      <c r="AP309" s="11"/>
      <c r="AQ309" s="11"/>
      <c r="AR309" s="11"/>
      <c r="AS309" t="s" s="10">
        <v>1022</v>
      </c>
      <c r="AT309" s="11"/>
      <c r="AU309" s="11"/>
      <c r="AV309" s="11"/>
      <c r="AW309" s="11"/>
      <c r="AX309" s="11"/>
      <c r="AY309" s="11"/>
      <c r="AZ309" s="11"/>
      <c r="BA309" s="11"/>
      <c r="BB309" s="11"/>
      <c r="BC309" s="11"/>
      <c r="BD309" t="s" s="10">
        <v>118</v>
      </c>
      <c r="BE309" s="11"/>
      <c r="BF309" s="11"/>
      <c r="BG309" s="11"/>
      <c r="BH309" s="11"/>
      <c r="BI309" s="11"/>
      <c r="BJ309" s="11"/>
      <c r="BK309" s="11"/>
      <c r="BL309" s="11"/>
      <c r="BM309" s="11"/>
      <c r="BN309" s="11"/>
      <c r="BO309" s="12"/>
      <c r="BP309" s="8"/>
    </row>
    <row r="310" ht="15" customHeight="1" hidden="1">
      <c r="A310" t="s" s="13">
        <v>1023</v>
      </c>
      <c r="B310" s="14"/>
      <c r="C310" t="str" s="14" cm="1">
        <f t="array" ref="C310">_xlfn.IFERROR((VLOOKUP(A310,#REF!,2,FALSE)),"")</f>
      </c>
      <c r="D310" t="s" s="15">
        <v>70</v>
      </c>
      <c r="E310" t="s" s="15">
        <v>687</v>
      </c>
      <c r="F310" s="14"/>
      <c r="G310" t="s" s="15">
        <v>1024</v>
      </c>
      <c r="H310" t="s" s="15">
        <v>1025</v>
      </c>
      <c r="I310" t="s" s="15">
        <v>111</v>
      </c>
      <c r="J310" t="s" s="15">
        <v>452</v>
      </c>
      <c r="K310" t="s" s="15">
        <v>140</v>
      </c>
      <c r="L310" t="s" s="15">
        <v>76</v>
      </c>
      <c r="M310" t="s" s="15">
        <v>77</v>
      </c>
      <c r="N310" t="s" s="15">
        <v>1024</v>
      </c>
      <c r="O310" s="14"/>
      <c r="P310" s="14"/>
      <c r="Q310" t="s" s="15">
        <v>69</v>
      </c>
      <c r="R310" t="s" s="15">
        <v>83</v>
      </c>
      <c r="S310" s="14"/>
      <c r="T310" s="14"/>
      <c r="U310" s="14"/>
      <c r="V310" t="s" s="15">
        <v>69</v>
      </c>
      <c r="W310" s="14"/>
      <c r="X310" t="s" s="15">
        <v>69</v>
      </c>
      <c r="Y310" s="14"/>
      <c r="Z310" t="s" s="15">
        <v>76</v>
      </c>
      <c r="AA310" s="14"/>
      <c r="AB310" t="s" s="15">
        <v>76</v>
      </c>
      <c r="AC310" t="s" s="15">
        <v>1023</v>
      </c>
      <c r="AD310" s="14"/>
      <c r="AE310" s="14"/>
      <c r="AF310" s="14"/>
      <c r="AG310" t="s" s="15">
        <v>453</v>
      </c>
      <c r="AH310" t="s" s="15">
        <v>114</v>
      </c>
      <c r="AI310" t="s" s="15">
        <v>604</v>
      </c>
      <c r="AJ310" s="14"/>
      <c r="AK310" t="s" s="15">
        <v>83</v>
      </c>
      <c r="AL310" t="s" s="15">
        <v>115</v>
      </c>
      <c r="AM310" s="14"/>
      <c r="AN310" t="s" s="15">
        <v>128</v>
      </c>
      <c r="AO310" s="14"/>
      <c r="AP310" s="14"/>
      <c r="AQ310" s="14"/>
      <c r="AR310" s="14"/>
      <c r="AS310" t="s" s="15">
        <v>1026</v>
      </c>
      <c r="AT310" s="14"/>
      <c r="AU310" s="14"/>
      <c r="AV310" s="14"/>
      <c r="AW310" s="14"/>
      <c r="AX310" s="14"/>
      <c r="AY310" s="14"/>
      <c r="AZ310" s="14"/>
      <c r="BA310" s="14"/>
      <c r="BB310" s="14"/>
      <c r="BC310" s="14"/>
      <c r="BD310" t="s" s="15">
        <v>118</v>
      </c>
      <c r="BE310" s="14"/>
      <c r="BF310" s="14"/>
      <c r="BG310" s="14"/>
      <c r="BH310" s="14"/>
      <c r="BI310" s="14"/>
      <c r="BJ310" s="14"/>
      <c r="BK310" s="14"/>
      <c r="BL310" s="14"/>
      <c r="BM310" s="14"/>
      <c r="BN310" s="14"/>
      <c r="BO310" s="16"/>
      <c r="BP310" s="8"/>
    </row>
    <row r="311" ht="9" customHeight="1" hidden="1">
      <c r="A311" t="s" s="9">
        <v>1027</v>
      </c>
      <c r="B311" s="11"/>
      <c r="C311" t="str" s="11" cm="1">
        <f t="array" ref="C311">_xlfn.IFERROR((VLOOKUP(A311,#REF!,2,FALSE)),"")</f>
      </c>
      <c r="D311" s="11"/>
      <c r="E311" s="11"/>
      <c r="F311" s="11"/>
      <c r="G311" t="s" s="10">
        <v>1028</v>
      </c>
      <c r="H311" t="s" s="10">
        <v>1028</v>
      </c>
      <c r="I311" t="s" s="10">
        <v>111</v>
      </c>
      <c r="J311" t="s" s="10">
        <v>122</v>
      </c>
      <c r="K311" t="s" s="10">
        <v>140</v>
      </c>
      <c r="L311" t="s" s="10">
        <v>76</v>
      </c>
      <c r="M311" t="s" s="10">
        <v>77</v>
      </c>
      <c r="N311" t="s" s="10">
        <v>1028</v>
      </c>
      <c r="O311" s="11"/>
      <c r="P311" s="11"/>
      <c r="Q311" t="s" s="10">
        <v>69</v>
      </c>
      <c r="R311" t="s" s="10">
        <v>83</v>
      </c>
      <c r="S311" s="11"/>
      <c r="T311" s="11"/>
      <c r="U311" s="11"/>
      <c r="V311" t="s" s="10">
        <v>69</v>
      </c>
      <c r="W311" s="11"/>
      <c r="X311" t="s" s="10">
        <v>69</v>
      </c>
      <c r="Y311" s="11"/>
      <c r="Z311" t="s" s="10">
        <v>205</v>
      </c>
      <c r="AA311" s="11"/>
      <c r="AB311" t="s" s="10">
        <v>76</v>
      </c>
      <c r="AC311" t="s" s="10">
        <v>1027</v>
      </c>
      <c r="AD311" s="11"/>
      <c r="AE311" s="11"/>
      <c r="AF311" s="11"/>
      <c r="AG311" s="11"/>
      <c r="AH311" t="s" s="10">
        <v>114</v>
      </c>
      <c r="AI311" t="s" s="10">
        <v>76</v>
      </c>
      <c r="AJ311" t="s" s="10">
        <v>76</v>
      </c>
      <c r="AK311" t="s" s="10">
        <v>79</v>
      </c>
      <c r="AL311" t="s" s="10">
        <v>115</v>
      </c>
      <c r="AM311" s="11"/>
      <c r="AN311" t="s" s="10">
        <v>128</v>
      </c>
      <c r="AO311" s="11"/>
      <c r="AP311" s="11"/>
      <c r="AQ311" s="11"/>
      <c r="AR311" s="11"/>
      <c r="AS311" t="s" s="10">
        <v>1029</v>
      </c>
      <c r="AT311" s="11"/>
      <c r="AU311" s="11"/>
      <c r="AV311" s="11"/>
      <c r="AW311" s="11"/>
      <c r="AX311" s="11"/>
      <c r="AY311" s="11"/>
      <c r="AZ311" s="11"/>
      <c r="BA311" s="11"/>
      <c r="BB311" s="11"/>
      <c r="BC311" s="11"/>
      <c r="BD311" t="s" s="10">
        <v>118</v>
      </c>
      <c r="BE311" s="11"/>
      <c r="BF311" s="11"/>
      <c r="BG311" s="11"/>
      <c r="BH311" s="11"/>
      <c r="BI311" s="11"/>
      <c r="BJ311" s="11"/>
      <c r="BK311" s="11"/>
      <c r="BL311" s="11"/>
      <c r="BM311" s="11"/>
      <c r="BN311" s="11"/>
      <c r="BO311" s="12"/>
      <c r="BP311" s="8"/>
    </row>
    <row r="312" ht="9" customHeight="1" hidden="1">
      <c r="A312" t="s" s="13">
        <v>1030</v>
      </c>
      <c r="B312" s="14"/>
      <c r="C312" t="str" s="14" cm="1">
        <f t="array" ref="C312">_xlfn.IFERROR((VLOOKUP(A312,#REF!,2,FALSE)),"")</f>
      </c>
      <c r="D312" s="14"/>
      <c r="E312" s="14"/>
      <c r="F312" s="14"/>
      <c r="G312" t="s" s="15">
        <v>1031</v>
      </c>
      <c r="H312" t="s" s="15">
        <v>1031</v>
      </c>
      <c r="I312" t="s" s="15">
        <v>111</v>
      </c>
      <c r="J312" t="s" s="15">
        <v>122</v>
      </c>
      <c r="K312" t="s" s="15">
        <v>140</v>
      </c>
      <c r="L312" t="s" s="15">
        <v>76</v>
      </c>
      <c r="M312" t="s" s="15">
        <v>77</v>
      </c>
      <c r="N312" t="s" s="15">
        <v>1031</v>
      </c>
      <c r="O312" s="14"/>
      <c r="P312" s="14"/>
      <c r="Q312" t="s" s="15">
        <v>69</v>
      </c>
      <c r="R312" t="s" s="15">
        <v>83</v>
      </c>
      <c r="S312" s="14"/>
      <c r="T312" s="14"/>
      <c r="U312" s="14"/>
      <c r="V312" t="s" s="15">
        <v>69</v>
      </c>
      <c r="W312" s="14"/>
      <c r="X312" t="s" s="15">
        <v>69</v>
      </c>
      <c r="Y312" s="14"/>
      <c r="Z312" t="s" s="15">
        <v>76</v>
      </c>
      <c r="AA312" s="14"/>
      <c r="AB312" t="s" s="15">
        <v>76</v>
      </c>
      <c r="AC312" t="s" s="15">
        <v>1030</v>
      </c>
      <c r="AD312" s="14"/>
      <c r="AE312" s="14"/>
      <c r="AF312" s="14"/>
      <c r="AG312" s="14"/>
      <c r="AH312" t="s" s="15">
        <v>114</v>
      </c>
      <c r="AI312" t="s" s="15">
        <v>76</v>
      </c>
      <c r="AJ312" t="s" s="15">
        <v>76</v>
      </c>
      <c r="AK312" t="s" s="15">
        <v>79</v>
      </c>
      <c r="AL312" t="s" s="15">
        <v>115</v>
      </c>
      <c r="AM312" s="14"/>
      <c r="AN312" t="s" s="15">
        <v>128</v>
      </c>
      <c r="AO312" s="14"/>
      <c r="AP312" s="14"/>
      <c r="AQ312" s="14"/>
      <c r="AR312" s="14"/>
      <c r="AS312" t="s" s="15">
        <v>1032</v>
      </c>
      <c r="AT312" s="14"/>
      <c r="AU312" s="14"/>
      <c r="AV312" s="14"/>
      <c r="AW312" s="14"/>
      <c r="AX312" s="14"/>
      <c r="AY312" s="14"/>
      <c r="AZ312" s="14"/>
      <c r="BA312" s="14"/>
      <c r="BB312" s="14"/>
      <c r="BC312" s="14"/>
      <c r="BD312" t="s" s="15">
        <v>118</v>
      </c>
      <c r="BE312" s="14"/>
      <c r="BF312" s="14"/>
      <c r="BG312" s="14"/>
      <c r="BH312" s="14"/>
      <c r="BI312" s="14"/>
      <c r="BJ312" s="14"/>
      <c r="BK312" s="14"/>
      <c r="BL312" s="14"/>
      <c r="BM312" s="14"/>
      <c r="BN312" s="14"/>
      <c r="BO312" s="16"/>
      <c r="BP312" s="8"/>
    </row>
    <row r="313" ht="9" customHeight="1" hidden="1">
      <c r="A313" t="s" s="9">
        <v>1033</v>
      </c>
      <c r="B313" s="11"/>
      <c r="C313" t="str" s="11" cm="1">
        <f t="array" ref="C313">_xlfn.IFERROR((VLOOKUP(A313,#REF!,2,FALSE)),"")</f>
      </c>
      <c r="D313" t="s" s="10">
        <v>70</v>
      </c>
      <c r="E313" t="s" s="10">
        <v>957</v>
      </c>
      <c r="F313" s="11"/>
      <c r="G313" t="s" s="10">
        <v>1034</v>
      </c>
      <c r="H313" t="s" s="10">
        <v>1034</v>
      </c>
      <c r="I313" t="s" s="10">
        <v>271</v>
      </c>
      <c r="J313" t="s" s="10">
        <v>74</v>
      </c>
      <c r="K313" t="s" s="10">
        <v>75</v>
      </c>
      <c r="L313" t="s" s="10">
        <v>76</v>
      </c>
      <c r="M313" t="s" s="10">
        <v>77</v>
      </c>
      <c r="N313" s="11"/>
      <c r="O313" t="s" s="10">
        <v>71</v>
      </c>
      <c r="P313" s="11"/>
      <c r="Q313" t="s" s="10">
        <v>78</v>
      </c>
      <c r="R313" t="s" s="10">
        <v>83</v>
      </c>
      <c r="S313" s="11"/>
      <c r="T313" s="11"/>
      <c r="U313" s="11"/>
      <c r="V313" t="s" s="10">
        <v>78</v>
      </c>
      <c r="W313" s="11"/>
      <c r="X313" t="s" s="10">
        <v>78</v>
      </c>
      <c r="Y313" s="11"/>
      <c r="Z313" t="s" s="10">
        <v>76</v>
      </c>
      <c r="AA313" s="11"/>
      <c r="AB313" t="s" s="10">
        <v>76</v>
      </c>
      <c r="AC313" s="11"/>
      <c r="AD313" s="11"/>
      <c r="AE313" s="11"/>
      <c r="AF313" s="11"/>
      <c r="AG313" t="s" s="10">
        <v>453</v>
      </c>
      <c r="AH313" t="s" s="10">
        <v>106</v>
      </c>
      <c r="AI313" t="s" s="10">
        <v>76</v>
      </c>
      <c r="AJ313" t="s" s="10">
        <v>76</v>
      </c>
      <c r="AK313" t="s" s="10">
        <v>79</v>
      </c>
      <c r="AL313" t="s" s="10">
        <v>115</v>
      </c>
      <c r="AM313" t="s" s="10">
        <v>1035</v>
      </c>
      <c r="AN313" s="11"/>
      <c r="AO313" s="11"/>
      <c r="AP313" s="11"/>
      <c r="AQ313" s="11"/>
      <c r="AR313" s="11"/>
      <c r="AS313" t="s" s="10">
        <v>1036</v>
      </c>
      <c r="AT313" s="11"/>
      <c r="AU313" s="11"/>
      <c r="AV313" s="11"/>
      <c r="AW313" s="11"/>
      <c r="AX313" s="11"/>
      <c r="AY313" s="11"/>
      <c r="AZ313" s="11"/>
      <c r="BA313" s="11"/>
      <c r="BB313" s="11"/>
      <c r="BC313" s="11"/>
      <c r="BD313" t="s" s="10">
        <v>310</v>
      </c>
      <c r="BE313" s="11"/>
      <c r="BF313" s="11"/>
      <c r="BG313" s="11"/>
      <c r="BH313" s="11"/>
      <c r="BI313" s="11"/>
      <c r="BJ313" s="11"/>
      <c r="BK313" s="11"/>
      <c r="BL313" s="11"/>
      <c r="BM313" s="11"/>
      <c r="BN313" s="11"/>
      <c r="BO313" s="12"/>
      <c r="BP313" s="8"/>
    </row>
    <row r="314" ht="9" customHeight="1" hidden="1">
      <c r="A314" t="s" s="13">
        <v>1037</v>
      </c>
      <c r="B314" s="14"/>
      <c r="C314" t="str" s="14" cm="1">
        <f t="array" ref="C314">_xlfn.IFERROR((VLOOKUP(A314,#REF!,2,FALSE)),"")</f>
      </c>
      <c r="D314" t="s" s="15">
        <v>70</v>
      </c>
      <c r="E314" s="14"/>
      <c r="F314" s="14"/>
      <c r="G314" t="s" s="15">
        <v>1038</v>
      </c>
      <c r="H314" t="s" s="15">
        <v>1038</v>
      </c>
      <c r="I314" t="s" s="15">
        <v>111</v>
      </c>
      <c r="J314" t="s" s="15">
        <v>122</v>
      </c>
      <c r="K314" t="s" s="15">
        <v>75</v>
      </c>
      <c r="L314" t="s" s="15">
        <v>76</v>
      </c>
      <c r="M314" t="s" s="15">
        <v>77</v>
      </c>
      <c r="N314" t="s" s="15">
        <v>1038</v>
      </c>
      <c r="O314" s="14"/>
      <c r="P314" s="14"/>
      <c r="Q314" t="s" s="15">
        <v>78</v>
      </c>
      <c r="R314" t="s" s="15">
        <v>83</v>
      </c>
      <c r="S314" s="14"/>
      <c r="T314" s="14"/>
      <c r="U314" s="14"/>
      <c r="V314" t="s" s="15">
        <v>78</v>
      </c>
      <c r="W314" s="14"/>
      <c r="X314" t="s" s="15">
        <v>69</v>
      </c>
      <c r="Y314" s="14"/>
      <c r="Z314" t="s" s="15">
        <v>76</v>
      </c>
      <c r="AA314" s="14"/>
      <c r="AB314" t="s" s="15">
        <v>76</v>
      </c>
      <c r="AC314" s="14"/>
      <c r="AD314" s="14"/>
      <c r="AE314" s="14"/>
      <c r="AF314" s="14"/>
      <c r="AG314" s="14"/>
      <c r="AH314" s="14"/>
      <c r="AI314" t="s" s="15">
        <v>76</v>
      </c>
      <c r="AJ314" t="s" s="15">
        <v>76</v>
      </c>
      <c r="AK314" t="s" s="15">
        <v>79</v>
      </c>
      <c r="AL314" t="s" s="15">
        <v>115</v>
      </c>
      <c r="AM314" s="14"/>
      <c r="AN314" s="14"/>
      <c r="AO314" s="14"/>
      <c r="AP314" s="14"/>
      <c r="AQ314" s="14"/>
      <c r="AR314" s="14"/>
      <c r="AS314" t="s" s="15">
        <v>1039</v>
      </c>
      <c r="AT314" s="14"/>
      <c r="AU314" s="14"/>
      <c r="AV314" s="14"/>
      <c r="AW314" s="14"/>
      <c r="AX314" s="14"/>
      <c r="AY314" s="14"/>
      <c r="AZ314" s="14"/>
      <c r="BA314" s="14"/>
      <c r="BB314" s="14"/>
      <c r="BC314" s="14"/>
      <c r="BD314" t="s" s="15">
        <v>366</v>
      </c>
      <c r="BE314" s="14"/>
      <c r="BF314" s="14"/>
      <c r="BG314" s="14"/>
      <c r="BH314" s="14"/>
      <c r="BI314" s="14"/>
      <c r="BJ314" s="14"/>
      <c r="BK314" s="14"/>
      <c r="BL314" s="14"/>
      <c r="BM314" s="14"/>
      <c r="BN314" s="14"/>
      <c r="BO314" s="16"/>
      <c r="BP314" s="8"/>
    </row>
    <row r="315" ht="9" customHeight="1" hidden="1">
      <c r="A315" t="s" s="9">
        <v>1040</v>
      </c>
      <c r="B315" s="11"/>
      <c r="C315" t="str" s="11" cm="1">
        <f t="array" ref="C315">_xlfn.IFERROR((VLOOKUP(A315,#REF!,2,FALSE)),"")</f>
      </c>
      <c r="D315" t="s" s="10">
        <v>70</v>
      </c>
      <c r="E315" s="11"/>
      <c r="F315" s="11"/>
      <c r="G315" t="s" s="10">
        <v>1038</v>
      </c>
      <c r="H315" t="s" s="10">
        <v>1038</v>
      </c>
      <c r="I315" t="s" s="10">
        <v>111</v>
      </c>
      <c r="J315" t="s" s="10">
        <v>122</v>
      </c>
      <c r="K315" t="s" s="10">
        <v>75</v>
      </c>
      <c r="L315" t="s" s="10">
        <v>76</v>
      </c>
      <c r="M315" t="s" s="10">
        <v>77</v>
      </c>
      <c r="N315" t="s" s="10">
        <v>1038</v>
      </c>
      <c r="O315" s="11"/>
      <c r="P315" s="11"/>
      <c r="Q315" t="s" s="10">
        <v>78</v>
      </c>
      <c r="R315" t="s" s="10">
        <v>83</v>
      </c>
      <c r="S315" s="11"/>
      <c r="T315" s="11"/>
      <c r="U315" s="11"/>
      <c r="V315" t="s" s="10">
        <v>78</v>
      </c>
      <c r="W315" s="11"/>
      <c r="X315" t="s" s="10">
        <v>69</v>
      </c>
      <c r="Y315" s="11"/>
      <c r="Z315" t="s" s="10">
        <v>76</v>
      </c>
      <c r="AA315" s="11"/>
      <c r="AB315" t="s" s="10">
        <v>76</v>
      </c>
      <c r="AC315" s="11"/>
      <c r="AD315" s="11"/>
      <c r="AE315" s="11"/>
      <c r="AF315" s="11"/>
      <c r="AG315" s="11"/>
      <c r="AH315" s="11"/>
      <c r="AI315" t="s" s="10">
        <v>76</v>
      </c>
      <c r="AJ315" t="s" s="10">
        <v>76</v>
      </c>
      <c r="AK315" t="s" s="10">
        <v>79</v>
      </c>
      <c r="AL315" t="s" s="10">
        <v>115</v>
      </c>
      <c r="AM315" s="11"/>
      <c r="AN315" s="11"/>
      <c r="AO315" s="11"/>
      <c r="AP315" s="11"/>
      <c r="AQ315" s="11"/>
      <c r="AR315" s="11"/>
      <c r="AS315" t="s" s="10">
        <v>1041</v>
      </c>
      <c r="AT315" s="11"/>
      <c r="AU315" s="11"/>
      <c r="AV315" s="11"/>
      <c r="AW315" s="11"/>
      <c r="AX315" s="11"/>
      <c r="AY315" s="11"/>
      <c r="AZ315" s="11"/>
      <c r="BA315" s="11"/>
      <c r="BB315" s="11"/>
      <c r="BC315" s="11"/>
      <c r="BD315" t="s" s="10">
        <v>310</v>
      </c>
      <c r="BE315" s="11"/>
      <c r="BF315" s="11"/>
      <c r="BG315" s="11"/>
      <c r="BH315" s="11"/>
      <c r="BI315" s="11"/>
      <c r="BJ315" s="11"/>
      <c r="BK315" s="11"/>
      <c r="BL315" s="11"/>
      <c r="BM315" s="11"/>
      <c r="BN315" s="11"/>
      <c r="BO315" s="12"/>
      <c r="BP315" s="8"/>
    </row>
    <row r="316" ht="9" customHeight="1" hidden="1">
      <c r="A316" t="s" s="13">
        <v>1042</v>
      </c>
      <c r="B316" s="14"/>
      <c r="C316" t="str" s="14" cm="1">
        <f t="array" ref="C316">_xlfn.IFERROR((VLOOKUP(A316,#REF!,2,FALSE)),"")</f>
      </c>
      <c r="D316" t="s" s="15">
        <v>70</v>
      </c>
      <c r="E316" s="14"/>
      <c r="F316" s="14"/>
      <c r="G316" t="s" s="15">
        <v>1038</v>
      </c>
      <c r="H316" t="s" s="15">
        <v>1038</v>
      </c>
      <c r="I316" t="s" s="15">
        <v>111</v>
      </c>
      <c r="J316" t="s" s="15">
        <v>122</v>
      </c>
      <c r="K316" t="s" s="15">
        <v>75</v>
      </c>
      <c r="L316" t="s" s="15">
        <v>76</v>
      </c>
      <c r="M316" t="s" s="15">
        <v>77</v>
      </c>
      <c r="N316" t="s" s="15">
        <v>1038</v>
      </c>
      <c r="O316" s="14"/>
      <c r="P316" s="14"/>
      <c r="Q316" t="s" s="15">
        <v>78</v>
      </c>
      <c r="R316" t="s" s="15">
        <v>83</v>
      </c>
      <c r="S316" s="14"/>
      <c r="T316" s="14"/>
      <c r="U316" s="14"/>
      <c r="V316" t="s" s="15">
        <v>78</v>
      </c>
      <c r="W316" s="14"/>
      <c r="X316" t="s" s="15">
        <v>69</v>
      </c>
      <c r="Y316" s="14"/>
      <c r="Z316" t="s" s="15">
        <v>76</v>
      </c>
      <c r="AA316" s="14"/>
      <c r="AB316" t="s" s="15">
        <v>76</v>
      </c>
      <c r="AC316" s="14"/>
      <c r="AD316" s="14"/>
      <c r="AE316" s="14"/>
      <c r="AF316" s="14"/>
      <c r="AG316" s="14"/>
      <c r="AH316" s="14"/>
      <c r="AI316" t="s" s="15">
        <v>76</v>
      </c>
      <c r="AJ316" t="s" s="15">
        <v>76</v>
      </c>
      <c r="AK316" t="s" s="15">
        <v>79</v>
      </c>
      <c r="AL316" t="s" s="15">
        <v>115</v>
      </c>
      <c r="AM316" s="14"/>
      <c r="AN316" s="14"/>
      <c r="AO316" s="14"/>
      <c r="AP316" s="14"/>
      <c r="AQ316" s="14"/>
      <c r="AR316" s="14"/>
      <c r="AS316" t="s" s="15">
        <v>1043</v>
      </c>
      <c r="AT316" s="14"/>
      <c r="AU316" s="14"/>
      <c r="AV316" s="14"/>
      <c r="AW316" s="14"/>
      <c r="AX316" s="14"/>
      <c r="AY316" s="14"/>
      <c r="AZ316" s="14"/>
      <c r="BA316" s="14"/>
      <c r="BB316" s="14"/>
      <c r="BC316" s="14"/>
      <c r="BD316" s="14"/>
      <c r="BE316" s="14"/>
      <c r="BF316" s="14"/>
      <c r="BG316" s="14"/>
      <c r="BH316" s="14"/>
      <c r="BI316" s="14"/>
      <c r="BJ316" s="14"/>
      <c r="BK316" s="14"/>
      <c r="BL316" s="14"/>
      <c r="BM316" s="14"/>
      <c r="BN316" s="14"/>
      <c r="BO316" s="16"/>
      <c r="BP316" s="8"/>
    </row>
    <row r="317" ht="9" customHeight="1" hidden="1">
      <c r="A317" t="s" s="9">
        <v>1044</v>
      </c>
      <c r="B317" s="11"/>
      <c r="C317" t="str" s="11" cm="1">
        <f t="array" ref="C317">_xlfn.IFERROR((VLOOKUP(A317,#REF!,2,FALSE)),"")</f>
      </c>
      <c r="D317" t="s" s="10">
        <v>70</v>
      </c>
      <c r="E317" s="11"/>
      <c r="F317" s="11"/>
      <c r="G317" t="s" s="10">
        <v>1038</v>
      </c>
      <c r="H317" t="s" s="10">
        <v>1038</v>
      </c>
      <c r="I317" t="s" s="10">
        <v>111</v>
      </c>
      <c r="J317" t="s" s="10">
        <v>122</v>
      </c>
      <c r="K317" t="s" s="10">
        <v>75</v>
      </c>
      <c r="L317" t="s" s="10">
        <v>76</v>
      </c>
      <c r="M317" t="s" s="10">
        <v>77</v>
      </c>
      <c r="N317" t="s" s="10">
        <v>1038</v>
      </c>
      <c r="O317" s="11"/>
      <c r="P317" s="11"/>
      <c r="Q317" t="s" s="10">
        <v>78</v>
      </c>
      <c r="R317" t="s" s="10">
        <v>83</v>
      </c>
      <c r="S317" s="11"/>
      <c r="T317" s="11"/>
      <c r="U317" s="11"/>
      <c r="V317" t="s" s="10">
        <v>78</v>
      </c>
      <c r="W317" s="11"/>
      <c r="X317" t="s" s="10">
        <v>69</v>
      </c>
      <c r="Y317" s="11"/>
      <c r="Z317" t="s" s="10">
        <v>76</v>
      </c>
      <c r="AA317" s="11"/>
      <c r="AB317" t="s" s="10">
        <v>76</v>
      </c>
      <c r="AC317" s="11"/>
      <c r="AD317" s="11"/>
      <c r="AE317" s="11"/>
      <c r="AF317" s="11"/>
      <c r="AG317" s="11"/>
      <c r="AH317" s="11"/>
      <c r="AI317" t="s" s="10">
        <v>76</v>
      </c>
      <c r="AJ317" t="s" s="10">
        <v>76</v>
      </c>
      <c r="AK317" t="s" s="10">
        <v>79</v>
      </c>
      <c r="AL317" t="s" s="10">
        <v>115</v>
      </c>
      <c r="AM317" s="11"/>
      <c r="AN317" s="11"/>
      <c r="AO317" s="11"/>
      <c r="AP317" s="11"/>
      <c r="AQ317" s="11"/>
      <c r="AR317" s="11"/>
      <c r="AS317" t="s" s="10">
        <v>1045</v>
      </c>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2"/>
      <c r="BP317" s="8"/>
    </row>
    <row r="318" ht="9" customHeight="1" hidden="1">
      <c r="A318" t="s" s="13">
        <v>1046</v>
      </c>
      <c r="B318" s="14"/>
      <c r="C318" t="str" s="14" cm="1">
        <f t="array" ref="C318">_xlfn.IFERROR((VLOOKUP(A318,#REF!,2,FALSE)),"")</f>
      </c>
      <c r="D318" s="14"/>
      <c r="E318" t="s" s="15">
        <v>1047</v>
      </c>
      <c r="F318" s="14"/>
      <c r="G318" t="s" s="15">
        <v>1048</v>
      </c>
      <c r="H318" t="s" s="15">
        <v>1048</v>
      </c>
      <c r="I318" t="s" s="15">
        <v>111</v>
      </c>
      <c r="J318" t="s" s="15">
        <v>122</v>
      </c>
      <c r="K318" t="s" s="15">
        <v>113</v>
      </c>
      <c r="L318" t="s" s="15">
        <v>76</v>
      </c>
      <c r="M318" t="s" s="15">
        <v>77</v>
      </c>
      <c r="N318" t="s" s="15">
        <v>1048</v>
      </c>
      <c r="O318" s="14"/>
      <c r="P318" s="14"/>
      <c r="Q318" t="s" s="15">
        <v>78</v>
      </c>
      <c r="R318" t="s" s="15">
        <v>83</v>
      </c>
      <c r="S318" s="14"/>
      <c r="T318" s="14"/>
      <c r="U318" s="14"/>
      <c r="V318" t="s" s="15">
        <v>69</v>
      </c>
      <c r="W318" s="14"/>
      <c r="X318" t="s" s="15">
        <v>78</v>
      </c>
      <c r="Y318" s="14"/>
      <c r="Z318" t="s" s="15">
        <v>76</v>
      </c>
      <c r="AA318" s="14"/>
      <c r="AB318" t="s" s="15">
        <v>76</v>
      </c>
      <c r="AC318" s="14"/>
      <c r="AD318" s="14"/>
      <c r="AE318" s="14"/>
      <c r="AF318" s="14"/>
      <c r="AG318" s="14"/>
      <c r="AH318" s="14"/>
      <c r="AI318" t="s" s="15">
        <v>76</v>
      </c>
      <c r="AJ318" t="s" s="15">
        <v>76</v>
      </c>
      <c r="AK318" t="s" s="15">
        <v>79</v>
      </c>
      <c r="AL318" t="s" s="15">
        <v>115</v>
      </c>
      <c r="AM318" s="14"/>
      <c r="AN318" t="s" s="15">
        <v>1049</v>
      </c>
      <c r="AO318" s="14"/>
      <c r="AP318" s="14"/>
      <c r="AQ318" s="14"/>
      <c r="AR318" s="14"/>
      <c r="AS318" t="s" s="15">
        <v>1050</v>
      </c>
      <c r="AT318" s="14"/>
      <c r="AU318" s="14"/>
      <c r="AV318" s="14"/>
      <c r="AW318" s="14"/>
      <c r="AX318" s="14"/>
      <c r="AY318" s="14"/>
      <c r="AZ318" s="14"/>
      <c r="BA318" s="14"/>
      <c r="BB318" s="14"/>
      <c r="BC318" s="14"/>
      <c r="BD318" s="14"/>
      <c r="BE318" s="14"/>
      <c r="BF318" s="14"/>
      <c r="BG318" s="14"/>
      <c r="BH318" s="14"/>
      <c r="BI318" s="14"/>
      <c r="BJ318" s="14"/>
      <c r="BK318" s="14"/>
      <c r="BL318" s="14"/>
      <c r="BM318" s="14"/>
      <c r="BN318" s="14"/>
      <c r="BO318" s="16"/>
      <c r="BP318" s="8"/>
    </row>
    <row r="319" ht="9" customHeight="1" hidden="1">
      <c r="A319" t="s" s="9">
        <v>1051</v>
      </c>
      <c r="B319" s="11"/>
      <c r="C319" t="str" s="11" cm="1">
        <f t="array" ref="C319">_xlfn.IFERROR((VLOOKUP(A319,#REF!,2,FALSE)),"")</f>
      </c>
      <c r="D319" s="11"/>
      <c r="E319" t="s" s="10">
        <v>1047</v>
      </c>
      <c r="F319" s="11"/>
      <c r="G319" t="s" s="10">
        <v>1048</v>
      </c>
      <c r="H319" t="s" s="10">
        <v>1048</v>
      </c>
      <c r="I319" t="s" s="10">
        <v>111</v>
      </c>
      <c r="J319" t="s" s="10">
        <v>122</v>
      </c>
      <c r="K319" t="s" s="10">
        <v>113</v>
      </c>
      <c r="L319" t="s" s="10">
        <v>76</v>
      </c>
      <c r="M319" t="s" s="10">
        <v>77</v>
      </c>
      <c r="N319" t="s" s="10">
        <v>1048</v>
      </c>
      <c r="O319" s="11"/>
      <c r="P319" s="11"/>
      <c r="Q319" t="s" s="10">
        <v>78</v>
      </c>
      <c r="R319" t="s" s="10">
        <v>83</v>
      </c>
      <c r="S319" s="11"/>
      <c r="T319" s="11"/>
      <c r="U319" s="11"/>
      <c r="V319" t="s" s="10">
        <v>69</v>
      </c>
      <c r="W319" s="11"/>
      <c r="X319" t="s" s="10">
        <v>78</v>
      </c>
      <c r="Y319" s="11"/>
      <c r="Z319" t="s" s="10">
        <v>76</v>
      </c>
      <c r="AA319" s="11"/>
      <c r="AB319" t="s" s="10">
        <v>76</v>
      </c>
      <c r="AC319" s="11"/>
      <c r="AD319" s="11"/>
      <c r="AE319" s="11"/>
      <c r="AF319" s="11"/>
      <c r="AG319" s="11"/>
      <c r="AH319" s="11"/>
      <c r="AI319" t="s" s="10">
        <v>76</v>
      </c>
      <c r="AJ319" t="s" s="10">
        <v>76</v>
      </c>
      <c r="AK319" t="s" s="10">
        <v>79</v>
      </c>
      <c r="AL319" t="s" s="10">
        <v>115</v>
      </c>
      <c r="AM319" s="11"/>
      <c r="AN319" t="s" s="10">
        <v>1049</v>
      </c>
      <c r="AO319" s="11"/>
      <c r="AP319" s="11"/>
      <c r="AQ319" s="11"/>
      <c r="AR319" s="11"/>
      <c r="AS319" t="s" s="10">
        <v>1052</v>
      </c>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2"/>
      <c r="BP319" s="8"/>
    </row>
    <row r="320" ht="9" customHeight="1" hidden="1">
      <c r="A320" t="s" s="13">
        <v>1053</v>
      </c>
      <c r="B320" s="14"/>
      <c r="C320" t="str" s="14" cm="1">
        <f t="array" ref="C320">_xlfn.IFERROR((VLOOKUP(A320,#REF!,2,FALSE)),"")</f>
      </c>
      <c r="D320" s="14"/>
      <c r="E320" t="s" s="15">
        <v>1047</v>
      </c>
      <c r="F320" s="14"/>
      <c r="G320" t="s" s="15">
        <v>1048</v>
      </c>
      <c r="H320" t="s" s="15">
        <v>1048</v>
      </c>
      <c r="I320" t="s" s="15">
        <v>111</v>
      </c>
      <c r="J320" t="s" s="15">
        <v>122</v>
      </c>
      <c r="K320" t="s" s="15">
        <v>113</v>
      </c>
      <c r="L320" t="s" s="15">
        <v>76</v>
      </c>
      <c r="M320" t="s" s="15">
        <v>77</v>
      </c>
      <c r="N320" t="s" s="15">
        <v>1048</v>
      </c>
      <c r="O320" s="14"/>
      <c r="P320" s="14"/>
      <c r="Q320" t="s" s="15">
        <v>78</v>
      </c>
      <c r="R320" t="s" s="15">
        <v>83</v>
      </c>
      <c r="S320" s="14"/>
      <c r="T320" s="14"/>
      <c r="U320" s="14"/>
      <c r="V320" t="s" s="15">
        <v>69</v>
      </c>
      <c r="W320" s="14"/>
      <c r="X320" t="s" s="15">
        <v>78</v>
      </c>
      <c r="Y320" s="14"/>
      <c r="Z320" t="s" s="15">
        <v>76</v>
      </c>
      <c r="AA320" s="14"/>
      <c r="AB320" t="s" s="15">
        <v>76</v>
      </c>
      <c r="AC320" s="14"/>
      <c r="AD320" s="14"/>
      <c r="AE320" s="14"/>
      <c r="AF320" s="14"/>
      <c r="AG320" s="14"/>
      <c r="AH320" s="14"/>
      <c r="AI320" t="s" s="15">
        <v>76</v>
      </c>
      <c r="AJ320" t="s" s="15">
        <v>76</v>
      </c>
      <c r="AK320" t="s" s="15">
        <v>79</v>
      </c>
      <c r="AL320" t="s" s="15">
        <v>115</v>
      </c>
      <c r="AM320" s="14"/>
      <c r="AN320" t="s" s="15">
        <v>1049</v>
      </c>
      <c r="AO320" s="14"/>
      <c r="AP320" s="14"/>
      <c r="AQ320" s="14"/>
      <c r="AR320" s="14"/>
      <c r="AS320" t="s" s="15">
        <v>1054</v>
      </c>
      <c r="AT320" s="14"/>
      <c r="AU320" s="14"/>
      <c r="AV320" s="14"/>
      <c r="AW320" s="14"/>
      <c r="AX320" s="14"/>
      <c r="AY320" s="14"/>
      <c r="AZ320" s="14"/>
      <c r="BA320" s="14"/>
      <c r="BB320" s="14"/>
      <c r="BC320" s="14"/>
      <c r="BD320" s="14"/>
      <c r="BE320" s="14"/>
      <c r="BF320" s="14"/>
      <c r="BG320" s="14"/>
      <c r="BH320" s="14"/>
      <c r="BI320" s="14"/>
      <c r="BJ320" s="14"/>
      <c r="BK320" s="14"/>
      <c r="BL320" s="14"/>
      <c r="BM320" s="14"/>
      <c r="BN320" s="14"/>
      <c r="BO320" s="16"/>
      <c r="BP320" s="8"/>
    </row>
    <row r="321" ht="9" customHeight="1" hidden="1">
      <c r="A321" t="s" s="9">
        <v>1055</v>
      </c>
      <c r="B321" s="11"/>
      <c r="C321" t="str" s="11" cm="1">
        <f t="array" ref="C321">_xlfn.IFERROR((VLOOKUP(A321,#REF!,2,FALSE)),"")</f>
      </c>
      <c r="D321" s="11"/>
      <c r="E321" t="s" s="10">
        <v>1047</v>
      </c>
      <c r="F321" s="11"/>
      <c r="G321" t="s" s="10">
        <v>1048</v>
      </c>
      <c r="H321" t="s" s="10">
        <v>1048</v>
      </c>
      <c r="I321" t="s" s="10">
        <v>111</v>
      </c>
      <c r="J321" t="s" s="10">
        <v>122</v>
      </c>
      <c r="K321" t="s" s="10">
        <v>113</v>
      </c>
      <c r="L321" t="s" s="10">
        <v>76</v>
      </c>
      <c r="M321" t="s" s="10">
        <v>77</v>
      </c>
      <c r="N321" t="s" s="10">
        <v>1048</v>
      </c>
      <c r="O321" s="11"/>
      <c r="P321" s="11"/>
      <c r="Q321" t="s" s="10">
        <v>78</v>
      </c>
      <c r="R321" t="s" s="10">
        <v>83</v>
      </c>
      <c r="S321" s="11"/>
      <c r="T321" s="11"/>
      <c r="U321" s="11"/>
      <c r="V321" t="s" s="10">
        <v>69</v>
      </c>
      <c r="W321" s="11"/>
      <c r="X321" t="s" s="10">
        <v>78</v>
      </c>
      <c r="Y321" s="11"/>
      <c r="Z321" t="s" s="10">
        <v>76</v>
      </c>
      <c r="AA321" s="11"/>
      <c r="AB321" t="s" s="10">
        <v>76</v>
      </c>
      <c r="AC321" s="11"/>
      <c r="AD321" s="11"/>
      <c r="AE321" s="11"/>
      <c r="AF321" s="11"/>
      <c r="AG321" s="11"/>
      <c r="AH321" s="11"/>
      <c r="AI321" t="s" s="10">
        <v>76</v>
      </c>
      <c r="AJ321" t="s" s="10">
        <v>76</v>
      </c>
      <c r="AK321" t="s" s="10">
        <v>79</v>
      </c>
      <c r="AL321" t="s" s="10">
        <v>115</v>
      </c>
      <c r="AM321" s="11"/>
      <c r="AN321" t="s" s="10">
        <v>1056</v>
      </c>
      <c r="AO321" s="11"/>
      <c r="AP321" s="11"/>
      <c r="AQ321" s="11"/>
      <c r="AR321" s="11"/>
      <c r="AS321" t="s" s="10">
        <v>1057</v>
      </c>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2"/>
      <c r="BP321" s="8"/>
    </row>
    <row r="322" ht="9" customHeight="1" hidden="1">
      <c r="A322" t="s" s="13">
        <v>1058</v>
      </c>
      <c r="B322" s="14"/>
      <c r="C322" t="str" s="14" cm="1">
        <f t="array" ref="C322">_xlfn.IFERROR((VLOOKUP(A322,#REF!,2,FALSE)),"")</f>
      </c>
      <c r="D322" t="s" s="15">
        <v>70</v>
      </c>
      <c r="E322" t="s" s="15">
        <v>450</v>
      </c>
      <c r="F322" s="14"/>
      <c r="G322" t="s" s="15">
        <v>1059</v>
      </c>
      <c r="H322" t="s" s="15">
        <v>1059</v>
      </c>
      <c r="I322" t="s" s="15">
        <v>111</v>
      </c>
      <c r="J322" t="s" s="15">
        <v>452</v>
      </c>
      <c r="K322" t="s" s="15">
        <v>75</v>
      </c>
      <c r="L322" t="s" s="15">
        <v>76</v>
      </c>
      <c r="M322" t="s" s="15">
        <v>77</v>
      </c>
      <c r="N322" t="s" s="15">
        <v>1059</v>
      </c>
      <c r="O322" s="14"/>
      <c r="P322" s="14"/>
      <c r="Q322" t="s" s="15">
        <v>78</v>
      </c>
      <c r="R322" t="s" s="15">
        <v>83</v>
      </c>
      <c r="S322" s="14"/>
      <c r="T322" s="14"/>
      <c r="U322" s="14"/>
      <c r="V322" t="s" s="15">
        <v>78</v>
      </c>
      <c r="W322" s="14"/>
      <c r="X322" t="s" s="15">
        <v>69</v>
      </c>
      <c r="Y322" s="14"/>
      <c r="Z322" t="s" s="15">
        <v>76</v>
      </c>
      <c r="AA322" s="14"/>
      <c r="AB322" t="s" s="15">
        <v>76</v>
      </c>
      <c r="AC322" s="14"/>
      <c r="AD322" s="14"/>
      <c r="AE322" s="14"/>
      <c r="AF322" s="14"/>
      <c r="AG322" s="14"/>
      <c r="AH322" s="14"/>
      <c r="AI322" t="s" s="15">
        <v>76</v>
      </c>
      <c r="AJ322" t="s" s="15">
        <v>76</v>
      </c>
      <c r="AK322" t="s" s="15">
        <v>79</v>
      </c>
      <c r="AL322" t="s" s="15">
        <v>115</v>
      </c>
      <c r="AM322" s="14"/>
      <c r="AN322" s="14"/>
      <c r="AO322" s="14"/>
      <c r="AP322" s="14"/>
      <c r="AQ322" s="14"/>
      <c r="AR322" s="14"/>
      <c r="AS322" t="s" s="15">
        <v>1060</v>
      </c>
      <c r="AT322" s="14"/>
      <c r="AU322" s="14"/>
      <c r="AV322" s="14"/>
      <c r="AW322" s="14"/>
      <c r="AX322" s="14"/>
      <c r="AY322" s="14"/>
      <c r="AZ322" s="14"/>
      <c r="BA322" s="14"/>
      <c r="BB322" s="14"/>
      <c r="BC322" s="14"/>
      <c r="BD322" s="14"/>
      <c r="BE322" s="14"/>
      <c r="BF322" s="14"/>
      <c r="BG322" s="14"/>
      <c r="BH322" s="14"/>
      <c r="BI322" s="14"/>
      <c r="BJ322" s="14"/>
      <c r="BK322" s="14"/>
      <c r="BL322" s="14"/>
      <c r="BM322" s="14"/>
      <c r="BN322" s="14"/>
      <c r="BO322" s="16"/>
      <c r="BP322" s="8"/>
    </row>
    <row r="323" ht="9" customHeight="1" hidden="1">
      <c r="A323" t="s" s="9">
        <v>1061</v>
      </c>
      <c r="B323" s="11"/>
      <c r="C323" t="str" s="11" cm="1">
        <f t="array" ref="C323">_xlfn.IFERROR((VLOOKUP(A323,#REF!,2,FALSE)),"")</f>
      </c>
      <c r="D323" t="s" s="10">
        <v>70</v>
      </c>
      <c r="E323" t="s" s="10">
        <v>957</v>
      </c>
      <c r="F323" s="11"/>
      <c r="G323" t="s" s="10">
        <v>1034</v>
      </c>
      <c r="H323" t="s" s="10">
        <v>1034</v>
      </c>
      <c r="I323" t="s" s="10">
        <v>111</v>
      </c>
      <c r="J323" t="s" s="10">
        <v>452</v>
      </c>
      <c r="K323" t="s" s="10">
        <v>75</v>
      </c>
      <c r="L323" t="s" s="10">
        <v>76</v>
      </c>
      <c r="M323" t="s" s="10">
        <v>77</v>
      </c>
      <c r="N323" s="11"/>
      <c r="O323" s="11"/>
      <c r="P323" s="11"/>
      <c r="Q323" t="s" s="10">
        <v>78</v>
      </c>
      <c r="R323" t="s" s="10">
        <v>83</v>
      </c>
      <c r="S323" s="11"/>
      <c r="T323" s="11"/>
      <c r="U323" s="11"/>
      <c r="V323" t="s" s="10">
        <v>78</v>
      </c>
      <c r="W323" s="11"/>
      <c r="X323" t="s" s="10">
        <v>78</v>
      </c>
      <c r="Y323" s="11"/>
      <c r="Z323" t="s" s="10">
        <v>76</v>
      </c>
      <c r="AA323" s="11"/>
      <c r="AB323" t="s" s="10">
        <v>76</v>
      </c>
      <c r="AC323" s="11"/>
      <c r="AD323" s="11"/>
      <c r="AE323" s="11"/>
      <c r="AF323" s="11"/>
      <c r="AG323" t="s" s="10">
        <v>453</v>
      </c>
      <c r="AH323" t="s" s="10">
        <v>106</v>
      </c>
      <c r="AI323" t="s" s="10">
        <v>76</v>
      </c>
      <c r="AJ323" t="s" s="10">
        <v>76</v>
      </c>
      <c r="AK323" t="s" s="10">
        <v>79</v>
      </c>
      <c r="AL323" t="s" s="10">
        <v>115</v>
      </c>
      <c r="AM323" s="11"/>
      <c r="AN323" s="11"/>
      <c r="AO323" s="11"/>
      <c r="AP323" s="11"/>
      <c r="AQ323" s="11"/>
      <c r="AR323" s="11"/>
      <c r="AS323" t="s" s="10">
        <v>1062</v>
      </c>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2"/>
      <c r="BP323" s="8"/>
    </row>
    <row r="324" ht="9" customHeight="1" hidden="1">
      <c r="A324" t="s" s="13">
        <v>1063</v>
      </c>
      <c r="B324" s="14"/>
      <c r="C324" t="str" s="14" cm="1">
        <f t="array" ref="C324">_xlfn.IFERROR((VLOOKUP(A324,#REF!,2,FALSE)),"")</f>
      </c>
      <c r="D324" t="s" s="15">
        <v>70</v>
      </c>
      <c r="E324" t="s" s="15">
        <v>957</v>
      </c>
      <c r="F324" s="14"/>
      <c r="G324" t="s" s="15">
        <v>1034</v>
      </c>
      <c r="H324" t="s" s="15">
        <v>1034</v>
      </c>
      <c r="I324" t="s" s="15">
        <v>111</v>
      </c>
      <c r="J324" t="s" s="15">
        <v>452</v>
      </c>
      <c r="K324" t="s" s="15">
        <v>75</v>
      </c>
      <c r="L324" t="s" s="15">
        <v>76</v>
      </c>
      <c r="M324" t="s" s="15">
        <v>77</v>
      </c>
      <c r="N324" s="14"/>
      <c r="O324" s="14"/>
      <c r="P324" s="14"/>
      <c r="Q324" t="s" s="15">
        <v>78</v>
      </c>
      <c r="R324" t="s" s="15">
        <v>83</v>
      </c>
      <c r="S324" s="14"/>
      <c r="T324" s="14"/>
      <c r="U324" s="14"/>
      <c r="V324" t="s" s="15">
        <v>78</v>
      </c>
      <c r="W324" s="14"/>
      <c r="X324" t="s" s="15">
        <v>78</v>
      </c>
      <c r="Y324" s="14"/>
      <c r="Z324" t="s" s="15">
        <v>76</v>
      </c>
      <c r="AA324" s="14"/>
      <c r="AB324" t="s" s="15">
        <v>76</v>
      </c>
      <c r="AC324" s="14"/>
      <c r="AD324" s="14"/>
      <c r="AE324" s="14"/>
      <c r="AF324" s="14"/>
      <c r="AG324" t="s" s="15">
        <v>453</v>
      </c>
      <c r="AH324" t="s" s="15">
        <v>106</v>
      </c>
      <c r="AI324" t="s" s="15">
        <v>76</v>
      </c>
      <c r="AJ324" t="s" s="15">
        <v>76</v>
      </c>
      <c r="AK324" t="s" s="15">
        <v>79</v>
      </c>
      <c r="AL324" t="s" s="15">
        <v>115</v>
      </c>
      <c r="AM324" s="14"/>
      <c r="AN324" s="14"/>
      <c r="AO324" s="14"/>
      <c r="AP324" s="14"/>
      <c r="AQ324" s="14"/>
      <c r="AR324" s="14"/>
      <c r="AS324" t="s" s="15">
        <v>1064</v>
      </c>
      <c r="AT324" s="14"/>
      <c r="AU324" s="14"/>
      <c r="AV324" s="14"/>
      <c r="AW324" s="14"/>
      <c r="AX324" s="14"/>
      <c r="AY324" s="14"/>
      <c r="AZ324" s="14"/>
      <c r="BA324" s="14"/>
      <c r="BB324" s="14"/>
      <c r="BC324" s="14"/>
      <c r="BD324" s="14"/>
      <c r="BE324" s="14"/>
      <c r="BF324" s="14"/>
      <c r="BG324" s="14"/>
      <c r="BH324" s="14"/>
      <c r="BI324" s="14"/>
      <c r="BJ324" s="14"/>
      <c r="BK324" s="14"/>
      <c r="BL324" s="14"/>
      <c r="BM324" s="14"/>
      <c r="BN324" s="14"/>
      <c r="BO324" s="16"/>
      <c r="BP324" s="8"/>
    </row>
    <row r="325" ht="9" customHeight="1" hidden="1">
      <c r="A325" t="s" s="9">
        <v>1065</v>
      </c>
      <c r="B325" s="11"/>
      <c r="C325" t="str" s="11" cm="1">
        <f t="array" ref="C325">_xlfn.IFERROR((VLOOKUP(A325,#REF!,2,FALSE)),"")</f>
      </c>
      <c r="D325" t="s" s="10">
        <v>70</v>
      </c>
      <c r="E325" t="s" s="10">
        <v>957</v>
      </c>
      <c r="F325" s="11"/>
      <c r="G325" t="s" s="10">
        <v>1034</v>
      </c>
      <c r="H325" t="s" s="10">
        <v>1034</v>
      </c>
      <c r="I325" t="s" s="10">
        <v>271</v>
      </c>
      <c r="J325" t="s" s="10">
        <v>74</v>
      </c>
      <c r="K325" t="s" s="10">
        <v>75</v>
      </c>
      <c r="L325" t="s" s="10">
        <v>76</v>
      </c>
      <c r="M325" t="s" s="10">
        <v>77</v>
      </c>
      <c r="N325" s="11"/>
      <c r="O325" s="11"/>
      <c r="P325" s="11"/>
      <c r="Q325" t="s" s="10">
        <v>78</v>
      </c>
      <c r="R325" t="s" s="10">
        <v>83</v>
      </c>
      <c r="S325" s="11"/>
      <c r="T325" s="11"/>
      <c r="U325" s="11"/>
      <c r="V325" t="s" s="10">
        <v>78</v>
      </c>
      <c r="W325" s="11"/>
      <c r="X325" t="s" s="10">
        <v>78</v>
      </c>
      <c r="Y325" s="11"/>
      <c r="Z325" t="s" s="10">
        <v>76</v>
      </c>
      <c r="AA325" s="11"/>
      <c r="AB325" t="s" s="10">
        <v>76</v>
      </c>
      <c r="AC325" s="11"/>
      <c r="AD325" s="11"/>
      <c r="AE325" s="11"/>
      <c r="AF325" s="11"/>
      <c r="AG325" t="s" s="10">
        <v>453</v>
      </c>
      <c r="AH325" t="s" s="10">
        <v>106</v>
      </c>
      <c r="AI325" t="s" s="10">
        <v>76</v>
      </c>
      <c r="AJ325" t="s" s="10">
        <v>76</v>
      </c>
      <c r="AK325" t="s" s="10">
        <v>79</v>
      </c>
      <c r="AL325" t="s" s="10">
        <v>115</v>
      </c>
      <c r="AM325" s="11"/>
      <c r="AN325" s="11"/>
      <c r="AO325" s="11"/>
      <c r="AP325" s="11"/>
      <c r="AQ325" s="11"/>
      <c r="AR325" s="11"/>
      <c r="AS325" t="s" s="10">
        <v>1066</v>
      </c>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2"/>
      <c r="BP325" s="8"/>
    </row>
    <row r="326" ht="9" customHeight="1" hidden="1">
      <c r="A326" t="s" s="13">
        <v>1067</v>
      </c>
      <c r="B326" s="14"/>
      <c r="C326" t="str" s="14" cm="1">
        <f t="array" ref="C326">_xlfn.IFERROR((VLOOKUP(A326,#REF!,2,FALSE)),"")</f>
      </c>
      <c r="D326" t="s" s="15">
        <v>70</v>
      </c>
      <c r="E326" t="s" s="15">
        <v>957</v>
      </c>
      <c r="F326" s="14"/>
      <c r="G326" t="s" s="15">
        <v>1034</v>
      </c>
      <c r="H326" t="s" s="15">
        <v>1034</v>
      </c>
      <c r="I326" t="s" s="15">
        <v>111</v>
      </c>
      <c r="J326" t="s" s="15">
        <v>452</v>
      </c>
      <c r="K326" t="s" s="15">
        <v>75</v>
      </c>
      <c r="L326" t="s" s="15">
        <v>76</v>
      </c>
      <c r="M326" t="s" s="15">
        <v>77</v>
      </c>
      <c r="N326" s="14"/>
      <c r="O326" s="14"/>
      <c r="P326" s="14"/>
      <c r="Q326" t="s" s="15">
        <v>78</v>
      </c>
      <c r="R326" t="s" s="15">
        <v>83</v>
      </c>
      <c r="S326" s="14"/>
      <c r="T326" s="14"/>
      <c r="U326" s="14"/>
      <c r="V326" t="s" s="15">
        <v>78</v>
      </c>
      <c r="W326" s="14"/>
      <c r="X326" t="s" s="15">
        <v>78</v>
      </c>
      <c r="Y326" s="14"/>
      <c r="Z326" t="s" s="15">
        <v>76</v>
      </c>
      <c r="AA326" s="14"/>
      <c r="AB326" t="s" s="15">
        <v>76</v>
      </c>
      <c r="AC326" s="14"/>
      <c r="AD326" s="14"/>
      <c r="AE326" s="14"/>
      <c r="AF326" s="14"/>
      <c r="AG326" t="s" s="15">
        <v>453</v>
      </c>
      <c r="AH326" t="s" s="15">
        <v>106</v>
      </c>
      <c r="AI326" t="s" s="15">
        <v>76</v>
      </c>
      <c r="AJ326" t="s" s="15">
        <v>76</v>
      </c>
      <c r="AK326" t="s" s="15">
        <v>79</v>
      </c>
      <c r="AL326" t="s" s="15">
        <v>115</v>
      </c>
      <c r="AM326" s="14"/>
      <c r="AN326" s="14"/>
      <c r="AO326" s="14"/>
      <c r="AP326" s="14"/>
      <c r="AQ326" s="14"/>
      <c r="AR326" s="14"/>
      <c r="AS326" t="s" s="15">
        <v>1068</v>
      </c>
      <c r="AT326" s="14"/>
      <c r="AU326" s="14"/>
      <c r="AV326" s="14"/>
      <c r="AW326" s="14"/>
      <c r="AX326" s="14"/>
      <c r="AY326" s="14"/>
      <c r="AZ326" s="14"/>
      <c r="BA326" s="14"/>
      <c r="BB326" s="14"/>
      <c r="BC326" s="14"/>
      <c r="BD326" s="14"/>
      <c r="BE326" s="14"/>
      <c r="BF326" s="14"/>
      <c r="BG326" s="14"/>
      <c r="BH326" s="14"/>
      <c r="BI326" s="14"/>
      <c r="BJ326" s="14"/>
      <c r="BK326" s="14"/>
      <c r="BL326" s="14"/>
      <c r="BM326" s="14"/>
      <c r="BN326" s="14"/>
      <c r="BO326" s="16"/>
      <c r="BP326" s="8"/>
    </row>
    <row r="327" ht="9" customHeight="1" hidden="1">
      <c r="A327" t="s" s="9">
        <v>1069</v>
      </c>
      <c r="B327" s="11"/>
      <c r="C327" t="str" s="11" cm="1">
        <f t="array" ref="C327">_xlfn.IFERROR((VLOOKUP(A327,#REF!,2,FALSE)),"")</f>
      </c>
      <c r="D327" t="s" s="10">
        <v>70</v>
      </c>
      <c r="E327" t="s" s="10">
        <v>957</v>
      </c>
      <c r="F327" s="11"/>
      <c r="G327" t="s" s="10">
        <v>1034</v>
      </c>
      <c r="H327" t="s" s="10">
        <v>1034</v>
      </c>
      <c r="I327" t="s" s="10">
        <v>111</v>
      </c>
      <c r="J327" t="s" s="10">
        <v>452</v>
      </c>
      <c r="K327" t="s" s="10">
        <v>75</v>
      </c>
      <c r="L327" t="s" s="10">
        <v>76</v>
      </c>
      <c r="M327" t="s" s="10">
        <v>77</v>
      </c>
      <c r="N327" s="11"/>
      <c r="O327" s="11"/>
      <c r="P327" s="11"/>
      <c r="Q327" t="s" s="10">
        <v>78</v>
      </c>
      <c r="R327" t="s" s="10">
        <v>83</v>
      </c>
      <c r="S327" s="11"/>
      <c r="T327" s="11"/>
      <c r="U327" s="11"/>
      <c r="V327" t="s" s="10">
        <v>78</v>
      </c>
      <c r="W327" s="11"/>
      <c r="X327" t="s" s="10">
        <v>78</v>
      </c>
      <c r="Y327" s="11"/>
      <c r="Z327" t="s" s="10">
        <v>76</v>
      </c>
      <c r="AA327" s="11"/>
      <c r="AB327" t="s" s="10">
        <v>76</v>
      </c>
      <c r="AC327" s="11"/>
      <c r="AD327" s="11"/>
      <c r="AE327" s="11"/>
      <c r="AF327" s="11"/>
      <c r="AG327" t="s" s="10">
        <v>453</v>
      </c>
      <c r="AH327" t="s" s="10">
        <v>106</v>
      </c>
      <c r="AI327" t="s" s="10">
        <v>76</v>
      </c>
      <c r="AJ327" t="s" s="10">
        <v>76</v>
      </c>
      <c r="AK327" t="s" s="10">
        <v>79</v>
      </c>
      <c r="AL327" t="s" s="10">
        <v>115</v>
      </c>
      <c r="AM327" s="11"/>
      <c r="AN327" s="11"/>
      <c r="AO327" s="11"/>
      <c r="AP327" s="11"/>
      <c r="AQ327" s="11"/>
      <c r="AR327" s="11"/>
      <c r="AS327" t="s" s="10">
        <v>1070</v>
      </c>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2"/>
      <c r="BP327" s="8"/>
    </row>
    <row r="328" ht="9" customHeight="1" hidden="1">
      <c r="A328" t="s" s="13">
        <v>1071</v>
      </c>
      <c r="B328" s="14"/>
      <c r="C328" t="str" s="14" cm="1">
        <f t="array" ref="C328">_xlfn.IFERROR((VLOOKUP(A328,#REF!,2,FALSE)),"")</f>
      </c>
      <c r="D328" t="s" s="15">
        <v>70</v>
      </c>
      <c r="E328" s="14"/>
      <c r="F328" s="14"/>
      <c r="G328" t="s" s="15">
        <v>1072</v>
      </c>
      <c r="H328" t="s" s="15">
        <v>1072</v>
      </c>
      <c r="I328" t="s" s="15">
        <v>111</v>
      </c>
      <c r="J328" t="s" s="15">
        <v>122</v>
      </c>
      <c r="K328" t="s" s="15">
        <v>105</v>
      </c>
      <c r="L328" t="s" s="15">
        <v>76</v>
      </c>
      <c r="M328" t="s" s="15">
        <v>1072</v>
      </c>
      <c r="N328" t="s" s="15">
        <v>1072</v>
      </c>
      <c r="O328" t="s" s="15">
        <v>71</v>
      </c>
      <c r="P328" t="s" s="15">
        <v>122</v>
      </c>
      <c r="Q328" t="s" s="15">
        <v>69</v>
      </c>
      <c r="R328" t="s" s="15">
        <v>83</v>
      </c>
      <c r="S328" s="14"/>
      <c r="T328" s="14"/>
      <c r="U328" s="14"/>
      <c r="V328" t="s" s="15">
        <v>69</v>
      </c>
      <c r="W328" s="14"/>
      <c r="X328" t="s" s="15">
        <v>69</v>
      </c>
      <c r="Y328" s="14"/>
      <c r="Z328" t="s" s="15">
        <v>76</v>
      </c>
      <c r="AA328" s="14"/>
      <c r="AB328" t="s" s="15">
        <v>76</v>
      </c>
      <c r="AC328" t="s" s="15">
        <v>1071</v>
      </c>
      <c r="AD328" t="s" s="15">
        <v>1073</v>
      </c>
      <c r="AE328" s="14"/>
      <c r="AF328" s="14"/>
      <c r="AG328" t="s" s="15">
        <v>299</v>
      </c>
      <c r="AH328" t="s" s="15">
        <v>106</v>
      </c>
      <c r="AI328" t="s" s="15">
        <v>76</v>
      </c>
      <c r="AJ328" t="s" s="15">
        <v>76</v>
      </c>
      <c r="AK328" t="s" s="15">
        <v>79</v>
      </c>
      <c r="AL328" t="s" s="15">
        <v>293</v>
      </c>
      <c r="AM328" t="s" s="15">
        <v>294</v>
      </c>
      <c r="AN328" t="s" s="15">
        <v>650</v>
      </c>
      <c r="AO328" s="17">
        <v>4</v>
      </c>
      <c r="AP328" s="17">
        <v>8192</v>
      </c>
      <c r="AQ328" s="17">
        <v>213090</v>
      </c>
      <c r="AR328" s="17">
        <v>213090</v>
      </c>
      <c r="AS328" t="s" s="15">
        <v>1074</v>
      </c>
      <c r="AT328" t="s" s="15">
        <v>301</v>
      </c>
      <c r="AU328" s="14"/>
      <c r="AV328" s="14"/>
      <c r="AW328" s="14"/>
      <c r="AX328" s="14"/>
      <c r="AY328" s="14"/>
      <c r="AZ328" s="14"/>
      <c r="BA328" s="14"/>
      <c r="BB328" s="14"/>
      <c r="BC328" s="14"/>
      <c r="BD328" s="14"/>
      <c r="BE328" s="14"/>
      <c r="BF328" s="14"/>
      <c r="BG328" s="14"/>
      <c r="BH328" s="14"/>
      <c r="BI328" s="14"/>
      <c r="BJ328" s="14"/>
      <c r="BK328" s="14"/>
      <c r="BL328" s="14"/>
      <c r="BM328" s="14"/>
      <c r="BN328" t="s" s="15">
        <v>69</v>
      </c>
      <c r="BO328" s="16"/>
      <c r="BP328" s="8"/>
    </row>
    <row r="329" ht="15" customHeight="1" hidden="1">
      <c r="A329" t="s" s="9">
        <v>1075</v>
      </c>
      <c r="B329" s="11"/>
      <c r="C329" t="str" s="11" cm="1">
        <f t="array" ref="C329">_xlfn.IFERROR((VLOOKUP(A329,#REF!,2,FALSE)),"")</f>
      </c>
      <c r="D329" t="s" s="10">
        <v>70</v>
      </c>
      <c r="E329" t="s" s="10">
        <v>450</v>
      </c>
      <c r="F329" s="11"/>
      <c r="G329" t="s" s="10">
        <v>1076</v>
      </c>
      <c r="H329" t="s" s="10">
        <v>203</v>
      </c>
      <c r="I329" t="s" s="10">
        <v>111</v>
      </c>
      <c r="J329" t="s" s="10">
        <v>122</v>
      </c>
      <c r="K329" t="s" s="10">
        <v>203</v>
      </c>
      <c r="L329" t="s" s="10">
        <v>204</v>
      </c>
      <c r="M329" t="s" s="10">
        <v>1076</v>
      </c>
      <c r="N329" t="s" s="10">
        <v>1076</v>
      </c>
      <c r="O329" t="s" s="10">
        <v>286</v>
      </c>
      <c r="P329" t="s" s="10">
        <v>122</v>
      </c>
      <c r="Q329" t="s" s="10">
        <v>69</v>
      </c>
      <c r="R329" t="s" s="10">
        <v>83</v>
      </c>
      <c r="S329" s="11"/>
      <c r="T329" s="11"/>
      <c r="U329" s="11"/>
      <c r="V329" t="s" s="10">
        <v>69</v>
      </c>
      <c r="W329" s="11"/>
      <c r="X329" t="s" s="10">
        <v>69</v>
      </c>
      <c r="Y329" s="11"/>
      <c r="Z329" t="s" s="10">
        <v>205</v>
      </c>
      <c r="AA329" s="11"/>
      <c r="AB329" t="s" s="10">
        <v>206</v>
      </c>
      <c r="AC329" t="s" s="10">
        <v>1075</v>
      </c>
      <c r="AD329" t="s" s="10">
        <v>1077</v>
      </c>
      <c r="AE329" s="11"/>
      <c r="AF329" s="11"/>
      <c r="AG329" t="s" s="10">
        <v>288</v>
      </c>
      <c r="AH329" t="s" s="10">
        <v>114</v>
      </c>
      <c r="AI329" t="s" s="10">
        <v>290</v>
      </c>
      <c r="AJ329" t="s" s="10">
        <v>291</v>
      </c>
      <c r="AK329" t="s" s="10">
        <v>292</v>
      </c>
      <c r="AL329" t="s" s="10">
        <v>293</v>
      </c>
      <c r="AM329" t="s" s="10">
        <v>294</v>
      </c>
      <c r="AN329" t="s" s="10">
        <v>128</v>
      </c>
      <c r="AO329" s="18">
        <v>1</v>
      </c>
      <c r="AP329" s="18">
        <v>4096</v>
      </c>
      <c r="AQ329" s="18">
        <v>143359</v>
      </c>
      <c r="AR329" s="18">
        <v>143359</v>
      </c>
      <c r="AS329" t="s" s="10">
        <v>1078</v>
      </c>
      <c r="AT329" s="11"/>
      <c r="AU329" s="11"/>
      <c r="AV329" s="11"/>
      <c r="AW329" t="s" s="10">
        <v>83</v>
      </c>
      <c r="AX329" t="s" s="10">
        <v>83</v>
      </c>
      <c r="AY329" t="s" s="10">
        <v>309</v>
      </c>
      <c r="AZ329" t="s" s="10">
        <v>83</v>
      </c>
      <c r="BA329" t="s" s="10">
        <v>76</v>
      </c>
      <c r="BB329" t="s" s="10">
        <v>76</v>
      </c>
      <c r="BC329" t="s" s="10">
        <v>76</v>
      </c>
      <c r="BD329" t="s" s="10">
        <v>310</v>
      </c>
      <c r="BE329" t="s" s="10">
        <v>419</v>
      </c>
      <c r="BF329" s="18">
        <v>2</v>
      </c>
      <c r="BG329" s="18">
        <v>4</v>
      </c>
      <c r="BH329" t="s" s="10">
        <v>83</v>
      </c>
      <c r="BI329" t="s" s="10">
        <v>83</v>
      </c>
      <c r="BJ329" t="s" s="10">
        <v>83</v>
      </c>
      <c r="BK329" t="s" s="10">
        <v>83</v>
      </c>
      <c r="BL329" t="s" s="10">
        <v>83</v>
      </c>
      <c r="BM329" t="s" s="10">
        <v>312</v>
      </c>
      <c r="BN329" t="s" s="10">
        <v>78</v>
      </c>
      <c r="BO329" t="s" s="19">
        <v>76</v>
      </c>
      <c r="BP329" s="8"/>
    </row>
    <row r="330" ht="9" customHeight="1" hidden="1">
      <c r="A330" t="s" s="13">
        <v>1079</v>
      </c>
      <c r="B330" s="14"/>
      <c r="C330" t="str" s="14" cm="1">
        <f t="array" ref="C330">_xlfn.IFERROR((VLOOKUP(A330,#REF!,2,FALSE)),"")</f>
      </c>
      <c r="D330" t="s" s="15">
        <v>70</v>
      </c>
      <c r="E330" t="s" s="15">
        <v>450</v>
      </c>
      <c r="F330" s="14"/>
      <c r="G330" t="s" s="15">
        <v>1080</v>
      </c>
      <c r="H330" t="s" s="15">
        <v>1081</v>
      </c>
      <c r="I330" t="s" s="15">
        <v>111</v>
      </c>
      <c r="J330" t="s" s="15">
        <v>122</v>
      </c>
      <c r="K330" t="s" s="15">
        <v>113</v>
      </c>
      <c r="L330" t="s" s="15">
        <v>76</v>
      </c>
      <c r="M330" t="s" s="15">
        <v>1080</v>
      </c>
      <c r="N330" t="s" s="15">
        <v>1080</v>
      </c>
      <c r="O330" s="14"/>
      <c r="P330" t="s" s="15">
        <v>122</v>
      </c>
      <c r="Q330" t="s" s="15">
        <v>69</v>
      </c>
      <c r="R330" t="s" s="15">
        <v>83</v>
      </c>
      <c r="S330" s="14"/>
      <c r="T330" s="14"/>
      <c r="U330" s="14"/>
      <c r="V330" t="s" s="15">
        <v>69</v>
      </c>
      <c r="W330" s="14"/>
      <c r="X330" t="s" s="15">
        <v>69</v>
      </c>
      <c r="Y330" s="14"/>
      <c r="Z330" t="s" s="15">
        <v>76</v>
      </c>
      <c r="AA330" s="14"/>
      <c r="AB330" t="s" s="15">
        <v>76</v>
      </c>
      <c r="AC330" t="s" s="15">
        <v>1079</v>
      </c>
      <c r="AD330" t="s" s="15">
        <v>1082</v>
      </c>
      <c r="AE330" s="14"/>
      <c r="AF330" s="14"/>
      <c r="AG330" s="14"/>
      <c r="AH330" t="s" s="15">
        <v>106</v>
      </c>
      <c r="AI330" t="s" s="15">
        <v>76</v>
      </c>
      <c r="AJ330" t="s" s="15">
        <v>76</v>
      </c>
      <c r="AK330" t="s" s="15">
        <v>79</v>
      </c>
      <c r="AL330" t="s" s="15">
        <v>293</v>
      </c>
      <c r="AM330" t="s" s="15">
        <v>294</v>
      </c>
      <c r="AN330" t="s" s="15">
        <v>128</v>
      </c>
      <c r="AO330" s="17">
        <v>8</v>
      </c>
      <c r="AP330" s="17">
        <v>16384</v>
      </c>
      <c r="AQ330" s="17">
        <v>176466</v>
      </c>
      <c r="AR330" s="17">
        <v>69627</v>
      </c>
      <c r="AS330" t="s" s="15">
        <v>1083</v>
      </c>
      <c r="AT330" s="14"/>
      <c r="AU330" s="14"/>
      <c r="AV330" s="14"/>
      <c r="AW330" s="14"/>
      <c r="AX330" s="14"/>
      <c r="AY330" s="14"/>
      <c r="AZ330" s="14"/>
      <c r="BA330" s="14"/>
      <c r="BB330" s="14"/>
      <c r="BC330" s="14"/>
      <c r="BD330" t="s" s="15">
        <v>310</v>
      </c>
      <c r="BE330" t="s" s="15">
        <v>311</v>
      </c>
      <c r="BF330" s="14"/>
      <c r="BG330" s="14"/>
      <c r="BH330" s="14"/>
      <c r="BI330" s="14"/>
      <c r="BJ330" s="14"/>
      <c r="BK330" s="14"/>
      <c r="BL330" s="14"/>
      <c r="BM330" s="14"/>
      <c r="BN330" t="s" s="15">
        <v>78</v>
      </c>
      <c r="BO330" s="16"/>
      <c r="BP330" s="8"/>
    </row>
    <row r="331" ht="9" customHeight="1" hidden="1">
      <c r="A331" t="s" s="9">
        <v>1084</v>
      </c>
      <c r="B331" s="11"/>
      <c r="C331" t="str" s="11" cm="1">
        <f t="array" ref="C331">_xlfn.IFERROR((VLOOKUP(A331,#REF!,2,FALSE)),"")</f>
      </c>
      <c r="D331" t="s" s="10">
        <v>70</v>
      </c>
      <c r="E331" s="11"/>
      <c r="F331" s="11"/>
      <c r="G331" t="s" s="10">
        <v>1085</v>
      </c>
      <c r="H331" t="s" s="10">
        <v>1086</v>
      </c>
      <c r="I331" t="s" s="10">
        <v>111</v>
      </c>
      <c r="J331" t="s" s="10">
        <v>122</v>
      </c>
      <c r="K331" t="s" s="10">
        <v>113</v>
      </c>
      <c r="L331" t="s" s="10">
        <v>76</v>
      </c>
      <c r="M331" t="s" s="10">
        <v>1085</v>
      </c>
      <c r="N331" t="s" s="10">
        <v>1085</v>
      </c>
      <c r="O331" s="11"/>
      <c r="P331" t="s" s="10">
        <v>122</v>
      </c>
      <c r="Q331" t="s" s="10">
        <v>69</v>
      </c>
      <c r="R331" t="s" s="10">
        <v>83</v>
      </c>
      <c r="S331" s="11"/>
      <c r="T331" s="11"/>
      <c r="U331" s="11"/>
      <c r="V331" t="s" s="10">
        <v>69</v>
      </c>
      <c r="W331" s="11"/>
      <c r="X331" t="s" s="10">
        <v>69</v>
      </c>
      <c r="Y331" s="11"/>
      <c r="Z331" t="s" s="10">
        <v>76</v>
      </c>
      <c r="AA331" s="11"/>
      <c r="AB331" t="s" s="10">
        <v>76</v>
      </c>
      <c r="AC331" t="s" s="10">
        <v>1084</v>
      </c>
      <c r="AD331" t="s" s="10">
        <v>1087</v>
      </c>
      <c r="AE331" s="11"/>
      <c r="AF331" s="11"/>
      <c r="AG331" s="11"/>
      <c r="AH331" t="s" s="10">
        <v>106</v>
      </c>
      <c r="AI331" t="s" s="10">
        <v>76</v>
      </c>
      <c r="AJ331" t="s" s="10">
        <v>76</v>
      </c>
      <c r="AK331" t="s" s="10">
        <v>79</v>
      </c>
      <c r="AL331" t="s" s="10">
        <v>293</v>
      </c>
      <c r="AM331" t="s" s="10">
        <v>294</v>
      </c>
      <c r="AN331" t="s" s="10">
        <v>128</v>
      </c>
      <c r="AO331" s="18">
        <v>8</v>
      </c>
      <c r="AP331" s="18">
        <v>16384</v>
      </c>
      <c r="AQ331" s="18">
        <v>176394</v>
      </c>
      <c r="AR331" s="18">
        <v>176394</v>
      </c>
      <c r="AS331" t="s" s="10">
        <v>1088</v>
      </c>
      <c r="AT331" s="11"/>
      <c r="AU331" s="11"/>
      <c r="AV331" s="11"/>
      <c r="AW331" s="11"/>
      <c r="AX331" s="11"/>
      <c r="AY331" s="11"/>
      <c r="AZ331" s="11"/>
      <c r="BA331" s="11"/>
      <c r="BB331" s="11"/>
      <c r="BC331" s="11"/>
      <c r="BD331" t="s" s="10">
        <v>310</v>
      </c>
      <c r="BE331" t="s" s="10">
        <v>356</v>
      </c>
      <c r="BF331" s="11"/>
      <c r="BG331" s="11"/>
      <c r="BH331" s="11"/>
      <c r="BI331" s="11"/>
      <c r="BJ331" s="11"/>
      <c r="BK331" s="11"/>
      <c r="BL331" s="11"/>
      <c r="BM331" s="11"/>
      <c r="BN331" t="s" s="10">
        <v>69</v>
      </c>
      <c r="BO331" s="12"/>
      <c r="BP331" s="8"/>
    </row>
    <row r="332" ht="15" customHeight="1" hidden="1">
      <c r="A332" t="s" s="13">
        <v>1089</v>
      </c>
      <c r="B332" s="14"/>
      <c r="C332" t="str" s="14" cm="1">
        <f t="array" ref="C332">_xlfn.IFERROR((VLOOKUP(A332,#REF!,2,FALSE)),"")</f>
      </c>
      <c r="D332" s="14"/>
      <c r="E332" s="14"/>
      <c r="F332" s="14"/>
      <c r="G332" t="s" s="15">
        <v>203</v>
      </c>
      <c r="H332" t="s" s="15">
        <v>203</v>
      </c>
      <c r="I332" t="s" s="15">
        <v>111</v>
      </c>
      <c r="J332" t="s" s="15">
        <v>122</v>
      </c>
      <c r="K332" t="s" s="15">
        <v>203</v>
      </c>
      <c r="L332" t="s" s="15">
        <v>204</v>
      </c>
      <c r="M332" t="s" s="15">
        <v>1090</v>
      </c>
      <c r="N332" t="s" s="15">
        <v>203</v>
      </c>
      <c r="O332" t="s" s="15">
        <v>286</v>
      </c>
      <c r="P332" t="s" s="15">
        <v>122</v>
      </c>
      <c r="Q332" t="s" s="15">
        <v>69</v>
      </c>
      <c r="R332" t="s" s="15">
        <v>83</v>
      </c>
      <c r="S332" s="14"/>
      <c r="T332" s="14"/>
      <c r="U332" s="14"/>
      <c r="V332" t="s" s="15">
        <v>69</v>
      </c>
      <c r="W332" s="14"/>
      <c r="X332" t="s" s="15">
        <v>78</v>
      </c>
      <c r="Y332" s="14"/>
      <c r="Z332" t="s" s="15">
        <v>205</v>
      </c>
      <c r="AA332" s="14"/>
      <c r="AB332" t="s" s="15">
        <v>206</v>
      </c>
      <c r="AC332" t="s" s="15">
        <v>1089</v>
      </c>
      <c r="AD332" s="14"/>
      <c r="AE332" s="14"/>
      <c r="AF332" s="14"/>
      <c r="AG332" t="s" s="15">
        <v>299</v>
      </c>
      <c r="AH332" t="s" s="15">
        <v>289</v>
      </c>
      <c r="AI332" t="s" s="15">
        <v>290</v>
      </c>
      <c r="AJ332" t="s" s="15">
        <v>291</v>
      </c>
      <c r="AK332" t="s" s="15">
        <v>292</v>
      </c>
      <c r="AL332" t="s" s="15">
        <v>293</v>
      </c>
      <c r="AM332" t="s" s="15">
        <v>294</v>
      </c>
      <c r="AN332" t="s" s="15">
        <v>128</v>
      </c>
      <c r="AO332" s="17">
        <v>8</v>
      </c>
      <c r="AP332" s="17">
        <v>16384</v>
      </c>
      <c r="AQ332" s="17">
        <v>272481</v>
      </c>
      <c r="AR332" s="17">
        <v>272481</v>
      </c>
      <c r="AS332" t="s" s="15">
        <v>305</v>
      </c>
      <c r="AT332" t="s" s="15">
        <v>301</v>
      </c>
      <c r="AU332" s="14"/>
      <c r="AV332" s="14"/>
      <c r="AW332" s="14"/>
      <c r="AX332" s="14"/>
      <c r="AY332" s="14"/>
      <c r="AZ332" s="14"/>
      <c r="BA332" s="14"/>
      <c r="BB332" s="14"/>
      <c r="BC332" s="14"/>
      <c r="BD332" t="s" s="15">
        <v>366</v>
      </c>
      <c r="BE332" t="s" s="15">
        <v>394</v>
      </c>
      <c r="BF332" s="14"/>
      <c r="BG332" s="14"/>
      <c r="BH332" s="14"/>
      <c r="BI332" s="14"/>
      <c r="BJ332" s="14"/>
      <c r="BK332" s="14"/>
      <c r="BL332" s="14"/>
      <c r="BM332" s="14"/>
      <c r="BN332" t="s" s="15">
        <v>78</v>
      </c>
      <c r="BO332" s="16"/>
      <c r="BP332" s="8"/>
    </row>
    <row r="333" ht="9" customHeight="1" hidden="1">
      <c r="A333" t="s" s="9">
        <v>1091</v>
      </c>
      <c r="B333" s="11"/>
      <c r="C333" t="str" s="11" cm="1">
        <f t="array" ref="C333">_xlfn.IFERROR((VLOOKUP(A333,#REF!,2,FALSE)),"")</f>
      </c>
      <c r="D333" t="s" s="10">
        <v>70</v>
      </c>
      <c r="E333" t="s" s="10">
        <v>450</v>
      </c>
      <c r="F333" s="11"/>
      <c r="G333" t="s" s="10">
        <v>1092</v>
      </c>
      <c r="H333" t="s" s="10">
        <v>203</v>
      </c>
      <c r="I333" t="s" s="10">
        <v>111</v>
      </c>
      <c r="J333" t="s" s="10">
        <v>122</v>
      </c>
      <c r="K333" t="s" s="10">
        <v>203</v>
      </c>
      <c r="L333" t="s" s="10">
        <v>204</v>
      </c>
      <c r="M333" t="s" s="10">
        <v>1092</v>
      </c>
      <c r="N333" s="11"/>
      <c r="O333" s="11"/>
      <c r="P333" t="s" s="10">
        <v>122</v>
      </c>
      <c r="Q333" t="s" s="10">
        <v>69</v>
      </c>
      <c r="R333" t="s" s="10">
        <v>83</v>
      </c>
      <c r="S333" s="11"/>
      <c r="T333" s="11"/>
      <c r="U333" s="11"/>
      <c r="V333" t="s" s="10">
        <v>69</v>
      </c>
      <c r="W333" s="11"/>
      <c r="X333" t="s" s="10">
        <v>78</v>
      </c>
      <c r="Y333" s="11"/>
      <c r="Z333" t="s" s="10">
        <v>205</v>
      </c>
      <c r="AA333" s="11"/>
      <c r="AB333" t="s" s="10">
        <v>206</v>
      </c>
      <c r="AC333" t="s" s="10">
        <v>1091</v>
      </c>
      <c r="AD333" s="11"/>
      <c r="AE333" s="11"/>
      <c r="AF333" s="11"/>
      <c r="AG333" s="11"/>
      <c r="AH333" s="11"/>
      <c r="AI333" t="s" s="10">
        <v>76</v>
      </c>
      <c r="AJ333" t="s" s="10">
        <v>76</v>
      </c>
      <c r="AK333" t="s" s="10">
        <v>79</v>
      </c>
      <c r="AL333" t="s" s="10">
        <v>293</v>
      </c>
      <c r="AM333" t="s" s="10">
        <v>294</v>
      </c>
      <c r="AN333" t="s" s="10">
        <v>128</v>
      </c>
      <c r="AO333" s="18">
        <v>8</v>
      </c>
      <c r="AP333" s="18">
        <v>12288</v>
      </c>
      <c r="AQ333" s="18">
        <v>268685</v>
      </c>
      <c r="AR333" s="18">
        <v>268685</v>
      </c>
      <c r="AS333" t="s" s="10">
        <v>1093</v>
      </c>
      <c r="AT333" s="11"/>
      <c r="AU333" s="11"/>
      <c r="AV333" s="11"/>
      <c r="AW333" s="11"/>
      <c r="AX333" s="11"/>
      <c r="AY333" s="11"/>
      <c r="AZ333" s="11"/>
      <c r="BA333" s="11"/>
      <c r="BB333" s="11"/>
      <c r="BC333" s="11"/>
      <c r="BD333" t="s" s="10">
        <v>310</v>
      </c>
      <c r="BE333" t="s" s="10">
        <v>356</v>
      </c>
      <c r="BF333" s="11"/>
      <c r="BG333" s="11"/>
      <c r="BH333" s="11"/>
      <c r="BI333" s="11"/>
      <c r="BJ333" s="11"/>
      <c r="BK333" s="11"/>
      <c r="BL333" s="11"/>
      <c r="BM333" s="11"/>
      <c r="BN333" t="s" s="10">
        <v>78</v>
      </c>
      <c r="BO333" s="12"/>
      <c r="BP333" s="8"/>
    </row>
    <row r="334" ht="15" customHeight="1" hidden="1">
      <c r="A334" t="s" s="13">
        <v>1094</v>
      </c>
      <c r="B334" s="14"/>
      <c r="C334" t="str" s="14" cm="1">
        <f t="array" ref="C334">_xlfn.IFERROR((VLOOKUP(A334,#REF!,2,FALSE)),"")</f>
      </c>
      <c r="D334" s="14"/>
      <c r="E334" t="s" s="15">
        <v>1095</v>
      </c>
      <c r="F334" s="14"/>
      <c r="G334" t="s" s="15">
        <v>1096</v>
      </c>
      <c r="H334" t="s" s="15">
        <v>127</v>
      </c>
      <c r="I334" t="s" s="15">
        <v>111</v>
      </c>
      <c r="J334" t="s" s="15">
        <v>122</v>
      </c>
      <c r="K334" t="s" s="15">
        <v>127</v>
      </c>
      <c r="L334" t="s" s="15">
        <v>76</v>
      </c>
      <c r="M334" t="s" s="15">
        <v>1097</v>
      </c>
      <c r="N334" t="s" s="15">
        <v>1096</v>
      </c>
      <c r="O334" t="s" s="15">
        <v>286</v>
      </c>
      <c r="P334" t="s" s="15">
        <v>122</v>
      </c>
      <c r="Q334" t="s" s="15">
        <v>69</v>
      </c>
      <c r="R334" t="s" s="15">
        <v>83</v>
      </c>
      <c r="S334" s="14"/>
      <c r="T334" s="14"/>
      <c r="U334" s="14"/>
      <c r="V334" t="s" s="15">
        <v>69</v>
      </c>
      <c r="W334" s="14"/>
      <c r="X334" t="s" s="15">
        <v>69</v>
      </c>
      <c r="Y334" s="14"/>
      <c r="Z334" t="s" s="15">
        <v>76</v>
      </c>
      <c r="AA334" s="14"/>
      <c r="AB334" t="s" s="15">
        <v>76</v>
      </c>
      <c r="AC334" t="s" s="15">
        <v>1094</v>
      </c>
      <c r="AD334" t="s" s="15">
        <v>1098</v>
      </c>
      <c r="AE334" s="14"/>
      <c r="AF334" s="14"/>
      <c r="AG334" t="s" s="15">
        <v>299</v>
      </c>
      <c r="AH334" t="s" s="15">
        <v>114</v>
      </c>
      <c r="AI334" t="s" s="15">
        <v>604</v>
      </c>
      <c r="AJ334" s="14"/>
      <c r="AK334" t="s" s="15">
        <v>83</v>
      </c>
      <c r="AL334" t="s" s="15">
        <v>293</v>
      </c>
      <c r="AM334" t="s" s="15">
        <v>294</v>
      </c>
      <c r="AN334" t="s" s="15">
        <v>128</v>
      </c>
      <c r="AO334" s="17">
        <v>24</v>
      </c>
      <c r="AP334" s="17">
        <v>55296</v>
      </c>
      <c r="AQ334" s="17">
        <v>38222651</v>
      </c>
      <c r="AR334" s="17">
        <v>34427015</v>
      </c>
      <c r="AS334" t="s" s="15">
        <v>1099</v>
      </c>
      <c r="AT334" t="s" s="15">
        <v>301</v>
      </c>
      <c r="AU334" s="14"/>
      <c r="AV334" s="14"/>
      <c r="AW334" s="14"/>
      <c r="AX334" s="14"/>
      <c r="AY334" s="14"/>
      <c r="AZ334" s="14"/>
      <c r="BA334" s="14"/>
      <c r="BB334" s="14"/>
      <c r="BC334" s="14"/>
      <c r="BD334" t="s" s="15">
        <v>310</v>
      </c>
      <c r="BE334" t="s" s="15">
        <v>1100</v>
      </c>
      <c r="BF334" s="17">
        <v>32</v>
      </c>
      <c r="BG334" s="17">
        <v>64</v>
      </c>
      <c r="BH334" s="14"/>
      <c r="BI334" s="14"/>
      <c r="BJ334" s="14"/>
      <c r="BK334" s="14"/>
      <c r="BL334" s="14"/>
      <c r="BM334" s="14"/>
      <c r="BN334" t="s" s="15">
        <v>69</v>
      </c>
      <c r="BO334" s="16"/>
      <c r="BP334" s="8"/>
    </row>
    <row r="335" ht="9" customHeight="1" hidden="1">
      <c r="A335" t="s" s="9">
        <v>1101</v>
      </c>
      <c r="B335" s="11"/>
      <c r="C335" t="str" s="11" cm="1">
        <f t="array" ref="C335">_xlfn.IFERROR((VLOOKUP(A335,#REF!,2,FALSE)),"")</f>
      </c>
      <c r="D335" t="s" s="10">
        <v>70</v>
      </c>
      <c r="E335" s="11"/>
      <c r="F335" s="11"/>
      <c r="G335" t="s" s="10">
        <v>1102</v>
      </c>
      <c r="H335" t="s" s="10">
        <v>1102</v>
      </c>
      <c r="I335" t="s" s="10">
        <v>111</v>
      </c>
      <c r="J335" t="s" s="10">
        <v>122</v>
      </c>
      <c r="K335" t="s" s="10">
        <v>210</v>
      </c>
      <c r="L335" t="s" s="10">
        <v>76</v>
      </c>
      <c r="M335" t="s" s="10">
        <v>1102</v>
      </c>
      <c r="N335" t="s" s="10">
        <v>1102</v>
      </c>
      <c r="O335" s="11"/>
      <c r="P335" t="s" s="10">
        <v>122</v>
      </c>
      <c r="Q335" t="s" s="10">
        <v>69</v>
      </c>
      <c r="R335" t="s" s="10">
        <v>83</v>
      </c>
      <c r="S335" s="11"/>
      <c r="T335" s="11"/>
      <c r="U335" s="11"/>
      <c r="V335" t="s" s="10">
        <v>69</v>
      </c>
      <c r="W335" s="11"/>
      <c r="X335" t="s" s="10">
        <v>69</v>
      </c>
      <c r="Y335" s="11"/>
      <c r="Z335" t="s" s="10">
        <v>76</v>
      </c>
      <c r="AA335" s="11"/>
      <c r="AB335" t="s" s="10">
        <v>76</v>
      </c>
      <c r="AC335" t="s" s="10">
        <v>1101</v>
      </c>
      <c r="AD335" t="s" s="10">
        <v>1103</v>
      </c>
      <c r="AE335" s="11"/>
      <c r="AF335" s="11"/>
      <c r="AG335" s="11"/>
      <c r="AH335" t="s" s="10">
        <v>106</v>
      </c>
      <c r="AI335" t="s" s="10">
        <v>76</v>
      </c>
      <c r="AJ335" t="s" s="10">
        <v>76</v>
      </c>
      <c r="AK335" t="s" s="10">
        <v>79</v>
      </c>
      <c r="AL335" t="s" s="10">
        <v>293</v>
      </c>
      <c r="AM335" t="s" s="10">
        <v>294</v>
      </c>
      <c r="AN335" t="s" s="10">
        <v>128</v>
      </c>
      <c r="AO335" s="18">
        <v>8</v>
      </c>
      <c r="AP335" s="18">
        <v>8192</v>
      </c>
      <c r="AQ335" s="18">
        <v>282736</v>
      </c>
      <c r="AR335" s="18">
        <v>168594</v>
      </c>
      <c r="AS335" t="s" s="10">
        <v>1104</v>
      </c>
      <c r="AT335" s="11"/>
      <c r="AU335" s="11"/>
      <c r="AV335" s="11"/>
      <c r="AW335" s="11"/>
      <c r="AX335" s="11"/>
      <c r="AY335" s="11"/>
      <c r="AZ335" s="11"/>
      <c r="BA335" s="11"/>
      <c r="BB335" s="11"/>
      <c r="BC335" s="11"/>
      <c r="BD335" t="s" s="10">
        <v>310</v>
      </c>
      <c r="BE335" t="s" s="10">
        <v>356</v>
      </c>
      <c r="BF335" s="11"/>
      <c r="BG335" s="11"/>
      <c r="BH335" s="11"/>
      <c r="BI335" s="11"/>
      <c r="BJ335" s="11"/>
      <c r="BK335" s="11"/>
      <c r="BL335" s="11"/>
      <c r="BM335" s="11"/>
      <c r="BN335" t="s" s="10">
        <v>69</v>
      </c>
      <c r="BO335" s="12"/>
      <c r="BP335" s="8"/>
    </row>
    <row r="336" ht="13.55" customHeight="1">
      <c r="A336" t="s" s="13">
        <v>1105</v>
      </c>
      <c r="B336" s="14"/>
      <c r="C336" t="str" s="14" cm="1">
        <f t="array" ref="C336">_xlfn.IFERROR((VLOOKUP(A336,#REF!,2,FALSE)),"")</f>
      </c>
      <c r="D336" s="14"/>
      <c r="E336" s="14"/>
      <c r="F336" s="14"/>
      <c r="G336" t="s" s="15">
        <v>1106</v>
      </c>
      <c r="H336" t="s" s="15">
        <v>1107</v>
      </c>
      <c r="I336" t="s" s="15">
        <v>111</v>
      </c>
      <c r="J336" t="s" s="15">
        <v>122</v>
      </c>
      <c r="K336" t="s" s="15">
        <v>127</v>
      </c>
      <c r="L336" t="s" s="15">
        <v>76</v>
      </c>
      <c r="M336" t="s" s="15">
        <v>1106</v>
      </c>
      <c r="N336" t="s" s="15">
        <v>1106</v>
      </c>
      <c r="O336" s="14"/>
      <c r="P336" t="s" s="15">
        <v>122</v>
      </c>
      <c r="Q336" t="s" s="15">
        <v>69</v>
      </c>
      <c r="R336" t="s" s="15">
        <v>83</v>
      </c>
      <c r="S336" t="s" s="15">
        <v>69</v>
      </c>
      <c r="T336" s="14"/>
      <c r="U336" s="14"/>
      <c r="V336" t="s" s="15">
        <v>69</v>
      </c>
      <c r="W336" s="14"/>
      <c r="X336" t="s" s="15">
        <v>69</v>
      </c>
      <c r="Y336" s="14"/>
      <c r="Z336" t="s" s="15">
        <v>76</v>
      </c>
      <c r="AA336" s="14"/>
      <c r="AB336" t="s" s="15">
        <v>76</v>
      </c>
      <c r="AC336" t="s" s="15">
        <v>1105</v>
      </c>
      <c r="AD336" s="14"/>
      <c r="AE336" s="14"/>
      <c r="AF336" s="14"/>
      <c r="AG336" s="14"/>
      <c r="AH336" t="s" s="15">
        <v>114</v>
      </c>
      <c r="AI336" t="s" s="15">
        <v>717</v>
      </c>
      <c r="AJ336" s="14"/>
      <c r="AK336" t="s" s="15">
        <v>79</v>
      </c>
      <c r="AL336" t="s" s="15">
        <v>293</v>
      </c>
      <c r="AM336" t="s" s="15">
        <v>294</v>
      </c>
      <c r="AN336" t="s" s="15">
        <v>128</v>
      </c>
      <c r="AO336" s="17">
        <v>4</v>
      </c>
      <c r="AP336" s="17">
        <v>8192</v>
      </c>
      <c r="AQ336" s="17">
        <v>151742</v>
      </c>
      <c r="AR336" s="17">
        <v>151742</v>
      </c>
      <c r="AS336" t="s" s="15">
        <v>1108</v>
      </c>
      <c r="AT336" s="14"/>
      <c r="AU336" s="14"/>
      <c r="AV336" s="14"/>
      <c r="AW336" s="14"/>
      <c r="AX336" s="14"/>
      <c r="AY336" s="14"/>
      <c r="AZ336" s="14"/>
      <c r="BA336" s="14"/>
      <c r="BB336" s="14"/>
      <c r="BC336" s="14"/>
      <c r="BD336" t="s" s="15">
        <v>310</v>
      </c>
      <c r="BE336" t="s" s="15">
        <v>356</v>
      </c>
      <c r="BF336" s="17">
        <v>4</v>
      </c>
      <c r="BG336" s="17">
        <v>8</v>
      </c>
      <c r="BH336" s="14"/>
      <c r="BI336" s="14"/>
      <c r="BJ336" s="14"/>
      <c r="BK336" s="14"/>
      <c r="BL336" s="14"/>
      <c r="BM336" s="14"/>
      <c r="BN336" t="s" s="15">
        <v>69</v>
      </c>
      <c r="BO336" s="16"/>
      <c r="BP336" s="8"/>
    </row>
    <row r="337" ht="13.55" customHeight="1">
      <c r="A337" t="s" s="9">
        <v>1109</v>
      </c>
      <c r="B337" s="11"/>
      <c r="C337" t="str" s="11" cm="1">
        <f t="array" ref="C337">_xlfn.IFERROR((VLOOKUP(A337,#REF!,2,FALSE)),"")</f>
      </c>
      <c r="D337" s="11"/>
      <c r="E337" s="11"/>
      <c r="F337" s="11"/>
      <c r="G337" t="s" s="10">
        <v>1110</v>
      </c>
      <c r="H337" t="s" s="10">
        <v>1111</v>
      </c>
      <c r="I337" t="s" s="10">
        <v>111</v>
      </c>
      <c r="J337" t="s" s="10">
        <v>122</v>
      </c>
      <c r="K337" t="s" s="10">
        <v>127</v>
      </c>
      <c r="L337" t="s" s="10">
        <v>518</v>
      </c>
      <c r="M337" t="s" s="10">
        <v>1110</v>
      </c>
      <c r="N337" t="s" s="10">
        <v>1110</v>
      </c>
      <c r="O337" t="s" s="10">
        <v>286</v>
      </c>
      <c r="P337" t="s" s="10">
        <v>122</v>
      </c>
      <c r="Q337" t="s" s="10">
        <v>69</v>
      </c>
      <c r="R337" t="s" s="10">
        <v>323</v>
      </c>
      <c r="S337" t="s" s="10">
        <v>69</v>
      </c>
      <c r="T337" s="11"/>
      <c r="U337" s="11"/>
      <c r="V337" t="s" s="10">
        <v>69</v>
      </c>
      <c r="W337" s="11"/>
      <c r="X337" t="s" s="10">
        <v>69</v>
      </c>
      <c r="Y337" s="11"/>
      <c r="Z337" t="s" s="10">
        <v>76</v>
      </c>
      <c r="AA337" s="11"/>
      <c r="AB337" t="s" s="10">
        <v>1112</v>
      </c>
      <c r="AC337" t="s" s="10">
        <v>1109</v>
      </c>
      <c r="AD337" s="11"/>
      <c r="AE337" s="11"/>
      <c r="AF337" s="11"/>
      <c r="AG337" t="s" s="10">
        <v>299</v>
      </c>
      <c r="AH337" t="s" s="10">
        <v>114</v>
      </c>
      <c r="AI337" t="s" s="10">
        <v>440</v>
      </c>
      <c r="AJ337" s="11"/>
      <c r="AK337" t="s" s="10">
        <v>83</v>
      </c>
      <c r="AL337" t="s" s="10">
        <v>293</v>
      </c>
      <c r="AM337" t="s" s="10">
        <v>294</v>
      </c>
      <c r="AN337" t="s" s="10">
        <v>116</v>
      </c>
      <c r="AO337" s="18">
        <v>2</v>
      </c>
      <c r="AP337" s="18">
        <v>10240</v>
      </c>
      <c r="AQ337" s="18">
        <v>1189132</v>
      </c>
      <c r="AR337" s="18">
        <v>1189132</v>
      </c>
      <c r="AS337" t="s" s="10">
        <v>1113</v>
      </c>
      <c r="AT337" s="11"/>
      <c r="AU337" s="11"/>
      <c r="AV337" s="11"/>
      <c r="AW337" s="11"/>
      <c r="AX337" s="11"/>
      <c r="AY337" s="11"/>
      <c r="AZ337" s="11"/>
      <c r="BA337" s="11"/>
      <c r="BB337" s="11"/>
      <c r="BC337" s="11"/>
      <c r="BD337" t="s" s="10">
        <v>428</v>
      </c>
      <c r="BE337" t="s" s="10">
        <v>481</v>
      </c>
      <c r="BF337" s="18">
        <v>2</v>
      </c>
      <c r="BG337" s="18">
        <v>16</v>
      </c>
      <c r="BH337" s="11"/>
      <c r="BI337" s="11"/>
      <c r="BJ337" s="11"/>
      <c r="BK337" s="11"/>
      <c r="BL337" s="11"/>
      <c r="BM337" s="11"/>
      <c r="BN337" t="s" s="10">
        <v>69</v>
      </c>
      <c r="BO337" s="12"/>
      <c r="BP337" s="8"/>
    </row>
    <row r="338" ht="9" customHeight="1" hidden="1">
      <c r="A338" t="s" s="13">
        <v>1114</v>
      </c>
      <c r="B338" s="14"/>
      <c r="C338" t="str" s="14" cm="1">
        <f t="array" ref="C338">_xlfn.IFERROR((VLOOKUP(A338,#REF!,2,FALSE)),"")</f>
      </c>
      <c r="D338" s="14"/>
      <c r="E338" s="14"/>
      <c r="F338" s="14"/>
      <c r="G338" t="s" s="15">
        <v>1115</v>
      </c>
      <c r="H338" t="s" s="15">
        <v>127</v>
      </c>
      <c r="I338" t="s" s="15">
        <v>111</v>
      </c>
      <c r="J338" t="s" s="15">
        <v>122</v>
      </c>
      <c r="K338" t="s" s="15">
        <v>127</v>
      </c>
      <c r="L338" t="s" s="15">
        <v>76</v>
      </c>
      <c r="M338" t="s" s="15">
        <v>1115</v>
      </c>
      <c r="N338" t="s" s="15">
        <v>1115</v>
      </c>
      <c r="O338" t="s" s="15">
        <v>286</v>
      </c>
      <c r="P338" t="s" s="15">
        <v>122</v>
      </c>
      <c r="Q338" t="s" s="15">
        <v>69</v>
      </c>
      <c r="R338" t="s" s="15">
        <v>83</v>
      </c>
      <c r="S338" t="s" s="15">
        <v>69</v>
      </c>
      <c r="T338" s="14"/>
      <c r="U338" s="14"/>
      <c r="V338" t="s" s="15">
        <v>69</v>
      </c>
      <c r="W338" s="14"/>
      <c r="X338" t="s" s="15">
        <v>69</v>
      </c>
      <c r="Y338" s="14"/>
      <c r="Z338" t="s" s="15">
        <v>76</v>
      </c>
      <c r="AA338" s="14"/>
      <c r="AB338" t="s" s="15">
        <v>76</v>
      </c>
      <c r="AC338" t="s" s="15">
        <v>1114</v>
      </c>
      <c r="AD338" s="14"/>
      <c r="AE338" s="14"/>
      <c r="AF338" s="14"/>
      <c r="AG338" t="s" s="15">
        <v>299</v>
      </c>
      <c r="AH338" t="s" s="15">
        <v>114</v>
      </c>
      <c r="AI338" t="s" s="15">
        <v>717</v>
      </c>
      <c r="AJ338" s="14"/>
      <c r="AK338" t="s" s="15">
        <v>83</v>
      </c>
      <c r="AL338" t="s" s="15">
        <v>293</v>
      </c>
      <c r="AM338" t="s" s="15">
        <v>294</v>
      </c>
      <c r="AN338" t="s" s="15">
        <v>128</v>
      </c>
      <c r="AO338" s="17">
        <v>8</v>
      </c>
      <c r="AP338" s="17">
        <v>24576</v>
      </c>
      <c r="AQ338" s="17">
        <v>23373221</v>
      </c>
      <c r="AR338" s="17">
        <v>23184195</v>
      </c>
      <c r="AS338" t="s" s="15">
        <v>1116</v>
      </c>
      <c r="AT338" s="14"/>
      <c r="AU338" s="14"/>
      <c r="AV338" s="14"/>
      <c r="AW338" s="14"/>
      <c r="AX338" s="14"/>
      <c r="AY338" s="14"/>
      <c r="AZ338" s="14"/>
      <c r="BA338" s="14"/>
      <c r="BB338" s="14"/>
      <c r="BC338" s="14"/>
      <c r="BD338" t="s" s="15">
        <v>366</v>
      </c>
      <c r="BE338" t="s" s="15">
        <v>367</v>
      </c>
      <c r="BF338" s="17">
        <v>8</v>
      </c>
      <c r="BG338" s="17">
        <v>32</v>
      </c>
      <c r="BH338" s="14"/>
      <c r="BI338" s="14"/>
      <c r="BJ338" s="14"/>
      <c r="BK338" s="14"/>
      <c r="BL338" s="14"/>
      <c r="BM338" s="14"/>
      <c r="BN338" t="s" s="15">
        <v>78</v>
      </c>
      <c r="BO338" s="16"/>
      <c r="BP338" s="8"/>
    </row>
    <row r="339" ht="9" customHeight="1" hidden="1">
      <c r="A339" t="s" s="9">
        <v>1117</v>
      </c>
      <c r="B339" s="11"/>
      <c r="C339" t="str" s="11" cm="1">
        <f t="array" ref="C339">_xlfn.IFERROR((VLOOKUP(A339,#REF!,2,FALSE)),"")</f>
      </c>
      <c r="D339" t="s" s="10">
        <v>70</v>
      </c>
      <c r="E339" t="s" s="10">
        <v>392</v>
      </c>
      <c r="F339" s="11"/>
      <c r="G339" t="s" s="10">
        <v>1118</v>
      </c>
      <c r="H339" t="s" s="10">
        <v>1119</v>
      </c>
      <c r="I339" t="s" s="10">
        <v>111</v>
      </c>
      <c r="J339" t="s" s="10">
        <v>452</v>
      </c>
      <c r="K339" t="s" s="10">
        <v>127</v>
      </c>
      <c r="L339" t="s" s="10">
        <v>76</v>
      </c>
      <c r="M339" t="s" s="10">
        <v>1118</v>
      </c>
      <c r="N339" t="s" s="10">
        <v>1118</v>
      </c>
      <c r="O339" s="11"/>
      <c r="P339" t="s" s="10">
        <v>452</v>
      </c>
      <c r="Q339" t="s" s="10">
        <v>69</v>
      </c>
      <c r="R339" t="s" s="10">
        <v>83</v>
      </c>
      <c r="S339" s="11"/>
      <c r="T339" s="11"/>
      <c r="U339" s="11"/>
      <c r="V339" t="s" s="10">
        <v>69</v>
      </c>
      <c r="W339" s="11"/>
      <c r="X339" t="s" s="10">
        <v>69</v>
      </c>
      <c r="Y339" s="11"/>
      <c r="Z339" t="s" s="10">
        <v>76</v>
      </c>
      <c r="AA339" s="11"/>
      <c r="AB339" t="s" s="10">
        <v>76</v>
      </c>
      <c r="AC339" t="s" s="10">
        <v>1117</v>
      </c>
      <c r="AD339" t="s" s="10">
        <v>1120</v>
      </c>
      <c r="AE339" s="11"/>
      <c r="AF339" s="11"/>
      <c r="AG339" s="11"/>
      <c r="AH339" s="11"/>
      <c r="AI339" t="s" s="10">
        <v>76</v>
      </c>
      <c r="AJ339" t="s" s="10">
        <v>76</v>
      </c>
      <c r="AK339" t="s" s="10">
        <v>79</v>
      </c>
      <c r="AL339" t="s" s="10">
        <v>293</v>
      </c>
      <c r="AM339" t="s" s="10">
        <v>294</v>
      </c>
      <c r="AN339" t="s" s="10">
        <v>116</v>
      </c>
      <c r="AO339" s="18">
        <v>8</v>
      </c>
      <c r="AP339" s="18">
        <v>4096</v>
      </c>
      <c r="AQ339" s="18">
        <v>1196586</v>
      </c>
      <c r="AR339" s="18">
        <v>575731</v>
      </c>
      <c r="AS339" t="s" s="10">
        <v>1121</v>
      </c>
      <c r="AT339" s="11"/>
      <c r="AU339" s="11"/>
      <c r="AV339" s="11"/>
      <c r="AW339" s="11"/>
      <c r="AX339" s="11"/>
      <c r="AY339" s="11"/>
      <c r="AZ339" s="11"/>
      <c r="BA339" s="11"/>
      <c r="BB339" s="11"/>
      <c r="BC339" s="11"/>
      <c r="BD339" t="s" s="10">
        <v>310</v>
      </c>
      <c r="BE339" t="s" s="10">
        <v>356</v>
      </c>
      <c r="BF339" s="11"/>
      <c r="BG339" s="11"/>
      <c r="BH339" s="11"/>
      <c r="BI339" s="11"/>
      <c r="BJ339" s="11"/>
      <c r="BK339" s="11"/>
      <c r="BL339" s="11"/>
      <c r="BM339" s="11"/>
      <c r="BN339" t="s" s="10">
        <v>78</v>
      </c>
      <c r="BO339" s="12"/>
      <c r="BP339" s="8"/>
    </row>
    <row r="340" ht="9" customHeight="1" hidden="1">
      <c r="A340" t="s" s="13">
        <v>1122</v>
      </c>
      <c r="B340" s="14"/>
      <c r="C340" t="str" s="14" cm="1">
        <f t="array" ref="C340">_xlfn.IFERROR((VLOOKUP(A340,#REF!,2,FALSE)),"")</f>
      </c>
      <c r="D340" s="14"/>
      <c r="E340" s="14"/>
      <c r="F340" s="14"/>
      <c r="G340" t="s" s="15">
        <v>1123</v>
      </c>
      <c r="H340" t="s" s="15">
        <v>1124</v>
      </c>
      <c r="I340" t="s" s="15">
        <v>82</v>
      </c>
      <c r="J340" t="s" s="15">
        <v>82</v>
      </c>
      <c r="K340" t="s" s="15">
        <v>82</v>
      </c>
      <c r="L340" t="s" s="15">
        <v>76</v>
      </c>
      <c r="M340" t="s" s="15">
        <v>77</v>
      </c>
      <c r="N340" t="s" s="15">
        <v>1123</v>
      </c>
      <c r="O340" s="14"/>
      <c r="P340" s="14"/>
      <c r="Q340" t="s" s="15">
        <v>69</v>
      </c>
      <c r="R340" t="s" s="15">
        <v>83</v>
      </c>
      <c r="S340" s="14"/>
      <c r="T340" s="14"/>
      <c r="U340" s="14"/>
      <c r="V340" t="s" s="15">
        <v>78</v>
      </c>
      <c r="W340" s="14"/>
      <c r="X340" t="s" s="15">
        <v>78</v>
      </c>
      <c r="Y340" s="14"/>
      <c r="Z340" t="s" s="15">
        <v>76</v>
      </c>
      <c r="AA340" s="14"/>
      <c r="AB340" t="s" s="15">
        <v>76</v>
      </c>
      <c r="AC340" t="s" s="15">
        <v>1122</v>
      </c>
      <c r="AD340" s="14"/>
      <c r="AE340" s="14"/>
      <c r="AF340" s="14"/>
      <c r="AG340" t="s" s="15">
        <v>299</v>
      </c>
      <c r="AH340" t="s" s="15">
        <v>106</v>
      </c>
      <c r="AI340" t="s" s="15">
        <v>76</v>
      </c>
      <c r="AJ340" t="s" s="15">
        <v>76</v>
      </c>
      <c r="AK340" t="s" s="15">
        <v>79</v>
      </c>
      <c r="AL340" s="14"/>
      <c r="AM340" s="14"/>
      <c r="AN340" s="14"/>
      <c r="AO340" s="14"/>
      <c r="AP340" s="14"/>
      <c r="AQ340" s="14"/>
      <c r="AR340" s="14"/>
      <c r="AS340" t="s" s="15">
        <v>1125</v>
      </c>
      <c r="AT340" t="s" s="15">
        <v>301</v>
      </c>
      <c r="AU340" s="14"/>
      <c r="AV340" s="14"/>
      <c r="AW340" s="14"/>
      <c r="AX340" s="14"/>
      <c r="AY340" s="14"/>
      <c r="AZ340" s="14"/>
      <c r="BA340" s="14"/>
      <c r="BB340" s="14"/>
      <c r="BC340" s="14"/>
      <c r="BD340" t="s" s="15">
        <v>310</v>
      </c>
      <c r="BE340" t="s" s="15">
        <v>311</v>
      </c>
      <c r="BF340" s="14"/>
      <c r="BG340" s="14"/>
      <c r="BH340" s="14"/>
      <c r="BI340" s="14"/>
      <c r="BJ340" s="14"/>
      <c r="BK340" s="14"/>
      <c r="BL340" s="14"/>
      <c r="BM340" s="14"/>
      <c r="BN340" s="14"/>
      <c r="BO340" s="16"/>
      <c r="BP340" s="8"/>
    </row>
    <row r="341" ht="13.55" customHeight="1">
      <c r="A341" t="s" s="9">
        <v>1126</v>
      </c>
      <c r="B341" s="11"/>
      <c r="C341" t="str" s="11" cm="1">
        <f t="array" ref="C341">_xlfn.IFERROR((VLOOKUP(A341,#REF!,2,FALSE)),"")</f>
      </c>
      <c r="D341" s="11"/>
      <c r="E341" t="s" s="10">
        <v>1127</v>
      </c>
      <c r="F341" s="11"/>
      <c r="G341" t="s" s="10">
        <v>1128</v>
      </c>
      <c r="H341" t="s" s="10">
        <v>1111</v>
      </c>
      <c r="I341" t="s" s="10">
        <v>111</v>
      </c>
      <c r="J341" t="s" s="10">
        <v>322</v>
      </c>
      <c r="K341" t="s" s="10">
        <v>127</v>
      </c>
      <c r="L341" t="s" s="10">
        <v>518</v>
      </c>
      <c r="M341" t="s" s="10">
        <v>1128</v>
      </c>
      <c r="N341" t="s" s="10">
        <v>1128</v>
      </c>
      <c r="O341" t="s" s="10">
        <v>322</v>
      </c>
      <c r="P341" t="s" s="10">
        <v>322</v>
      </c>
      <c r="Q341" t="s" s="10">
        <v>69</v>
      </c>
      <c r="R341" t="s" s="10">
        <v>323</v>
      </c>
      <c r="S341" s="11"/>
      <c r="T341" s="11"/>
      <c r="U341" s="11"/>
      <c r="V341" t="s" s="10">
        <v>69</v>
      </c>
      <c r="W341" s="11"/>
      <c r="X341" t="s" s="10">
        <v>69</v>
      </c>
      <c r="Y341" s="11"/>
      <c r="Z341" t="s" s="10">
        <v>76</v>
      </c>
      <c r="AA341" s="11"/>
      <c r="AB341" t="s" s="10">
        <v>1112</v>
      </c>
      <c r="AC341" t="s" s="25">
        <v>1126</v>
      </c>
      <c r="AD341" t="s" s="10">
        <v>1129</v>
      </c>
      <c r="AE341" s="11"/>
      <c r="AF341" s="11"/>
      <c r="AG341" t="s" s="10">
        <v>299</v>
      </c>
      <c r="AH341" t="s" s="10">
        <v>114</v>
      </c>
      <c r="AI341" t="s" s="10">
        <v>440</v>
      </c>
      <c r="AJ341" s="11"/>
      <c r="AK341" t="s" s="10">
        <v>83</v>
      </c>
      <c r="AL341" t="s" s="10">
        <v>293</v>
      </c>
      <c r="AM341" t="s" s="10">
        <v>294</v>
      </c>
      <c r="AN341" t="s" s="10">
        <v>116</v>
      </c>
      <c r="AO341" s="18">
        <v>10</v>
      </c>
      <c r="AP341" s="18">
        <v>1024</v>
      </c>
      <c r="AQ341" s="18">
        <v>973915</v>
      </c>
      <c r="AR341" s="18">
        <v>362293</v>
      </c>
      <c r="AS341" t="s" s="10">
        <v>1130</v>
      </c>
      <c r="AT341" t="s" s="10">
        <v>301</v>
      </c>
      <c r="AU341" s="11"/>
      <c r="AV341" s="11"/>
      <c r="AW341" s="11"/>
      <c r="AX341" s="11"/>
      <c r="AY341" s="11"/>
      <c r="AZ341" s="11"/>
      <c r="BA341" s="11"/>
      <c r="BB341" s="11"/>
      <c r="BC341" s="11"/>
      <c r="BD341" t="s" s="10">
        <v>310</v>
      </c>
      <c r="BE341" t="s" s="10">
        <v>311</v>
      </c>
      <c r="BF341" s="18">
        <v>8</v>
      </c>
      <c r="BG341" s="18">
        <v>16</v>
      </c>
      <c r="BH341" s="11"/>
      <c r="BI341" s="11"/>
      <c r="BJ341" s="11"/>
      <c r="BK341" s="11"/>
      <c r="BL341" s="11"/>
      <c r="BM341" s="11"/>
      <c r="BN341" t="s" s="10">
        <v>69</v>
      </c>
      <c r="BO341" s="12"/>
      <c r="BP341" s="8"/>
    </row>
    <row r="342" ht="9" customHeight="1" hidden="1">
      <c r="A342" t="s" s="13">
        <v>1131</v>
      </c>
      <c r="B342" s="14"/>
      <c r="C342" t="str" s="14" cm="1">
        <f t="array" ref="C342">_xlfn.IFERROR((VLOOKUP(A342,#REF!,2,FALSE)),"")</f>
      </c>
      <c r="D342" t="s" s="15">
        <v>70</v>
      </c>
      <c r="E342" s="14"/>
      <c r="F342" s="14"/>
      <c r="G342" t="s" s="15">
        <v>1132</v>
      </c>
      <c r="H342" t="s" s="15">
        <v>1132</v>
      </c>
      <c r="I342" t="s" s="15">
        <v>111</v>
      </c>
      <c r="J342" t="s" s="15">
        <v>122</v>
      </c>
      <c r="K342" t="s" s="15">
        <v>113</v>
      </c>
      <c r="L342" t="s" s="15">
        <v>76</v>
      </c>
      <c r="M342" t="s" s="15">
        <v>1133</v>
      </c>
      <c r="N342" t="s" s="15">
        <v>1132</v>
      </c>
      <c r="O342" s="14"/>
      <c r="P342" t="s" s="15">
        <v>122</v>
      </c>
      <c r="Q342" t="s" s="15">
        <v>69</v>
      </c>
      <c r="R342" t="s" s="15">
        <v>83</v>
      </c>
      <c r="S342" s="14"/>
      <c r="T342" s="14"/>
      <c r="U342" s="14"/>
      <c r="V342" t="s" s="15">
        <v>69</v>
      </c>
      <c r="W342" s="14"/>
      <c r="X342" t="s" s="15">
        <v>69</v>
      </c>
      <c r="Y342" s="14"/>
      <c r="Z342" t="s" s="15">
        <v>76</v>
      </c>
      <c r="AA342" s="14"/>
      <c r="AB342" t="s" s="15">
        <v>76</v>
      </c>
      <c r="AC342" t="s" s="15">
        <v>1131</v>
      </c>
      <c r="AD342" t="s" s="15">
        <v>1134</v>
      </c>
      <c r="AE342" s="14"/>
      <c r="AF342" s="14"/>
      <c r="AG342" s="14"/>
      <c r="AH342" t="s" s="15">
        <v>106</v>
      </c>
      <c r="AI342" t="s" s="15">
        <v>76</v>
      </c>
      <c r="AJ342" t="s" s="15">
        <v>76</v>
      </c>
      <c r="AK342" t="s" s="15">
        <v>79</v>
      </c>
      <c r="AL342" t="s" s="15">
        <v>293</v>
      </c>
      <c r="AM342" t="s" s="15">
        <v>294</v>
      </c>
      <c r="AN342" t="s" s="15">
        <v>128</v>
      </c>
      <c r="AO342" s="17">
        <v>4</v>
      </c>
      <c r="AP342" s="17">
        <v>12288</v>
      </c>
      <c r="AQ342" s="17">
        <v>473185</v>
      </c>
      <c r="AR342" s="17">
        <v>473185</v>
      </c>
      <c r="AS342" t="s" s="15">
        <v>1135</v>
      </c>
      <c r="AT342" s="14"/>
      <c r="AU342" s="14"/>
      <c r="AV342" s="14"/>
      <c r="AW342" s="14"/>
      <c r="AX342" s="14"/>
      <c r="AY342" s="14"/>
      <c r="AZ342" s="14"/>
      <c r="BA342" s="14"/>
      <c r="BB342" s="14"/>
      <c r="BC342" s="14"/>
      <c r="BD342" t="s" s="15">
        <v>310</v>
      </c>
      <c r="BE342" t="s" s="15">
        <v>311</v>
      </c>
      <c r="BF342" s="14"/>
      <c r="BG342" s="14"/>
      <c r="BH342" s="14"/>
      <c r="BI342" s="14"/>
      <c r="BJ342" s="14"/>
      <c r="BK342" s="14"/>
      <c r="BL342" s="14"/>
      <c r="BM342" s="14"/>
      <c r="BN342" t="s" s="15">
        <v>78</v>
      </c>
      <c r="BO342" s="16"/>
      <c r="BP342" s="8"/>
    </row>
    <row r="343" ht="9" customHeight="1" hidden="1">
      <c r="A343" t="s" s="9">
        <v>1136</v>
      </c>
      <c r="B343" s="11"/>
      <c r="C343" t="str" s="11" cm="1">
        <f t="array" ref="C343">_xlfn.IFERROR((VLOOKUP(A343,#REF!,2,FALSE)),"")</f>
      </c>
      <c r="D343" s="11"/>
      <c r="E343" s="11"/>
      <c r="F343" s="11"/>
      <c r="G343" t="s" s="10">
        <v>1137</v>
      </c>
      <c r="H343" t="s" s="10">
        <v>550</v>
      </c>
      <c r="I343" t="s" s="10">
        <v>111</v>
      </c>
      <c r="J343" t="s" s="10">
        <v>122</v>
      </c>
      <c r="K343" t="s" s="10">
        <v>127</v>
      </c>
      <c r="L343" t="s" s="10">
        <v>518</v>
      </c>
      <c r="M343" t="s" s="10">
        <v>1137</v>
      </c>
      <c r="N343" t="s" s="10">
        <v>1137</v>
      </c>
      <c r="O343" t="s" s="10">
        <v>286</v>
      </c>
      <c r="P343" t="s" s="10">
        <v>122</v>
      </c>
      <c r="Q343" t="s" s="10">
        <v>69</v>
      </c>
      <c r="R343" t="s" s="10">
        <v>83</v>
      </c>
      <c r="S343" t="s" s="10">
        <v>69</v>
      </c>
      <c r="T343" s="11"/>
      <c r="U343" s="11"/>
      <c r="V343" t="s" s="10">
        <v>69</v>
      </c>
      <c r="W343" s="11"/>
      <c r="X343" t="s" s="10">
        <v>69</v>
      </c>
      <c r="Y343" s="11"/>
      <c r="Z343" t="s" s="10">
        <v>552</v>
      </c>
      <c r="AA343" s="11"/>
      <c r="AB343" t="s" s="10">
        <v>553</v>
      </c>
      <c r="AC343" t="s" s="10">
        <v>1136</v>
      </c>
      <c r="AD343" s="11"/>
      <c r="AE343" s="11"/>
      <c r="AF343" s="11"/>
      <c r="AG343" t="s" s="10">
        <v>299</v>
      </c>
      <c r="AH343" t="s" s="10">
        <v>114</v>
      </c>
      <c r="AI343" t="s" s="10">
        <v>440</v>
      </c>
      <c r="AJ343" s="11"/>
      <c r="AK343" t="s" s="10">
        <v>83</v>
      </c>
      <c r="AL343" t="s" s="10">
        <v>293</v>
      </c>
      <c r="AM343" t="s" s="10">
        <v>294</v>
      </c>
      <c r="AN343" t="s" s="10">
        <v>1138</v>
      </c>
      <c r="AO343" s="18">
        <v>4</v>
      </c>
      <c r="AP343" s="18">
        <v>16384</v>
      </c>
      <c r="AQ343" s="18">
        <v>95956367</v>
      </c>
      <c r="AR343" s="18">
        <v>95956367</v>
      </c>
      <c r="AS343" t="s" s="10">
        <v>1139</v>
      </c>
      <c r="AT343" s="11"/>
      <c r="AU343" s="11"/>
      <c r="AV343" s="11"/>
      <c r="AW343" s="11"/>
      <c r="AX343" s="11"/>
      <c r="AY343" s="11"/>
      <c r="AZ343" s="11"/>
      <c r="BA343" s="11"/>
      <c r="BB343" s="11"/>
      <c r="BC343" s="11"/>
      <c r="BD343" t="s" s="10">
        <v>366</v>
      </c>
      <c r="BE343" t="s" s="10">
        <v>394</v>
      </c>
      <c r="BF343" s="18">
        <v>4</v>
      </c>
      <c r="BG343" s="18">
        <v>16</v>
      </c>
      <c r="BH343" s="11"/>
      <c r="BI343" s="11"/>
      <c r="BJ343" s="11"/>
      <c r="BK343" s="11"/>
      <c r="BL343" s="11"/>
      <c r="BM343" s="11"/>
      <c r="BN343" t="s" s="10">
        <v>78</v>
      </c>
      <c r="BO343" s="12"/>
      <c r="BP343" s="8"/>
    </row>
    <row r="344" ht="15" customHeight="1" hidden="1">
      <c r="A344" t="s" s="13">
        <v>1140</v>
      </c>
      <c r="B344" s="14"/>
      <c r="C344" t="str" s="14" cm="1">
        <f t="array" ref="C344">_xlfn.IFERROR((VLOOKUP(A344,#REF!,2,FALSE)),"")</f>
      </c>
      <c r="D344" t="s" s="15">
        <v>70</v>
      </c>
      <c r="E344" t="s" s="15">
        <v>450</v>
      </c>
      <c r="F344" s="14"/>
      <c r="G344" t="s" s="15">
        <v>1141</v>
      </c>
      <c r="H344" t="s" s="15">
        <v>550</v>
      </c>
      <c r="I344" t="s" s="15">
        <v>111</v>
      </c>
      <c r="J344" t="s" s="15">
        <v>122</v>
      </c>
      <c r="K344" t="s" s="15">
        <v>127</v>
      </c>
      <c r="L344" t="s" s="15">
        <v>518</v>
      </c>
      <c r="M344" t="s" s="15">
        <v>1141</v>
      </c>
      <c r="N344" t="s" s="15">
        <v>1141</v>
      </c>
      <c r="O344" t="s" s="15">
        <v>286</v>
      </c>
      <c r="P344" t="s" s="15">
        <v>122</v>
      </c>
      <c r="Q344" t="s" s="15">
        <v>69</v>
      </c>
      <c r="R344" t="s" s="15">
        <v>83</v>
      </c>
      <c r="S344" s="14"/>
      <c r="T344" s="14"/>
      <c r="U344" s="14"/>
      <c r="V344" t="s" s="15">
        <v>69</v>
      </c>
      <c r="W344" s="14"/>
      <c r="X344" t="s" s="15">
        <v>69</v>
      </c>
      <c r="Y344" s="14"/>
      <c r="Z344" t="s" s="15">
        <v>552</v>
      </c>
      <c r="AA344" s="14"/>
      <c r="AB344" t="s" s="15">
        <v>553</v>
      </c>
      <c r="AC344" t="s" s="15">
        <v>1140</v>
      </c>
      <c r="AD344" t="s" s="15">
        <v>1142</v>
      </c>
      <c r="AE344" s="14"/>
      <c r="AF344" s="14"/>
      <c r="AG344" t="s" s="15">
        <v>453</v>
      </c>
      <c r="AH344" t="s" s="15">
        <v>114</v>
      </c>
      <c r="AI344" t="s" s="15">
        <v>440</v>
      </c>
      <c r="AJ344" s="14"/>
      <c r="AK344" t="s" s="15">
        <v>83</v>
      </c>
      <c r="AL344" t="s" s="15">
        <v>293</v>
      </c>
      <c r="AM344" t="s" s="15">
        <v>294</v>
      </c>
      <c r="AN344" t="s" s="15">
        <v>1143</v>
      </c>
      <c r="AO344" s="17">
        <v>8</v>
      </c>
      <c r="AP344" s="17">
        <v>16384</v>
      </c>
      <c r="AQ344" s="17">
        <v>90272014</v>
      </c>
      <c r="AR344" s="17">
        <v>90139296</v>
      </c>
      <c r="AS344" t="s" s="15">
        <v>1144</v>
      </c>
      <c r="AT344" s="14"/>
      <c r="AU344" s="14"/>
      <c r="AV344" s="14"/>
      <c r="AW344" s="14"/>
      <c r="AX344" s="14"/>
      <c r="AY344" s="14"/>
      <c r="AZ344" s="14"/>
      <c r="BA344" s="14"/>
      <c r="BB344" s="14"/>
      <c r="BC344" s="14"/>
      <c r="BD344" t="s" s="15">
        <v>310</v>
      </c>
      <c r="BE344" t="s" s="15">
        <v>311</v>
      </c>
      <c r="BF344" s="17">
        <v>8</v>
      </c>
      <c r="BG344" s="17">
        <v>16</v>
      </c>
      <c r="BH344" s="14"/>
      <c r="BI344" s="14"/>
      <c r="BJ344" s="14"/>
      <c r="BK344" s="14"/>
      <c r="BL344" s="14"/>
      <c r="BM344" s="14"/>
      <c r="BN344" t="s" s="15">
        <v>78</v>
      </c>
      <c r="BO344" s="16"/>
      <c r="BP344" s="8"/>
    </row>
    <row r="345" ht="9" customHeight="1" hidden="1">
      <c r="A345" t="s" s="9">
        <v>1145</v>
      </c>
      <c r="B345" s="11"/>
      <c r="C345" t="str" s="11" cm="1">
        <f t="array" ref="C345">_xlfn.IFERROR((VLOOKUP(A345,#REF!,2,FALSE)),"")</f>
      </c>
      <c r="D345" t="s" s="10">
        <v>70</v>
      </c>
      <c r="E345" s="11"/>
      <c r="F345" s="11"/>
      <c r="G345" t="s" s="10">
        <v>1146</v>
      </c>
      <c r="H345" t="s" s="10">
        <v>1147</v>
      </c>
      <c r="I345" t="s" s="10">
        <v>111</v>
      </c>
      <c r="J345" t="s" s="10">
        <v>122</v>
      </c>
      <c r="K345" t="s" s="10">
        <v>113</v>
      </c>
      <c r="L345" t="s" s="10">
        <v>76</v>
      </c>
      <c r="M345" t="s" s="10">
        <v>1146</v>
      </c>
      <c r="N345" t="s" s="10">
        <v>1146</v>
      </c>
      <c r="O345" s="11"/>
      <c r="P345" t="s" s="10">
        <v>122</v>
      </c>
      <c r="Q345" t="s" s="10">
        <v>69</v>
      </c>
      <c r="R345" t="s" s="10">
        <v>83</v>
      </c>
      <c r="S345" s="11"/>
      <c r="T345" s="11"/>
      <c r="U345" s="11"/>
      <c r="V345" t="s" s="10">
        <v>69</v>
      </c>
      <c r="W345" s="11"/>
      <c r="X345" t="s" s="10">
        <v>69</v>
      </c>
      <c r="Y345" s="11"/>
      <c r="Z345" t="s" s="10">
        <v>76</v>
      </c>
      <c r="AA345" s="11"/>
      <c r="AB345" t="s" s="10">
        <v>76</v>
      </c>
      <c r="AC345" t="s" s="10">
        <v>1145</v>
      </c>
      <c r="AD345" t="s" s="10">
        <v>1148</v>
      </c>
      <c r="AE345" s="11"/>
      <c r="AF345" s="11"/>
      <c r="AG345" s="11"/>
      <c r="AH345" t="s" s="10">
        <v>106</v>
      </c>
      <c r="AI345" t="s" s="10">
        <v>76</v>
      </c>
      <c r="AJ345" t="s" s="10">
        <v>76</v>
      </c>
      <c r="AK345" t="s" s="10">
        <v>79</v>
      </c>
      <c r="AL345" t="s" s="10">
        <v>293</v>
      </c>
      <c r="AM345" t="s" s="10">
        <v>294</v>
      </c>
      <c r="AN345" t="s" s="10">
        <v>128</v>
      </c>
      <c r="AO345" s="18">
        <v>4</v>
      </c>
      <c r="AP345" s="18">
        <v>8192</v>
      </c>
      <c r="AQ345" s="18">
        <v>417893</v>
      </c>
      <c r="AR345" s="18">
        <v>417893</v>
      </c>
      <c r="AS345" t="s" s="10">
        <v>1149</v>
      </c>
      <c r="AT345" s="11"/>
      <c r="AU345" s="11"/>
      <c r="AV345" s="11"/>
      <c r="AW345" s="11"/>
      <c r="AX345" s="11"/>
      <c r="AY345" s="11"/>
      <c r="AZ345" s="11"/>
      <c r="BA345" s="11"/>
      <c r="BB345" s="11"/>
      <c r="BC345" s="11"/>
      <c r="BD345" t="s" s="10">
        <v>310</v>
      </c>
      <c r="BE345" t="s" s="10">
        <v>356</v>
      </c>
      <c r="BF345" s="11"/>
      <c r="BG345" s="11"/>
      <c r="BH345" s="11"/>
      <c r="BI345" s="11"/>
      <c r="BJ345" s="11"/>
      <c r="BK345" s="11"/>
      <c r="BL345" s="11"/>
      <c r="BM345" s="11"/>
      <c r="BN345" t="s" s="10">
        <v>78</v>
      </c>
      <c r="BO345" s="12"/>
      <c r="BP345" s="8"/>
    </row>
    <row r="346" ht="9" customHeight="1" hidden="1">
      <c r="A346" t="s" s="13">
        <v>1150</v>
      </c>
      <c r="B346" s="14"/>
      <c r="C346" t="str" s="14" cm="1">
        <f t="array" ref="C346">_xlfn.IFERROR((VLOOKUP(A346,#REF!,2,FALSE)),"")</f>
      </c>
      <c r="D346" t="s" s="15">
        <v>70</v>
      </c>
      <c r="E346" s="14"/>
      <c r="F346" s="14"/>
      <c r="G346" t="s" s="15">
        <v>1151</v>
      </c>
      <c r="H346" t="s" s="15">
        <v>1152</v>
      </c>
      <c r="I346" t="s" s="15">
        <v>111</v>
      </c>
      <c r="J346" t="s" s="15">
        <v>122</v>
      </c>
      <c r="K346" t="s" s="15">
        <v>113</v>
      </c>
      <c r="L346" t="s" s="15">
        <v>1153</v>
      </c>
      <c r="M346" t="s" s="15">
        <v>1151</v>
      </c>
      <c r="N346" t="s" s="15">
        <v>1151</v>
      </c>
      <c r="O346" s="14"/>
      <c r="P346" t="s" s="15">
        <v>122</v>
      </c>
      <c r="Q346" t="s" s="15">
        <v>69</v>
      </c>
      <c r="R346" t="s" s="15">
        <v>83</v>
      </c>
      <c r="S346" s="14"/>
      <c r="T346" s="14"/>
      <c r="U346" s="14"/>
      <c r="V346" t="s" s="15">
        <v>69</v>
      </c>
      <c r="W346" s="14"/>
      <c r="X346" t="s" s="15">
        <v>69</v>
      </c>
      <c r="Y346" s="14"/>
      <c r="Z346" t="s" s="15">
        <v>205</v>
      </c>
      <c r="AA346" s="14"/>
      <c r="AB346" t="s" s="15">
        <v>1154</v>
      </c>
      <c r="AC346" t="s" s="15">
        <v>1150</v>
      </c>
      <c r="AD346" t="s" s="15">
        <v>1155</v>
      </c>
      <c r="AE346" s="14"/>
      <c r="AF346" s="14"/>
      <c r="AG346" s="14"/>
      <c r="AH346" t="s" s="15">
        <v>106</v>
      </c>
      <c r="AI346" t="s" s="15">
        <v>440</v>
      </c>
      <c r="AJ346" s="14"/>
      <c r="AK346" t="s" s="15">
        <v>79</v>
      </c>
      <c r="AL346" t="s" s="15">
        <v>293</v>
      </c>
      <c r="AM346" t="s" s="15">
        <v>294</v>
      </c>
      <c r="AN346" t="s" s="15">
        <v>128</v>
      </c>
      <c r="AO346" s="17">
        <v>4</v>
      </c>
      <c r="AP346" s="17">
        <v>8192</v>
      </c>
      <c r="AQ346" s="17">
        <v>417878</v>
      </c>
      <c r="AR346" s="17">
        <v>417878</v>
      </c>
      <c r="AS346" t="s" s="15">
        <v>1156</v>
      </c>
      <c r="AT346" s="14"/>
      <c r="AU346" s="14"/>
      <c r="AV346" s="14"/>
      <c r="AW346" s="14"/>
      <c r="AX346" s="14"/>
      <c r="AY346" s="14"/>
      <c r="AZ346" s="14"/>
      <c r="BA346" s="14"/>
      <c r="BB346" s="14"/>
      <c r="BC346" s="14"/>
      <c r="BD346" t="s" s="15">
        <v>310</v>
      </c>
      <c r="BE346" t="s" s="15">
        <v>356</v>
      </c>
      <c r="BF346" s="14"/>
      <c r="BG346" s="14"/>
      <c r="BH346" s="14"/>
      <c r="BI346" s="14"/>
      <c r="BJ346" s="14"/>
      <c r="BK346" s="14"/>
      <c r="BL346" s="14"/>
      <c r="BM346" s="14"/>
      <c r="BN346" t="s" s="15">
        <v>78</v>
      </c>
      <c r="BO346" s="16"/>
      <c r="BP346" s="8"/>
    </row>
    <row r="347" ht="9" customHeight="1" hidden="1">
      <c r="A347" t="s" s="9">
        <v>1157</v>
      </c>
      <c r="B347" s="11"/>
      <c r="C347" t="str" s="11" cm="1">
        <f t="array" ref="C347">_xlfn.IFERROR((VLOOKUP(A347,#REF!,2,FALSE)),"")</f>
      </c>
      <c r="D347" t="s" s="10">
        <v>70</v>
      </c>
      <c r="E347" t="s" s="10">
        <v>1158</v>
      </c>
      <c r="F347" s="11"/>
      <c r="G347" t="s" s="10">
        <v>1159</v>
      </c>
      <c r="H347" t="s" s="10">
        <v>1160</v>
      </c>
      <c r="I347" t="s" s="10">
        <v>111</v>
      </c>
      <c r="J347" t="s" s="10">
        <v>469</v>
      </c>
      <c r="K347" t="s" s="10">
        <v>127</v>
      </c>
      <c r="L347" t="s" s="10">
        <v>76</v>
      </c>
      <c r="M347" t="s" s="10">
        <v>1161</v>
      </c>
      <c r="N347" t="s" s="10">
        <v>127</v>
      </c>
      <c r="O347" t="s" s="10">
        <v>1162</v>
      </c>
      <c r="P347" t="s" s="10">
        <v>469</v>
      </c>
      <c r="Q347" t="s" s="10">
        <v>69</v>
      </c>
      <c r="R347" t="s" s="10">
        <v>83</v>
      </c>
      <c r="S347" s="11"/>
      <c r="T347" s="11"/>
      <c r="U347" s="11"/>
      <c r="V347" t="s" s="10">
        <v>69</v>
      </c>
      <c r="W347" s="11"/>
      <c r="X347" t="s" s="10">
        <v>78</v>
      </c>
      <c r="Y347" s="11"/>
      <c r="Z347" t="s" s="10">
        <v>76</v>
      </c>
      <c r="AA347" s="11"/>
      <c r="AB347" t="s" s="10">
        <v>76</v>
      </c>
      <c r="AC347" t="s" s="10">
        <v>1157</v>
      </c>
      <c r="AD347" t="s" s="10">
        <v>1163</v>
      </c>
      <c r="AE347" s="11"/>
      <c r="AF347" s="11"/>
      <c r="AG347" t="s" s="10">
        <v>299</v>
      </c>
      <c r="AH347" t="s" s="10">
        <v>106</v>
      </c>
      <c r="AI347" t="s" s="10">
        <v>76</v>
      </c>
      <c r="AJ347" t="s" s="10">
        <v>76</v>
      </c>
      <c r="AK347" t="s" s="10">
        <v>79</v>
      </c>
      <c r="AL347" t="s" s="10">
        <v>293</v>
      </c>
      <c r="AM347" t="s" s="10">
        <v>294</v>
      </c>
      <c r="AN347" t="s" s="10">
        <v>187</v>
      </c>
      <c r="AO347" s="18">
        <v>4</v>
      </c>
      <c r="AP347" s="18">
        <v>8192</v>
      </c>
      <c r="AQ347" s="18">
        <v>3451432</v>
      </c>
      <c r="AR347" s="18">
        <v>2184682</v>
      </c>
      <c r="AS347" t="s" s="10">
        <v>1164</v>
      </c>
      <c r="AT347" t="s" s="10">
        <v>301</v>
      </c>
      <c r="AU347" s="11"/>
      <c r="AV347" s="11"/>
      <c r="AW347" s="11"/>
      <c r="AX347" s="11"/>
      <c r="AY347" s="11"/>
      <c r="AZ347" s="11"/>
      <c r="BA347" s="11"/>
      <c r="BB347" s="11"/>
      <c r="BC347" s="11"/>
      <c r="BD347" t="s" s="10">
        <v>310</v>
      </c>
      <c r="BE347" t="s" s="10">
        <v>356</v>
      </c>
      <c r="BF347" s="11"/>
      <c r="BG347" s="11"/>
      <c r="BH347" s="11"/>
      <c r="BI347" s="11"/>
      <c r="BJ347" s="11"/>
      <c r="BK347" s="11"/>
      <c r="BL347" s="11"/>
      <c r="BM347" s="11"/>
      <c r="BN347" t="s" s="10">
        <v>78</v>
      </c>
      <c r="BO347" s="12"/>
      <c r="BP347" s="8"/>
    </row>
    <row r="348" ht="15" customHeight="1" hidden="1">
      <c r="A348" t="s" s="13">
        <v>1165</v>
      </c>
      <c r="B348" s="14"/>
      <c r="C348" t="str" s="14" cm="1">
        <f t="array" ref="C348">_xlfn.IFERROR((VLOOKUP(A348,#REF!,2,FALSE)),"")</f>
      </c>
      <c r="D348" s="14"/>
      <c r="E348" t="s" s="15">
        <v>1166</v>
      </c>
      <c r="F348" t="s" s="15">
        <v>76</v>
      </c>
      <c r="G348" t="s" s="15">
        <v>1167</v>
      </c>
      <c r="H348" t="s" s="15">
        <v>1167</v>
      </c>
      <c r="I348" t="s" s="15">
        <v>111</v>
      </c>
      <c r="J348" t="s" s="15">
        <v>112</v>
      </c>
      <c r="K348" t="s" s="15">
        <v>127</v>
      </c>
      <c r="L348" t="s" s="15">
        <v>1168</v>
      </c>
      <c r="M348" t="s" s="15">
        <v>1169</v>
      </c>
      <c r="N348" t="s" s="15">
        <v>1167</v>
      </c>
      <c r="O348" t="s" s="15">
        <v>346</v>
      </c>
      <c r="P348" t="s" s="15">
        <v>112</v>
      </c>
      <c r="Q348" t="s" s="15">
        <v>69</v>
      </c>
      <c r="R348" t="s" s="15">
        <v>83</v>
      </c>
      <c r="S348" s="14"/>
      <c r="T348" s="14"/>
      <c r="U348" s="14"/>
      <c r="V348" t="s" s="15">
        <v>69</v>
      </c>
      <c r="W348" s="14"/>
      <c r="X348" t="s" s="15">
        <v>78</v>
      </c>
      <c r="Y348" s="14"/>
      <c r="Z348" t="s" s="15">
        <v>1170</v>
      </c>
      <c r="AA348" s="14"/>
      <c r="AB348" t="s" s="15">
        <v>1171</v>
      </c>
      <c r="AC348" t="s" s="15">
        <v>1165</v>
      </c>
      <c r="AD348" t="s" s="15">
        <v>1172</v>
      </c>
      <c r="AE348" s="14"/>
      <c r="AF348" s="14"/>
      <c r="AG348" t="s" s="15">
        <v>299</v>
      </c>
      <c r="AH348" t="s" s="15">
        <v>114</v>
      </c>
      <c r="AI348" s="14"/>
      <c r="AJ348" s="14"/>
      <c r="AK348" t="s" s="15">
        <v>79</v>
      </c>
      <c r="AL348" t="s" s="15">
        <v>293</v>
      </c>
      <c r="AM348" t="s" s="15">
        <v>294</v>
      </c>
      <c r="AN348" t="s" s="15">
        <v>187</v>
      </c>
      <c r="AO348" s="17">
        <v>8</v>
      </c>
      <c r="AP348" s="17">
        <v>8192</v>
      </c>
      <c r="AQ348" s="17">
        <v>1237107</v>
      </c>
      <c r="AR348" s="17">
        <v>743778</v>
      </c>
      <c r="AS348" t="s" s="15">
        <v>1173</v>
      </c>
      <c r="AT348" t="s" s="15">
        <v>301</v>
      </c>
      <c r="AU348" t="s" s="15">
        <v>1174</v>
      </c>
      <c r="AV348" t="s" s="15">
        <v>76</v>
      </c>
      <c r="AW348" t="s" s="15">
        <v>83</v>
      </c>
      <c r="AX348" t="s" s="15">
        <v>83</v>
      </c>
      <c r="AY348" t="s" s="15">
        <v>309</v>
      </c>
      <c r="AZ348" t="s" s="15">
        <v>83</v>
      </c>
      <c r="BA348" t="s" s="15">
        <v>76</v>
      </c>
      <c r="BB348" t="s" s="15">
        <v>76</v>
      </c>
      <c r="BC348" t="s" s="15">
        <v>76</v>
      </c>
      <c r="BD348" t="s" s="15">
        <v>310</v>
      </c>
      <c r="BE348" t="s" s="15">
        <v>311</v>
      </c>
      <c r="BF348" s="17">
        <v>8</v>
      </c>
      <c r="BG348" s="17">
        <v>16</v>
      </c>
      <c r="BH348" t="s" s="15">
        <v>83</v>
      </c>
      <c r="BI348" t="s" s="15">
        <v>83</v>
      </c>
      <c r="BJ348" t="s" s="15">
        <v>83</v>
      </c>
      <c r="BK348" t="s" s="15">
        <v>83</v>
      </c>
      <c r="BL348" t="s" s="15">
        <v>83</v>
      </c>
      <c r="BM348" t="s" s="15">
        <v>312</v>
      </c>
      <c r="BN348" t="s" s="15">
        <v>78</v>
      </c>
      <c r="BO348" t="s" s="21">
        <v>76</v>
      </c>
      <c r="BP348" s="8"/>
    </row>
    <row r="349" ht="9" customHeight="1" hidden="1">
      <c r="A349" t="s" s="9">
        <v>1175</v>
      </c>
      <c r="B349" s="11"/>
      <c r="C349" t="str" s="11" cm="1">
        <f t="array" ref="C349">_xlfn.IFERROR((VLOOKUP(A349,#REF!,2,FALSE)),"")</f>
      </c>
      <c r="D349" s="11"/>
      <c r="E349" s="11"/>
      <c r="F349" s="11"/>
      <c r="G349" t="s" s="10">
        <v>1176</v>
      </c>
      <c r="H349" t="s" s="10">
        <v>1177</v>
      </c>
      <c r="I349" t="s" s="10">
        <v>111</v>
      </c>
      <c r="J349" t="s" s="10">
        <v>122</v>
      </c>
      <c r="K349" t="s" s="10">
        <v>127</v>
      </c>
      <c r="L349" t="s" s="10">
        <v>76</v>
      </c>
      <c r="M349" t="s" s="10">
        <v>1176</v>
      </c>
      <c r="N349" t="s" s="10">
        <v>1176</v>
      </c>
      <c r="O349" t="s" s="10">
        <v>286</v>
      </c>
      <c r="P349" t="s" s="10">
        <v>122</v>
      </c>
      <c r="Q349" t="s" s="10">
        <v>69</v>
      </c>
      <c r="R349" t="s" s="10">
        <v>83</v>
      </c>
      <c r="S349" s="11"/>
      <c r="T349" s="11"/>
      <c r="U349" s="11"/>
      <c r="V349" t="s" s="10">
        <v>69</v>
      </c>
      <c r="W349" s="11"/>
      <c r="X349" t="s" s="10">
        <v>78</v>
      </c>
      <c r="Y349" s="11"/>
      <c r="Z349" t="s" s="10">
        <v>76</v>
      </c>
      <c r="AA349" s="11"/>
      <c r="AB349" t="s" s="10">
        <v>76</v>
      </c>
      <c r="AC349" t="s" s="10">
        <v>1175</v>
      </c>
      <c r="AD349" t="s" s="10">
        <v>1178</v>
      </c>
      <c r="AE349" s="11"/>
      <c r="AF349" s="11"/>
      <c r="AG349" t="s" s="10">
        <v>299</v>
      </c>
      <c r="AH349" t="s" s="10">
        <v>106</v>
      </c>
      <c r="AI349" t="s" s="10">
        <v>76</v>
      </c>
      <c r="AJ349" t="s" s="10">
        <v>76</v>
      </c>
      <c r="AK349" t="s" s="10">
        <v>79</v>
      </c>
      <c r="AL349" t="s" s="10">
        <v>293</v>
      </c>
      <c r="AM349" t="s" s="10">
        <v>294</v>
      </c>
      <c r="AN349" t="s" s="10">
        <v>190</v>
      </c>
      <c r="AO349" s="18">
        <v>4</v>
      </c>
      <c r="AP349" s="18">
        <v>8192</v>
      </c>
      <c r="AQ349" s="18">
        <v>8026241</v>
      </c>
      <c r="AR349" s="18">
        <v>7908604</v>
      </c>
      <c r="AS349" t="s" s="10">
        <v>1179</v>
      </c>
      <c r="AT349" t="s" s="10">
        <v>301</v>
      </c>
      <c r="AU349" s="11"/>
      <c r="AV349" s="11"/>
      <c r="AW349" s="11"/>
      <c r="AX349" s="11"/>
      <c r="AY349" s="11"/>
      <c r="AZ349" s="11"/>
      <c r="BA349" s="11"/>
      <c r="BB349" s="11"/>
      <c r="BC349" s="11"/>
      <c r="BD349" t="s" s="10">
        <v>366</v>
      </c>
      <c r="BE349" t="s" s="10">
        <v>367</v>
      </c>
      <c r="BF349" s="11"/>
      <c r="BG349" s="11"/>
      <c r="BH349" s="11"/>
      <c r="BI349" s="11"/>
      <c r="BJ349" s="11"/>
      <c r="BK349" s="11"/>
      <c r="BL349" s="11"/>
      <c r="BM349" s="11"/>
      <c r="BN349" t="s" s="10">
        <v>69</v>
      </c>
      <c r="BO349" s="12"/>
      <c r="BP349" s="8"/>
    </row>
    <row r="350" ht="15" customHeight="1">
      <c r="A350" t="s" s="13">
        <v>1180</v>
      </c>
      <c r="B350" s="14"/>
      <c r="C350" t="str" s="14" cm="1">
        <f t="array" ref="C350">_xlfn.IFERROR((VLOOKUP(A350,#REF!,2,FALSE)),"")</f>
      </c>
      <c r="D350" t="s" s="15">
        <v>70</v>
      </c>
      <c r="E350" t="s" s="15">
        <v>1181</v>
      </c>
      <c r="F350" s="14"/>
      <c r="G350" t="s" s="15">
        <v>1182</v>
      </c>
      <c r="H350" t="s" s="15">
        <v>1183</v>
      </c>
      <c r="I350" t="s" s="15">
        <v>111</v>
      </c>
      <c r="J350" t="s" s="15">
        <v>122</v>
      </c>
      <c r="K350" t="s" s="15">
        <v>127</v>
      </c>
      <c r="L350" t="s" s="15">
        <v>518</v>
      </c>
      <c r="M350" t="s" s="15">
        <v>1182</v>
      </c>
      <c r="N350" t="s" s="15">
        <v>1182</v>
      </c>
      <c r="O350" t="s" s="15">
        <v>286</v>
      </c>
      <c r="P350" t="s" s="15">
        <v>122</v>
      </c>
      <c r="Q350" t="s" s="15">
        <v>78</v>
      </c>
      <c r="R350" t="s" s="15">
        <v>83</v>
      </c>
      <c r="S350" s="14"/>
      <c r="T350" s="14"/>
      <c r="U350" s="14"/>
      <c r="V350" t="s" s="15">
        <v>69</v>
      </c>
      <c r="W350" s="14"/>
      <c r="X350" t="s" s="15">
        <v>78</v>
      </c>
      <c r="Y350" s="14"/>
      <c r="Z350" t="s" s="15">
        <v>205</v>
      </c>
      <c r="AA350" s="14"/>
      <c r="AB350" t="s" s="15">
        <v>1184</v>
      </c>
      <c r="AC350" s="14"/>
      <c r="AD350" s="14"/>
      <c r="AE350" s="14"/>
      <c r="AF350" s="14"/>
      <c r="AG350" t="s" s="15">
        <v>299</v>
      </c>
      <c r="AH350" t="s" s="15">
        <v>114</v>
      </c>
      <c r="AI350" t="s" s="15">
        <v>440</v>
      </c>
      <c r="AJ350" s="14"/>
      <c r="AK350" t="s" s="15">
        <v>83</v>
      </c>
      <c r="AL350" t="s" s="15">
        <v>293</v>
      </c>
      <c r="AM350" t="s" s="15">
        <v>294</v>
      </c>
      <c r="AN350" t="s" s="15">
        <v>1185</v>
      </c>
      <c r="AO350" s="17">
        <v>2</v>
      </c>
      <c r="AP350" s="17">
        <v>8192</v>
      </c>
      <c r="AQ350" s="17">
        <v>725101</v>
      </c>
      <c r="AR350" s="17">
        <v>648884</v>
      </c>
      <c r="AS350" t="s" s="15">
        <v>1186</v>
      </c>
      <c r="AT350" t="s" s="15">
        <v>301</v>
      </c>
      <c r="AU350" s="14"/>
      <c r="AV350" s="14"/>
      <c r="AW350" s="14"/>
      <c r="AX350" s="14"/>
      <c r="AY350" s="14"/>
      <c r="AZ350" s="14"/>
      <c r="BA350" s="14"/>
      <c r="BB350" s="14"/>
      <c r="BC350" s="14"/>
      <c r="BD350" t="s" s="15">
        <v>366</v>
      </c>
      <c r="BE350" t="s" s="15">
        <v>489</v>
      </c>
      <c r="BF350" s="17">
        <v>2</v>
      </c>
      <c r="BG350" s="17">
        <v>8</v>
      </c>
      <c r="BH350" s="14"/>
      <c r="BI350" s="14"/>
      <c r="BJ350" s="14"/>
      <c r="BK350" s="14"/>
      <c r="BL350" s="14"/>
      <c r="BM350" s="14"/>
      <c r="BN350" t="s" s="15">
        <v>69</v>
      </c>
      <c r="BO350" s="16"/>
      <c r="BP350" s="8"/>
    </row>
    <row r="351" ht="9" customHeight="1" hidden="1">
      <c r="A351" t="s" s="9">
        <v>1187</v>
      </c>
      <c r="B351" s="11"/>
      <c r="C351" t="str" s="11" cm="1">
        <f t="array" ref="C351">_xlfn.IFERROR((VLOOKUP(A351,#REF!,2,FALSE)),"")</f>
      </c>
      <c r="D351" t="s" s="10">
        <v>70</v>
      </c>
      <c r="E351" t="s" s="10">
        <v>71</v>
      </c>
      <c r="F351" s="11"/>
      <c r="G351" s="11"/>
      <c r="H351" s="11"/>
      <c r="I351" t="s" s="10">
        <v>111</v>
      </c>
      <c r="J351" t="s" s="10">
        <v>469</v>
      </c>
      <c r="K351" t="s" s="10">
        <v>127</v>
      </c>
      <c r="L351" t="s" s="10">
        <v>76</v>
      </c>
      <c r="M351" t="s" s="10">
        <v>77</v>
      </c>
      <c r="N351" s="18">
        <v>0</v>
      </c>
      <c r="O351" t="s" s="10">
        <v>71</v>
      </c>
      <c r="P351" s="11"/>
      <c r="Q351" t="s" s="10">
        <v>78</v>
      </c>
      <c r="R351" t="s" s="10">
        <v>83</v>
      </c>
      <c r="S351" s="11"/>
      <c r="T351" s="11"/>
      <c r="U351" s="11"/>
      <c r="V351" t="s" s="10">
        <v>69</v>
      </c>
      <c r="W351" s="11"/>
      <c r="X351" t="s" s="10">
        <v>78</v>
      </c>
      <c r="Y351" s="11"/>
      <c r="Z351" t="s" s="10">
        <v>76</v>
      </c>
      <c r="AA351" s="11"/>
      <c r="AB351" t="s" s="10">
        <v>76</v>
      </c>
      <c r="AC351" s="11"/>
      <c r="AD351" t="s" s="10">
        <v>1188</v>
      </c>
      <c r="AE351" s="11"/>
      <c r="AF351" s="11"/>
      <c r="AG351" s="11"/>
      <c r="AH351" s="11"/>
      <c r="AI351" t="s" s="10">
        <v>76</v>
      </c>
      <c r="AJ351" t="s" s="10">
        <v>76</v>
      </c>
      <c r="AK351" t="s" s="10">
        <v>79</v>
      </c>
      <c r="AL351" s="11"/>
      <c r="AM351" s="11"/>
      <c r="AN351" t="s" s="10">
        <v>190</v>
      </c>
      <c r="AO351" s="11"/>
      <c r="AP351" s="11"/>
      <c r="AQ351" s="11"/>
      <c r="AR351" s="11"/>
      <c r="AS351" t="s" s="10">
        <v>1188</v>
      </c>
      <c r="AT351" s="11"/>
      <c r="AU351" s="11"/>
      <c r="AV351" s="11"/>
      <c r="AW351" s="11"/>
      <c r="AX351" s="11"/>
      <c r="AY351" s="11"/>
      <c r="AZ351" s="11"/>
      <c r="BA351" s="11"/>
      <c r="BB351" s="11"/>
      <c r="BC351" s="11"/>
      <c r="BD351" t="s" s="10">
        <v>310</v>
      </c>
      <c r="BE351" t="s" s="10">
        <v>356</v>
      </c>
      <c r="BF351" s="11"/>
      <c r="BG351" s="11"/>
      <c r="BH351" s="11"/>
      <c r="BI351" s="11"/>
      <c r="BJ351" s="11"/>
      <c r="BK351" s="11"/>
      <c r="BL351" s="11"/>
      <c r="BM351" s="11"/>
      <c r="BN351" t="s" s="10">
        <v>78</v>
      </c>
      <c r="BO351" s="12"/>
      <c r="BP351" s="8"/>
    </row>
    <row r="352" ht="15" customHeight="1">
      <c r="A352" t="s" s="13">
        <v>1189</v>
      </c>
      <c r="B352" s="14"/>
      <c r="C352" t="str" s="14" cm="1">
        <f t="array" ref="C352">_xlfn.IFERROR((VLOOKUP(A352,#REF!,2,FALSE)),"")</f>
      </c>
      <c r="D352" t="s" s="15">
        <v>70</v>
      </c>
      <c r="E352" t="s" s="15">
        <v>1190</v>
      </c>
      <c r="F352" t="s" s="15">
        <v>76</v>
      </c>
      <c r="G352" t="s" s="15">
        <v>1191</v>
      </c>
      <c r="H352" t="s" s="15">
        <v>1192</v>
      </c>
      <c r="I352" t="s" s="15">
        <v>111</v>
      </c>
      <c r="J352" t="s" s="15">
        <v>122</v>
      </c>
      <c r="K352" t="s" s="15">
        <v>113</v>
      </c>
      <c r="L352" t="s" s="15">
        <v>518</v>
      </c>
      <c r="M352" t="s" s="15">
        <v>1191</v>
      </c>
      <c r="N352" t="s" s="15">
        <v>1191</v>
      </c>
      <c r="O352" t="s" s="15">
        <v>286</v>
      </c>
      <c r="P352" t="s" s="15">
        <v>122</v>
      </c>
      <c r="Q352" t="s" s="15">
        <v>69</v>
      </c>
      <c r="R352" t="s" s="15">
        <v>83</v>
      </c>
      <c r="S352" s="14"/>
      <c r="T352" s="14"/>
      <c r="U352" s="14"/>
      <c r="V352" t="s" s="15">
        <v>69</v>
      </c>
      <c r="W352" s="14"/>
      <c r="X352" t="s" s="15">
        <v>69</v>
      </c>
      <c r="Y352" s="14"/>
      <c r="Z352" t="s" s="15">
        <v>205</v>
      </c>
      <c r="AA352" s="14"/>
      <c r="AB352" t="s" s="15">
        <v>1193</v>
      </c>
      <c r="AC352" t="s" s="24">
        <v>1189</v>
      </c>
      <c r="AD352" t="s" s="15">
        <v>1194</v>
      </c>
      <c r="AE352" s="14"/>
      <c r="AF352" s="14"/>
      <c r="AG352" t="s" s="15">
        <v>299</v>
      </c>
      <c r="AH352" t="s" s="15">
        <v>114</v>
      </c>
      <c r="AI352" t="s" s="15">
        <v>290</v>
      </c>
      <c r="AJ352" t="s" s="15">
        <v>827</v>
      </c>
      <c r="AK352" t="s" s="15">
        <v>1195</v>
      </c>
      <c r="AL352" t="s" s="15">
        <v>293</v>
      </c>
      <c r="AM352" t="s" s="15">
        <v>294</v>
      </c>
      <c r="AN352" t="s" s="15">
        <v>128</v>
      </c>
      <c r="AO352" s="17">
        <v>4</v>
      </c>
      <c r="AP352" s="17">
        <v>8192</v>
      </c>
      <c r="AQ352" s="17">
        <v>120939</v>
      </c>
      <c r="AR352" s="17">
        <v>120939</v>
      </c>
      <c r="AS352" t="s" s="15">
        <v>1196</v>
      </c>
      <c r="AT352" s="14"/>
      <c r="AU352" s="14"/>
      <c r="AV352" s="14"/>
      <c r="AW352" t="s" s="15">
        <v>83</v>
      </c>
      <c r="AX352" t="s" s="15">
        <v>83</v>
      </c>
      <c r="AY352" t="s" s="15">
        <v>309</v>
      </c>
      <c r="AZ352" t="s" s="15">
        <v>83</v>
      </c>
      <c r="BA352" t="s" s="15">
        <v>76</v>
      </c>
      <c r="BB352" t="s" s="15">
        <v>76</v>
      </c>
      <c r="BC352" t="s" s="15">
        <v>76</v>
      </c>
      <c r="BD352" t="s" s="15">
        <v>310</v>
      </c>
      <c r="BE352" t="s" s="15">
        <v>356</v>
      </c>
      <c r="BF352" s="17">
        <v>4</v>
      </c>
      <c r="BG352" s="17">
        <v>8</v>
      </c>
      <c r="BH352" t="s" s="15">
        <v>83</v>
      </c>
      <c r="BI352" t="s" s="15">
        <v>83</v>
      </c>
      <c r="BJ352" t="s" s="15">
        <v>83</v>
      </c>
      <c r="BK352" t="s" s="15">
        <v>83</v>
      </c>
      <c r="BL352" t="s" s="15">
        <v>83</v>
      </c>
      <c r="BM352" t="s" s="15">
        <v>312</v>
      </c>
      <c r="BN352" t="s" s="15">
        <v>69</v>
      </c>
      <c r="BO352" t="s" s="21">
        <v>76</v>
      </c>
      <c r="BP352" s="8"/>
    </row>
    <row r="353" ht="9" customHeight="1" hidden="1">
      <c r="A353" t="s" s="9">
        <v>1197</v>
      </c>
      <c r="B353" t="s" s="10">
        <v>69</v>
      </c>
      <c r="C353" t="str" s="11" cm="1">
        <f t="array" ref="C353">_xlfn.IFERROR((VLOOKUP(A353,#REF!,2,FALSE)),"")</f>
      </c>
      <c r="D353" t="s" s="10">
        <v>70</v>
      </c>
      <c r="E353" t="s" s="10">
        <v>71</v>
      </c>
      <c r="F353" s="11"/>
      <c r="G353" t="s" s="10">
        <v>1198</v>
      </c>
      <c r="H353" t="s" s="10">
        <v>1198</v>
      </c>
      <c r="I353" t="s" s="10">
        <v>73</v>
      </c>
      <c r="J353" t="s" s="10">
        <v>74</v>
      </c>
      <c r="K353" t="s" s="10">
        <v>351</v>
      </c>
      <c r="L353" t="s" s="10">
        <v>76</v>
      </c>
      <c r="M353" t="s" s="10">
        <v>1198</v>
      </c>
      <c r="N353" t="s" s="10">
        <v>1198</v>
      </c>
      <c r="O353" t="s" s="10">
        <v>71</v>
      </c>
      <c r="P353" t="s" s="10">
        <v>74</v>
      </c>
      <c r="Q353" t="s" s="10">
        <v>78</v>
      </c>
      <c r="R353" t="s" s="10">
        <v>339</v>
      </c>
      <c r="S353" s="11"/>
      <c r="T353" s="11"/>
      <c r="U353" s="11"/>
      <c r="V353" t="s" s="10">
        <v>69</v>
      </c>
      <c r="W353" t="s" s="10">
        <v>1197</v>
      </c>
      <c r="X353" t="s" s="10">
        <v>69</v>
      </c>
      <c r="Y353" s="11"/>
      <c r="Z353" t="s" s="10">
        <v>76</v>
      </c>
      <c r="AA353" s="11"/>
      <c r="AB353" t="s" s="10">
        <v>76</v>
      </c>
      <c r="AC353" s="11"/>
      <c r="AD353" s="11"/>
      <c r="AE353" s="11"/>
      <c r="AF353" s="11"/>
      <c r="AG353" s="11"/>
      <c r="AH353" t="s" s="10">
        <v>114</v>
      </c>
      <c r="AI353" t="s" s="10">
        <v>76</v>
      </c>
      <c r="AJ353" t="s" s="10">
        <v>76</v>
      </c>
      <c r="AK353" t="s" s="10">
        <v>79</v>
      </c>
      <c r="AL353" s="11"/>
      <c r="AM353" s="11"/>
      <c r="AN353" t="s" s="10">
        <v>1199</v>
      </c>
      <c r="AO353" s="11"/>
      <c r="AP353" s="11"/>
      <c r="AQ353" s="11"/>
      <c r="AR353" s="11"/>
      <c r="AS353" t="s" s="10">
        <v>1200</v>
      </c>
      <c r="AT353" s="11"/>
      <c r="AU353" s="11"/>
      <c r="AV353" s="11"/>
      <c r="AW353" s="11"/>
      <c r="AX353" s="11"/>
      <c r="AY353" s="11"/>
      <c r="AZ353" s="11"/>
      <c r="BA353" s="11"/>
      <c r="BB353" s="11"/>
      <c r="BC353" s="11"/>
      <c r="BD353" t="s" s="10">
        <v>118</v>
      </c>
      <c r="BE353" s="11"/>
      <c r="BF353" s="23"/>
      <c r="BG353" s="23"/>
      <c r="BH353" s="11"/>
      <c r="BI353" s="11"/>
      <c r="BJ353" s="11"/>
      <c r="BK353" s="11"/>
      <c r="BL353" s="11"/>
      <c r="BM353" s="11"/>
      <c r="BN353" s="11"/>
      <c r="BO353" s="12"/>
      <c r="BP353" s="8"/>
    </row>
    <row r="354" ht="9" customHeight="1" hidden="1">
      <c r="A354" t="s" s="13">
        <v>1201</v>
      </c>
      <c r="B354" s="14"/>
      <c r="C354" t="str" s="14" cm="1">
        <f t="array" ref="C354">_xlfn.IFERROR((VLOOKUP(A354,#REF!,2,FALSE)),"")</f>
      </c>
      <c r="D354" s="14"/>
      <c r="E354" s="14"/>
      <c r="F354" s="14"/>
      <c r="G354" t="s" s="15">
        <v>1202</v>
      </c>
      <c r="H354" t="s" s="15">
        <v>1202</v>
      </c>
      <c r="I354" t="s" s="15">
        <v>111</v>
      </c>
      <c r="J354" t="s" s="15">
        <v>122</v>
      </c>
      <c r="K354" t="s" s="15">
        <v>105</v>
      </c>
      <c r="L354" t="s" s="15">
        <v>76</v>
      </c>
      <c r="M354" t="s" s="15">
        <v>1203</v>
      </c>
      <c r="N354" t="s" s="15">
        <v>1202</v>
      </c>
      <c r="O354" t="s" s="15">
        <v>286</v>
      </c>
      <c r="P354" t="s" s="15">
        <v>122</v>
      </c>
      <c r="Q354" t="s" s="15">
        <v>69</v>
      </c>
      <c r="R354" t="s" s="15">
        <v>716</v>
      </c>
      <c r="S354" s="14"/>
      <c r="T354" s="14"/>
      <c r="U354" s="14"/>
      <c r="V354" t="s" s="15">
        <v>69</v>
      </c>
      <c r="W354" s="14"/>
      <c r="X354" t="s" s="15">
        <v>69</v>
      </c>
      <c r="Y354" s="14"/>
      <c r="Z354" t="s" s="15">
        <v>76</v>
      </c>
      <c r="AA354" s="14"/>
      <c r="AB354" t="s" s="15">
        <v>76</v>
      </c>
      <c r="AC354" t="s" s="15">
        <v>1201</v>
      </c>
      <c r="AD354" t="s" s="15">
        <v>1204</v>
      </c>
      <c r="AE354" s="14"/>
      <c r="AF354" s="14"/>
      <c r="AG354" t="s" s="15">
        <v>299</v>
      </c>
      <c r="AH354" t="s" s="15">
        <v>106</v>
      </c>
      <c r="AI354" t="s" s="15">
        <v>76</v>
      </c>
      <c r="AJ354" t="s" s="15">
        <v>76</v>
      </c>
      <c r="AK354" t="s" s="15">
        <v>79</v>
      </c>
      <c r="AL354" t="s" s="15">
        <v>293</v>
      </c>
      <c r="AM354" t="s" s="15">
        <v>294</v>
      </c>
      <c r="AN354" t="s" s="15">
        <v>187</v>
      </c>
      <c r="AO354" s="17">
        <v>4</v>
      </c>
      <c r="AP354" s="17">
        <v>4096</v>
      </c>
      <c r="AQ354" s="17">
        <v>260183</v>
      </c>
      <c r="AR354" s="17">
        <v>260183</v>
      </c>
      <c r="AS354" t="s" s="15">
        <v>1205</v>
      </c>
      <c r="AT354" t="s" s="15">
        <v>301</v>
      </c>
      <c r="AU354" s="14"/>
      <c r="AV354" s="14"/>
      <c r="AW354" s="14"/>
      <c r="AX354" s="14"/>
      <c r="AY354" s="14"/>
      <c r="AZ354" s="14"/>
      <c r="BA354" s="14"/>
      <c r="BB354" s="14"/>
      <c r="BC354" s="14"/>
      <c r="BD354" t="s" s="15">
        <v>310</v>
      </c>
      <c r="BE354" t="s" s="15">
        <v>356</v>
      </c>
      <c r="BF354" s="31">
        <v>2</v>
      </c>
      <c r="BG354" s="31">
        <v>8</v>
      </c>
      <c r="BH354" s="14"/>
      <c r="BI354" s="14"/>
      <c r="BJ354" s="14"/>
      <c r="BK354" s="14"/>
      <c r="BL354" s="14"/>
      <c r="BM354" s="14"/>
      <c r="BN354" t="s" s="15">
        <v>78</v>
      </c>
      <c r="BO354" s="16"/>
      <c r="BP354" s="8"/>
    </row>
    <row r="355" ht="15" customHeight="1">
      <c r="A355" t="s" s="9">
        <v>1206</v>
      </c>
      <c r="B355" s="11"/>
      <c r="C355" t="str" s="11" cm="1">
        <f t="array" ref="C355">_xlfn.IFERROR((VLOOKUP(A355,#REF!,2,FALSE)),"")</f>
      </c>
      <c r="D355" s="11"/>
      <c r="E355" s="11"/>
      <c r="F355" s="11"/>
      <c r="G355" t="s" s="10">
        <v>1207</v>
      </c>
      <c r="H355" t="s" s="10">
        <v>550</v>
      </c>
      <c r="I355" t="s" s="10">
        <v>111</v>
      </c>
      <c r="J355" t="s" s="10">
        <v>122</v>
      </c>
      <c r="K355" t="s" s="10">
        <v>113</v>
      </c>
      <c r="L355" t="s" s="10">
        <v>518</v>
      </c>
      <c r="M355" t="s" s="10">
        <v>1207</v>
      </c>
      <c r="N355" t="s" s="10">
        <v>1207</v>
      </c>
      <c r="O355" t="s" s="10">
        <v>286</v>
      </c>
      <c r="P355" t="s" s="10">
        <v>122</v>
      </c>
      <c r="Q355" t="s" s="10">
        <v>69</v>
      </c>
      <c r="R355" t="s" s="10">
        <v>323</v>
      </c>
      <c r="S355" t="s" s="10">
        <v>69</v>
      </c>
      <c r="T355" s="11"/>
      <c r="U355" s="11"/>
      <c r="V355" t="s" s="10">
        <v>69</v>
      </c>
      <c r="W355" s="11"/>
      <c r="X355" t="s" s="10">
        <v>69</v>
      </c>
      <c r="Y355" s="11"/>
      <c r="Z355" t="s" s="10">
        <v>552</v>
      </c>
      <c r="AA355" s="11"/>
      <c r="AB355" t="s" s="10">
        <v>553</v>
      </c>
      <c r="AC355" t="s" s="10">
        <v>1206</v>
      </c>
      <c r="AD355" s="11"/>
      <c r="AE355" s="11"/>
      <c r="AF355" s="11"/>
      <c r="AG355" t="s" s="10">
        <v>299</v>
      </c>
      <c r="AH355" t="s" s="10">
        <v>114</v>
      </c>
      <c r="AI355" t="s" s="10">
        <v>440</v>
      </c>
      <c r="AJ355" s="11"/>
      <c r="AK355" t="s" s="10">
        <v>1195</v>
      </c>
      <c r="AL355" t="s" s="10">
        <v>293</v>
      </c>
      <c r="AM355" t="s" s="10">
        <v>294</v>
      </c>
      <c r="AN355" t="s" s="10">
        <v>187</v>
      </c>
      <c r="AO355" s="18">
        <v>8</v>
      </c>
      <c r="AP355" s="18">
        <v>10240</v>
      </c>
      <c r="AQ355" s="18">
        <v>1546402</v>
      </c>
      <c r="AR355" s="18">
        <v>826788</v>
      </c>
      <c r="AS355" t="s" s="10">
        <v>1208</v>
      </c>
      <c r="AT355" s="11"/>
      <c r="AU355" s="11"/>
      <c r="AV355" s="11"/>
      <c r="AW355" s="11"/>
      <c r="AX355" s="11"/>
      <c r="AY355" s="11"/>
      <c r="AZ355" s="11"/>
      <c r="BA355" s="11"/>
      <c r="BB355" s="11"/>
      <c r="BC355" s="11"/>
      <c r="BD355" t="s" s="10">
        <v>310</v>
      </c>
      <c r="BE355" t="s" s="10">
        <v>311</v>
      </c>
      <c r="BF355" s="18">
        <v>8</v>
      </c>
      <c r="BG355" s="18">
        <v>16</v>
      </c>
      <c r="BH355" s="11"/>
      <c r="BI355" s="11"/>
      <c r="BJ355" s="11"/>
      <c r="BK355" s="11"/>
      <c r="BL355" s="11"/>
      <c r="BM355" s="11"/>
      <c r="BN355" t="s" s="10">
        <v>69</v>
      </c>
      <c r="BO355" s="12"/>
      <c r="BP355" s="8"/>
    </row>
    <row r="356" ht="9" customHeight="1" hidden="1">
      <c r="A356" t="s" s="13">
        <v>1209</v>
      </c>
      <c r="B356" s="14"/>
      <c r="C356" t="str" s="14" cm="1">
        <f t="array" ref="C356">_xlfn.IFERROR((VLOOKUP(A356,#REF!,2,FALSE)),"")</f>
      </c>
      <c r="D356" s="14"/>
      <c r="E356" s="14"/>
      <c r="F356" s="14"/>
      <c r="G356" t="s" s="15">
        <v>1210</v>
      </c>
      <c r="H356" t="s" s="15">
        <v>550</v>
      </c>
      <c r="I356" t="s" s="15">
        <v>82</v>
      </c>
      <c r="J356" t="s" s="15">
        <v>82</v>
      </c>
      <c r="K356" t="s" s="15">
        <v>82</v>
      </c>
      <c r="L356" t="s" s="15">
        <v>518</v>
      </c>
      <c r="M356" t="s" s="15">
        <v>77</v>
      </c>
      <c r="N356" t="s" s="15">
        <v>1210</v>
      </c>
      <c r="O356" t="s" s="15">
        <v>71</v>
      </c>
      <c r="P356" s="14"/>
      <c r="Q356" t="s" s="15">
        <v>78</v>
      </c>
      <c r="R356" t="s" s="15">
        <v>71</v>
      </c>
      <c r="S356" s="14"/>
      <c r="T356" s="14"/>
      <c r="U356" s="14"/>
      <c r="V356" t="s" s="15">
        <v>78</v>
      </c>
      <c r="W356" s="14"/>
      <c r="X356" t="s" s="15">
        <v>69</v>
      </c>
      <c r="Y356" s="14"/>
      <c r="Z356" t="s" s="15">
        <v>552</v>
      </c>
      <c r="AA356" s="14"/>
      <c r="AB356" t="s" s="15">
        <v>553</v>
      </c>
      <c r="AC356" s="14"/>
      <c r="AD356" s="14"/>
      <c r="AE356" s="14"/>
      <c r="AF356" s="14"/>
      <c r="AG356" s="14"/>
      <c r="AH356" t="s" s="15">
        <v>114</v>
      </c>
      <c r="AI356" t="s" s="15">
        <v>440</v>
      </c>
      <c r="AJ356" s="14"/>
      <c r="AK356" t="s" s="15">
        <v>79</v>
      </c>
      <c r="AL356" s="14"/>
      <c r="AM356" s="14"/>
      <c r="AN356" s="14"/>
      <c r="AO356" s="14"/>
      <c r="AP356" s="14"/>
      <c r="AQ356" s="14"/>
      <c r="AR356" s="14"/>
      <c r="AS356" s="14"/>
      <c r="AT356" s="14"/>
      <c r="AU356" s="14"/>
      <c r="AV356" s="14"/>
      <c r="AW356" s="14"/>
      <c r="AX356" s="14"/>
      <c r="AY356" s="14"/>
      <c r="AZ356" s="14"/>
      <c r="BA356" s="14"/>
      <c r="BB356" s="14"/>
      <c r="BC356" s="14"/>
      <c r="BD356" t="s" s="15">
        <v>118</v>
      </c>
      <c r="BE356" s="14"/>
      <c r="BF356" s="20"/>
      <c r="BG356" s="20"/>
      <c r="BH356" s="14"/>
      <c r="BI356" s="14"/>
      <c r="BJ356" s="14"/>
      <c r="BK356" s="14"/>
      <c r="BL356" s="14"/>
      <c r="BM356" s="14"/>
      <c r="BN356" s="14"/>
      <c r="BO356" s="16"/>
      <c r="BP356" s="8"/>
    </row>
    <row r="357" ht="15" customHeight="1">
      <c r="A357" t="s" s="9">
        <v>1211</v>
      </c>
      <c r="B357" s="11"/>
      <c r="C357" t="str" s="11" cm="1">
        <f t="array" ref="C357">_xlfn.IFERROR((VLOOKUP(A357,#REF!,2,FALSE)),"")</f>
      </c>
      <c r="D357" s="11"/>
      <c r="E357" s="11"/>
      <c r="F357" s="11"/>
      <c r="G357" t="s" s="10">
        <v>1212</v>
      </c>
      <c r="H357" t="s" s="10">
        <v>1212</v>
      </c>
      <c r="I357" t="s" s="10">
        <v>111</v>
      </c>
      <c r="J357" t="s" s="10">
        <v>122</v>
      </c>
      <c r="K357" t="s" s="10">
        <v>113</v>
      </c>
      <c r="L357" t="s" s="10">
        <v>518</v>
      </c>
      <c r="M357" t="s" s="10">
        <v>1213</v>
      </c>
      <c r="N357" t="s" s="10">
        <v>1212</v>
      </c>
      <c r="O357" t="s" s="10">
        <v>286</v>
      </c>
      <c r="P357" t="s" s="10">
        <v>122</v>
      </c>
      <c r="Q357" t="s" s="10">
        <v>69</v>
      </c>
      <c r="R357" t="s" s="10">
        <v>323</v>
      </c>
      <c r="S357" s="11"/>
      <c r="T357" s="11"/>
      <c r="U357" s="11"/>
      <c r="V357" t="s" s="10">
        <v>69</v>
      </c>
      <c r="W357" s="11"/>
      <c r="X357" t="s" s="10">
        <v>69</v>
      </c>
      <c r="Y357" s="11"/>
      <c r="Z357" t="s" s="10">
        <v>1214</v>
      </c>
      <c r="AA357" s="11"/>
      <c r="AB357" t="s" s="10">
        <v>1215</v>
      </c>
      <c r="AC357" t="s" s="10">
        <v>1211</v>
      </c>
      <c r="AD357" t="s" s="10">
        <v>1216</v>
      </c>
      <c r="AE357" s="11"/>
      <c r="AF357" s="11"/>
      <c r="AG357" t="s" s="10">
        <v>299</v>
      </c>
      <c r="AH357" t="s" s="10">
        <v>114</v>
      </c>
      <c r="AI357" t="s" s="10">
        <v>440</v>
      </c>
      <c r="AJ357" s="11"/>
      <c r="AK357" t="s" s="10">
        <v>83</v>
      </c>
      <c r="AL357" t="s" s="10">
        <v>293</v>
      </c>
      <c r="AM357" t="s" s="10">
        <v>294</v>
      </c>
      <c r="AN357" t="s" s="10">
        <v>264</v>
      </c>
      <c r="AO357" s="18">
        <v>4</v>
      </c>
      <c r="AP357" s="18">
        <v>4096</v>
      </c>
      <c r="AQ357" s="18">
        <v>239705</v>
      </c>
      <c r="AR357" s="18">
        <v>200969</v>
      </c>
      <c r="AS357" t="s" s="10">
        <v>1217</v>
      </c>
      <c r="AT357" t="s" s="10">
        <v>301</v>
      </c>
      <c r="AU357" s="11"/>
      <c r="AV357" s="11"/>
      <c r="AW357" s="11"/>
      <c r="AX357" s="11"/>
      <c r="AY357" s="11"/>
      <c r="AZ357" s="11"/>
      <c r="BA357" s="11"/>
      <c r="BB357" s="11"/>
      <c r="BC357" s="11"/>
      <c r="BD357" t="s" s="10">
        <v>310</v>
      </c>
      <c r="BE357" t="s" s="10">
        <v>356</v>
      </c>
      <c r="BF357" s="18">
        <v>4</v>
      </c>
      <c r="BG357" s="18">
        <v>8</v>
      </c>
      <c r="BH357" s="11"/>
      <c r="BI357" s="11"/>
      <c r="BJ357" s="11"/>
      <c r="BK357" s="11"/>
      <c r="BL357" s="11"/>
      <c r="BM357" s="11"/>
      <c r="BN357" t="s" s="10">
        <v>69</v>
      </c>
      <c r="BO357" s="12"/>
      <c r="BP357" s="8"/>
    </row>
    <row r="358" ht="9" customHeight="1" hidden="1">
      <c r="A358" t="s" s="13">
        <v>1218</v>
      </c>
      <c r="B358" s="14"/>
      <c r="C358" t="str" s="14" cm="1">
        <f t="array" ref="C358">_xlfn.IFERROR((VLOOKUP(A358,#REF!,2,FALSE)),"")</f>
      </c>
      <c r="D358" s="14"/>
      <c r="E358" t="s" s="15">
        <v>195</v>
      </c>
      <c r="F358" s="14"/>
      <c r="G358" t="s" s="15">
        <v>1219</v>
      </c>
      <c r="H358" t="s" s="15">
        <v>1220</v>
      </c>
      <c r="I358" t="s" s="15">
        <v>73</v>
      </c>
      <c r="J358" t="s" s="15">
        <v>74</v>
      </c>
      <c r="K358" t="s" s="15">
        <v>113</v>
      </c>
      <c r="L358" t="s" s="15">
        <v>76</v>
      </c>
      <c r="M358" t="s" s="15">
        <v>1219</v>
      </c>
      <c r="N358" t="s" s="15">
        <v>1219</v>
      </c>
      <c r="O358" t="s" s="15">
        <v>71</v>
      </c>
      <c r="P358" t="s" s="15">
        <v>322</v>
      </c>
      <c r="Q358" t="s" s="15">
        <v>78</v>
      </c>
      <c r="R358" t="s" s="15">
        <v>339</v>
      </c>
      <c r="S358" s="14"/>
      <c r="T358" s="14"/>
      <c r="U358" s="14"/>
      <c r="V358" t="s" s="15">
        <v>78</v>
      </c>
      <c r="W358" s="14"/>
      <c r="X358" t="s" s="15">
        <v>69</v>
      </c>
      <c r="Y358" s="14"/>
      <c r="Z358" t="s" s="15">
        <v>76</v>
      </c>
      <c r="AA358" s="14"/>
      <c r="AB358" t="s" s="15">
        <v>76</v>
      </c>
      <c r="AC358" s="14"/>
      <c r="AD358" s="14"/>
      <c r="AE358" s="14"/>
      <c r="AF358" s="14"/>
      <c r="AG358" s="14"/>
      <c r="AH358" t="s" s="15">
        <v>114</v>
      </c>
      <c r="AI358" t="s" s="15">
        <v>76</v>
      </c>
      <c r="AJ358" t="s" s="15">
        <v>76</v>
      </c>
      <c r="AK358" t="s" s="15">
        <v>79</v>
      </c>
      <c r="AL358" t="s" s="15">
        <v>293</v>
      </c>
      <c r="AM358" t="s" s="15">
        <v>196</v>
      </c>
      <c r="AN358" s="14"/>
      <c r="AO358" s="17">
        <v>4</v>
      </c>
      <c r="AP358" s="17">
        <v>6144</v>
      </c>
      <c r="AQ358" s="17">
        <v>88148</v>
      </c>
      <c r="AR358" s="17">
        <v>86888</v>
      </c>
      <c r="AS358" s="14"/>
      <c r="AT358" s="14"/>
      <c r="AU358" s="14"/>
      <c r="AV358" s="14"/>
      <c r="AW358" s="14"/>
      <c r="AX358" s="14"/>
      <c r="AY358" s="14"/>
      <c r="AZ358" s="14"/>
      <c r="BA358" s="14"/>
      <c r="BB358" s="14"/>
      <c r="BC358" s="14"/>
      <c r="BD358" t="s" s="15">
        <v>310</v>
      </c>
      <c r="BE358" t="s" s="15">
        <v>356</v>
      </c>
      <c r="BF358" s="17">
        <v>4</v>
      </c>
      <c r="BG358" s="17">
        <v>8</v>
      </c>
      <c r="BH358" s="14"/>
      <c r="BI358" s="14"/>
      <c r="BJ358" s="14"/>
      <c r="BK358" s="14"/>
      <c r="BL358" s="14"/>
      <c r="BM358" s="14"/>
      <c r="BN358" s="14"/>
      <c r="BO358" s="16"/>
      <c r="BP358" s="8"/>
    </row>
    <row r="359" ht="9" customHeight="1" hidden="1">
      <c r="A359" t="s" s="9">
        <v>1221</v>
      </c>
      <c r="B359" s="11"/>
      <c r="C359" t="str" s="11" cm="1">
        <f t="array" ref="C359">_xlfn.IFERROR((VLOOKUP(A359,#REF!,2,FALSE)),"")</f>
      </c>
      <c r="D359" t="s" s="10">
        <v>70</v>
      </c>
      <c r="E359" t="s" s="10">
        <v>71</v>
      </c>
      <c r="F359" s="11"/>
      <c r="G359" s="11"/>
      <c r="H359" s="11"/>
      <c r="I359" t="s" s="10">
        <v>82</v>
      </c>
      <c r="J359" t="s" s="10">
        <v>82</v>
      </c>
      <c r="K359" t="s" s="10">
        <v>82</v>
      </c>
      <c r="L359" t="s" s="10">
        <v>76</v>
      </c>
      <c r="M359" t="s" s="10">
        <v>77</v>
      </c>
      <c r="N359" s="11"/>
      <c r="O359" t="s" s="10">
        <v>71</v>
      </c>
      <c r="P359" s="11"/>
      <c r="Q359" t="s" s="10">
        <v>78</v>
      </c>
      <c r="R359" t="s" s="10">
        <v>83</v>
      </c>
      <c r="S359" s="11"/>
      <c r="T359" s="11"/>
      <c r="U359" s="11"/>
      <c r="V359" t="s" s="10">
        <v>78</v>
      </c>
      <c r="W359" s="11"/>
      <c r="X359" t="s" s="10">
        <v>78</v>
      </c>
      <c r="Y359" s="11"/>
      <c r="Z359" t="s" s="10">
        <v>76</v>
      </c>
      <c r="AA359" s="11"/>
      <c r="AB359" t="s" s="10">
        <v>76</v>
      </c>
      <c r="AC359" s="11"/>
      <c r="AD359" s="11"/>
      <c r="AE359" s="11"/>
      <c r="AF359" s="11"/>
      <c r="AG359" s="11"/>
      <c r="AH359" s="11"/>
      <c r="AI359" t="s" s="10">
        <v>76</v>
      </c>
      <c r="AJ359" t="s" s="10">
        <v>76</v>
      </c>
      <c r="AK359" t="s" s="10">
        <v>79</v>
      </c>
      <c r="AL359" t="s" s="10">
        <v>293</v>
      </c>
      <c r="AM359" t="s" s="10">
        <v>294</v>
      </c>
      <c r="AN359" s="11"/>
      <c r="AO359" s="18">
        <v>1</v>
      </c>
      <c r="AP359" s="18">
        <v>2048</v>
      </c>
      <c r="AQ359" s="18">
        <v>43089</v>
      </c>
      <c r="AR359" s="18">
        <v>37018</v>
      </c>
      <c r="AS359" s="11"/>
      <c r="AT359" s="11"/>
      <c r="AU359" s="11"/>
      <c r="AV359" s="11"/>
      <c r="AW359" s="11"/>
      <c r="AX359" s="11"/>
      <c r="AY359" s="11"/>
      <c r="AZ359" s="11"/>
      <c r="BA359" s="11"/>
      <c r="BB359" s="11"/>
      <c r="BC359" s="11"/>
      <c r="BD359" t="s" s="10">
        <v>366</v>
      </c>
      <c r="BE359" t="s" s="10">
        <v>394</v>
      </c>
      <c r="BF359" s="11"/>
      <c r="BG359" s="11"/>
      <c r="BH359" s="11"/>
      <c r="BI359" s="11"/>
      <c r="BJ359" s="11"/>
      <c r="BK359" s="11"/>
      <c r="BL359" s="11"/>
      <c r="BM359" s="11"/>
      <c r="BN359" s="11"/>
      <c r="BO359" s="12"/>
      <c r="BP359" s="8"/>
    </row>
    <row r="360" ht="9" customHeight="1" hidden="1">
      <c r="A360" t="s" s="13">
        <v>1222</v>
      </c>
      <c r="B360" s="14"/>
      <c r="C360" t="str" s="14" cm="1">
        <f t="array" ref="C360">_xlfn.IFERROR((VLOOKUP(A360,#REF!,2,FALSE)),"")</f>
      </c>
      <c r="D360" t="s" s="15">
        <v>70</v>
      </c>
      <c r="E360" t="s" s="15">
        <v>71</v>
      </c>
      <c r="F360" s="14"/>
      <c r="G360" s="14"/>
      <c r="H360" s="14"/>
      <c r="I360" t="s" s="15">
        <v>82</v>
      </c>
      <c r="J360" t="s" s="15">
        <v>82</v>
      </c>
      <c r="K360" t="s" s="15">
        <v>82</v>
      </c>
      <c r="L360" t="s" s="15">
        <v>76</v>
      </c>
      <c r="M360" t="s" s="15">
        <v>77</v>
      </c>
      <c r="N360" s="14"/>
      <c r="O360" t="s" s="15">
        <v>71</v>
      </c>
      <c r="P360" s="14"/>
      <c r="Q360" t="s" s="15">
        <v>78</v>
      </c>
      <c r="R360" t="s" s="15">
        <v>83</v>
      </c>
      <c r="S360" s="14"/>
      <c r="T360" s="14"/>
      <c r="U360" s="14"/>
      <c r="V360" t="s" s="15">
        <v>78</v>
      </c>
      <c r="W360" s="14"/>
      <c r="X360" t="s" s="15">
        <v>78</v>
      </c>
      <c r="Y360" s="14"/>
      <c r="Z360" t="s" s="15">
        <v>76</v>
      </c>
      <c r="AA360" s="14"/>
      <c r="AB360" t="s" s="15">
        <v>76</v>
      </c>
      <c r="AC360" s="14"/>
      <c r="AD360" s="14"/>
      <c r="AE360" s="14"/>
      <c r="AF360" s="14"/>
      <c r="AG360" s="14"/>
      <c r="AH360" s="14"/>
      <c r="AI360" t="s" s="15">
        <v>76</v>
      </c>
      <c r="AJ360" t="s" s="15">
        <v>76</v>
      </c>
      <c r="AK360" t="s" s="15">
        <v>79</v>
      </c>
      <c r="AL360" t="s" s="15">
        <v>293</v>
      </c>
      <c r="AM360" t="s" s="15">
        <v>294</v>
      </c>
      <c r="AN360" s="14"/>
      <c r="AO360" s="17">
        <v>1</v>
      </c>
      <c r="AP360" s="17">
        <v>4096</v>
      </c>
      <c r="AQ360" s="17">
        <v>65616</v>
      </c>
      <c r="AR360" s="17">
        <v>65616</v>
      </c>
      <c r="AS360" s="14"/>
      <c r="AT360" s="14"/>
      <c r="AU360" s="14"/>
      <c r="AV360" s="14"/>
      <c r="AW360" s="14"/>
      <c r="AX360" s="14"/>
      <c r="AY360" s="14"/>
      <c r="AZ360" s="14"/>
      <c r="BA360" s="14"/>
      <c r="BB360" s="14"/>
      <c r="BC360" s="14"/>
      <c r="BD360" t="s" s="15">
        <v>310</v>
      </c>
      <c r="BE360" t="s" s="15">
        <v>356</v>
      </c>
      <c r="BF360" s="14"/>
      <c r="BG360" s="14"/>
      <c r="BH360" s="14"/>
      <c r="BI360" s="14"/>
      <c r="BJ360" s="14"/>
      <c r="BK360" s="14"/>
      <c r="BL360" s="14"/>
      <c r="BM360" s="14"/>
      <c r="BN360" s="14"/>
      <c r="BO360" s="16"/>
      <c r="BP360" s="8"/>
    </row>
    <row r="361" ht="15" customHeight="1" hidden="1">
      <c r="A361" t="s" s="9">
        <v>1223</v>
      </c>
      <c r="B361" s="11"/>
      <c r="C361" t="str" s="11" cm="1">
        <f t="array" ref="C361">_xlfn.IFERROR((VLOOKUP(A361,#REF!,2,FALSE)),"")</f>
      </c>
      <c r="D361" s="11"/>
      <c r="E361" t="s" s="10">
        <v>1224</v>
      </c>
      <c r="F361" s="11"/>
      <c r="G361" t="s" s="10">
        <v>1225</v>
      </c>
      <c r="H361" t="s" s="10">
        <v>516</v>
      </c>
      <c r="I361" t="s" s="10">
        <v>111</v>
      </c>
      <c r="J361" t="s" s="10">
        <v>112</v>
      </c>
      <c r="K361" t="s" s="10">
        <v>210</v>
      </c>
      <c r="L361" t="s" s="10">
        <v>518</v>
      </c>
      <c r="M361" t="s" s="10">
        <v>1225</v>
      </c>
      <c r="N361" t="s" s="10">
        <v>1225</v>
      </c>
      <c r="O361" t="s" s="10">
        <v>346</v>
      </c>
      <c r="P361" t="s" s="10">
        <v>112</v>
      </c>
      <c r="Q361" t="s" s="10">
        <v>78</v>
      </c>
      <c r="R361" t="s" s="10">
        <v>83</v>
      </c>
      <c r="S361" s="11"/>
      <c r="T361" s="11"/>
      <c r="U361" s="11"/>
      <c r="V361" t="s" s="10">
        <v>78</v>
      </c>
      <c r="W361" s="11"/>
      <c r="X361" t="s" s="10">
        <v>69</v>
      </c>
      <c r="Y361" s="11"/>
      <c r="Z361" t="s" s="10">
        <v>205</v>
      </c>
      <c r="AA361" s="11"/>
      <c r="AB361" t="s" s="10">
        <v>520</v>
      </c>
      <c r="AC361" t="s" s="10">
        <v>1226</v>
      </c>
      <c r="AD361" s="11"/>
      <c r="AE361" s="11"/>
      <c r="AF361" s="11"/>
      <c r="AG361" t="s" s="10">
        <v>299</v>
      </c>
      <c r="AH361" t="s" s="10">
        <v>289</v>
      </c>
      <c r="AI361" t="s" s="10">
        <v>83</v>
      </c>
      <c r="AJ361" t="s" s="10">
        <v>83</v>
      </c>
      <c r="AK361" t="s" s="10">
        <v>1195</v>
      </c>
      <c r="AL361" t="s" s="10">
        <v>293</v>
      </c>
      <c r="AM361" t="s" s="10">
        <v>294</v>
      </c>
      <c r="AN361" s="11"/>
      <c r="AO361" s="18">
        <v>2</v>
      </c>
      <c r="AP361" s="18">
        <v>16384</v>
      </c>
      <c r="AQ361" s="18">
        <v>67666</v>
      </c>
      <c r="AR361" s="18">
        <v>63637</v>
      </c>
      <c r="AS361" t="s" s="10">
        <v>1227</v>
      </c>
      <c r="AT361" t="s" s="10">
        <v>301</v>
      </c>
      <c r="AU361" t="s" s="10">
        <v>1174</v>
      </c>
      <c r="AV361" t="s" s="10">
        <v>76</v>
      </c>
      <c r="AW361" t="s" s="10">
        <v>1228</v>
      </c>
      <c r="AX361" t="s" s="10">
        <v>301</v>
      </c>
      <c r="AY361" t="s" s="10">
        <v>1229</v>
      </c>
      <c r="AZ361" t="s" s="10">
        <v>1230</v>
      </c>
      <c r="BA361" t="s" s="10">
        <v>1231</v>
      </c>
      <c r="BB361" t="s" s="10">
        <v>1232</v>
      </c>
      <c r="BC361" t="s" s="10">
        <v>1233</v>
      </c>
      <c r="BD361" t="s" s="10">
        <v>310</v>
      </c>
      <c r="BE361" t="s" s="10">
        <v>311</v>
      </c>
      <c r="BF361" s="11"/>
      <c r="BG361" s="11"/>
      <c r="BH361" t="s" s="10">
        <v>76</v>
      </c>
      <c r="BI361" t="s" s="10">
        <v>76</v>
      </c>
      <c r="BJ361" t="s" s="10">
        <v>76</v>
      </c>
      <c r="BK361" t="s" s="10">
        <v>76</v>
      </c>
      <c r="BL361" t="s" s="10">
        <v>76</v>
      </c>
      <c r="BM361" t="s" s="10">
        <v>1234</v>
      </c>
      <c r="BN361" t="s" s="10">
        <v>78</v>
      </c>
      <c r="BO361" t="s" s="19">
        <v>76</v>
      </c>
      <c r="BP361" s="8"/>
    </row>
    <row r="362" ht="15" customHeight="1" hidden="1">
      <c r="A362" t="s" s="13">
        <v>1235</v>
      </c>
      <c r="B362" s="14"/>
      <c r="C362" t="str" s="14" cm="1">
        <f t="array" ref="C362">_xlfn.IFERROR((VLOOKUP(A362,#REF!,2,FALSE)),"")</f>
      </c>
      <c r="D362" s="14"/>
      <c r="E362" t="s" s="15">
        <v>1224</v>
      </c>
      <c r="F362" s="14"/>
      <c r="G362" t="s" s="15">
        <v>1236</v>
      </c>
      <c r="H362" t="s" s="15">
        <v>1237</v>
      </c>
      <c r="I362" t="s" s="15">
        <v>111</v>
      </c>
      <c r="J362" t="s" s="15">
        <v>517</v>
      </c>
      <c r="K362" t="s" s="15">
        <v>140</v>
      </c>
      <c r="L362" t="s" s="15">
        <v>518</v>
      </c>
      <c r="M362" t="s" s="15">
        <v>1238</v>
      </c>
      <c r="N362" t="s" s="15">
        <v>1238</v>
      </c>
      <c r="O362" t="s" s="15">
        <v>517</v>
      </c>
      <c r="P362" t="s" s="15">
        <v>517</v>
      </c>
      <c r="Q362" t="s" s="15">
        <v>78</v>
      </c>
      <c r="R362" t="s" s="15">
        <v>339</v>
      </c>
      <c r="S362" s="14"/>
      <c r="T362" s="14"/>
      <c r="U362" s="14"/>
      <c r="V362" t="s" s="15">
        <v>69</v>
      </c>
      <c r="W362" s="14"/>
      <c r="X362" t="s" s="15">
        <v>78</v>
      </c>
      <c r="Y362" s="14"/>
      <c r="Z362" t="s" s="15">
        <v>205</v>
      </c>
      <c r="AA362" s="14"/>
      <c r="AB362" t="s" s="15">
        <v>520</v>
      </c>
      <c r="AC362" t="s" s="15">
        <v>1226</v>
      </c>
      <c r="AD362" s="14"/>
      <c r="AE362" s="14"/>
      <c r="AF362" s="14"/>
      <c r="AG362" t="s" s="15">
        <v>299</v>
      </c>
      <c r="AH362" t="s" s="15">
        <v>289</v>
      </c>
      <c r="AI362" t="s" s="15">
        <v>83</v>
      </c>
      <c r="AJ362" t="s" s="15">
        <v>83</v>
      </c>
      <c r="AK362" t="s" s="15">
        <v>1195</v>
      </c>
      <c r="AL362" t="s" s="15">
        <v>293</v>
      </c>
      <c r="AM362" t="s" s="15">
        <v>294</v>
      </c>
      <c r="AN362" t="s" s="15">
        <v>1239</v>
      </c>
      <c r="AO362" s="17">
        <v>1</v>
      </c>
      <c r="AP362" s="17">
        <v>16384</v>
      </c>
      <c r="AQ362" s="17">
        <v>57438</v>
      </c>
      <c r="AR362" s="17">
        <v>56499</v>
      </c>
      <c r="AS362" t="s" s="15">
        <v>1240</v>
      </c>
      <c r="AT362" t="s" s="15">
        <v>301</v>
      </c>
      <c r="AU362" t="s" s="15">
        <v>1174</v>
      </c>
      <c r="AV362" t="s" s="15">
        <v>76</v>
      </c>
      <c r="AW362" t="s" s="15">
        <v>1241</v>
      </c>
      <c r="AX362" t="s" s="15">
        <v>301</v>
      </c>
      <c r="AY362" t="s" s="15">
        <v>1229</v>
      </c>
      <c r="AZ362" t="s" s="15">
        <v>1230</v>
      </c>
      <c r="BA362" t="s" s="15">
        <v>1231</v>
      </c>
      <c r="BB362" t="s" s="15">
        <v>1242</v>
      </c>
      <c r="BC362" t="s" s="15">
        <v>1233</v>
      </c>
      <c r="BD362" t="s" s="15">
        <v>366</v>
      </c>
      <c r="BE362" t="s" s="15">
        <v>394</v>
      </c>
      <c r="BF362" s="14"/>
      <c r="BG362" s="14"/>
      <c r="BH362" t="s" s="15">
        <v>76</v>
      </c>
      <c r="BI362" t="s" s="15">
        <v>76</v>
      </c>
      <c r="BJ362" t="s" s="15">
        <v>76</v>
      </c>
      <c r="BK362" t="s" s="15">
        <v>76</v>
      </c>
      <c r="BL362" t="s" s="15">
        <v>76</v>
      </c>
      <c r="BM362" t="s" s="15">
        <v>1234</v>
      </c>
      <c r="BN362" t="s" s="15">
        <v>78</v>
      </c>
      <c r="BO362" t="s" s="21">
        <v>76</v>
      </c>
      <c r="BP362" s="8"/>
    </row>
    <row r="363" ht="15" customHeight="1" hidden="1">
      <c r="A363" t="s" s="9">
        <v>1243</v>
      </c>
      <c r="B363" s="11"/>
      <c r="C363" t="str" s="11" cm="1">
        <f t="array" ref="C363">_xlfn.IFERROR((VLOOKUP(A363,#REF!,2,FALSE)),"")</f>
      </c>
      <c r="D363" s="11"/>
      <c r="E363" t="s" s="10">
        <v>1224</v>
      </c>
      <c r="F363" s="11"/>
      <c r="G363" t="s" s="10">
        <v>1244</v>
      </c>
      <c r="H363" t="s" s="10">
        <v>516</v>
      </c>
      <c r="I363" t="s" s="10">
        <v>111</v>
      </c>
      <c r="J363" t="s" s="10">
        <v>112</v>
      </c>
      <c r="K363" t="s" s="10">
        <v>140</v>
      </c>
      <c r="L363" t="s" s="10">
        <v>518</v>
      </c>
      <c r="M363" t="s" s="10">
        <v>1238</v>
      </c>
      <c r="N363" t="s" s="10">
        <v>1238</v>
      </c>
      <c r="O363" t="s" s="10">
        <v>346</v>
      </c>
      <c r="P363" t="s" s="10">
        <v>112</v>
      </c>
      <c r="Q363" t="s" s="10">
        <v>78</v>
      </c>
      <c r="R363" t="s" s="10">
        <v>716</v>
      </c>
      <c r="S363" s="11"/>
      <c r="T363" s="11"/>
      <c r="U363" s="11"/>
      <c r="V363" t="s" s="10">
        <v>78</v>
      </c>
      <c r="W363" s="11"/>
      <c r="X363" t="s" s="10">
        <v>69</v>
      </c>
      <c r="Y363" s="11"/>
      <c r="Z363" t="s" s="10">
        <v>205</v>
      </c>
      <c r="AA363" s="11"/>
      <c r="AB363" t="s" s="10">
        <v>520</v>
      </c>
      <c r="AC363" t="s" s="10">
        <v>1226</v>
      </c>
      <c r="AD363" s="11"/>
      <c r="AE363" s="11"/>
      <c r="AF363" s="11"/>
      <c r="AG363" t="s" s="10">
        <v>299</v>
      </c>
      <c r="AH363" t="s" s="10">
        <v>289</v>
      </c>
      <c r="AI363" t="s" s="10">
        <v>83</v>
      </c>
      <c r="AJ363" t="s" s="10">
        <v>83</v>
      </c>
      <c r="AK363" t="s" s="10">
        <v>1195</v>
      </c>
      <c r="AL363" t="s" s="10">
        <v>293</v>
      </c>
      <c r="AM363" t="s" s="10">
        <v>294</v>
      </c>
      <c r="AN363" s="11"/>
      <c r="AO363" s="18">
        <v>3</v>
      </c>
      <c r="AP363" s="18">
        <v>24576</v>
      </c>
      <c r="AQ363" s="18">
        <v>157779</v>
      </c>
      <c r="AR363" s="18">
        <v>151910</v>
      </c>
      <c r="AS363" t="s" s="10">
        <v>1245</v>
      </c>
      <c r="AT363" t="s" s="10">
        <v>301</v>
      </c>
      <c r="AU363" t="s" s="10">
        <v>1174</v>
      </c>
      <c r="AV363" t="s" s="10">
        <v>76</v>
      </c>
      <c r="AW363" t="s" s="10">
        <v>1246</v>
      </c>
      <c r="AX363" t="s" s="10">
        <v>301</v>
      </c>
      <c r="AY363" t="s" s="10">
        <v>1229</v>
      </c>
      <c r="AZ363" t="s" s="10">
        <v>1230</v>
      </c>
      <c r="BA363" t="s" s="10">
        <v>1231</v>
      </c>
      <c r="BB363" t="s" s="10">
        <v>1232</v>
      </c>
      <c r="BC363" t="s" s="10">
        <v>1233</v>
      </c>
      <c r="BD363" t="s" s="10">
        <v>310</v>
      </c>
      <c r="BE363" t="s" s="10">
        <v>311</v>
      </c>
      <c r="BF363" s="11"/>
      <c r="BG363" s="11"/>
      <c r="BH363" t="s" s="10">
        <v>76</v>
      </c>
      <c r="BI363" t="s" s="10">
        <v>76</v>
      </c>
      <c r="BJ363" t="s" s="10">
        <v>76</v>
      </c>
      <c r="BK363" t="s" s="10">
        <v>76</v>
      </c>
      <c r="BL363" t="s" s="10">
        <v>76</v>
      </c>
      <c r="BM363" t="s" s="10">
        <v>1234</v>
      </c>
      <c r="BN363" t="s" s="10">
        <v>78</v>
      </c>
      <c r="BO363" t="s" s="19">
        <v>76</v>
      </c>
      <c r="BP363" s="8"/>
    </row>
    <row r="364" ht="9" customHeight="1" hidden="1">
      <c r="A364" t="s" s="13">
        <v>1247</v>
      </c>
      <c r="B364" s="14"/>
      <c r="C364" t="str" s="14" cm="1">
        <f t="array" ref="C364">_xlfn.IFERROR((VLOOKUP(A364,#REF!,2,FALSE)),"")</f>
      </c>
      <c r="D364" s="14"/>
      <c r="E364" t="s" s="15">
        <v>1224</v>
      </c>
      <c r="F364" s="14"/>
      <c r="G364" t="s" s="15">
        <v>1248</v>
      </c>
      <c r="H364" t="s" s="15">
        <v>741</v>
      </c>
      <c r="I364" t="s" s="15">
        <v>111</v>
      </c>
      <c r="J364" t="s" s="15">
        <v>322</v>
      </c>
      <c r="K364" t="s" s="15">
        <v>140</v>
      </c>
      <c r="L364" t="s" s="15">
        <v>518</v>
      </c>
      <c r="M364" t="s" s="15">
        <v>1249</v>
      </c>
      <c r="N364" t="s" s="15">
        <v>1249</v>
      </c>
      <c r="O364" t="s" s="15">
        <v>322</v>
      </c>
      <c r="P364" t="s" s="15">
        <v>322</v>
      </c>
      <c r="Q364" t="s" s="15">
        <v>78</v>
      </c>
      <c r="R364" t="s" s="15">
        <v>323</v>
      </c>
      <c r="S364" s="14"/>
      <c r="T364" s="14"/>
      <c r="U364" s="14"/>
      <c r="V364" t="s" s="15">
        <v>69</v>
      </c>
      <c r="W364" s="14"/>
      <c r="X364" t="s" s="15">
        <v>69</v>
      </c>
      <c r="Y364" s="14"/>
      <c r="Z364" t="s" s="15">
        <v>552</v>
      </c>
      <c r="AA364" s="14"/>
      <c r="AB364" t="s" s="15">
        <v>743</v>
      </c>
      <c r="AC364" t="s" s="15">
        <v>1226</v>
      </c>
      <c r="AD364" s="14"/>
      <c r="AE364" s="14"/>
      <c r="AF364" s="14"/>
      <c r="AG364" t="s" s="15">
        <v>299</v>
      </c>
      <c r="AH364" t="s" s="15">
        <v>289</v>
      </c>
      <c r="AI364" t="s" s="15">
        <v>83</v>
      </c>
      <c r="AJ364" t="s" s="15">
        <v>83</v>
      </c>
      <c r="AK364" t="s" s="15">
        <v>1195</v>
      </c>
      <c r="AL364" t="s" s="15">
        <v>293</v>
      </c>
      <c r="AM364" t="s" s="15">
        <v>294</v>
      </c>
      <c r="AN364" t="s" s="15">
        <v>1239</v>
      </c>
      <c r="AO364" s="17">
        <v>1</v>
      </c>
      <c r="AP364" s="17">
        <v>1024</v>
      </c>
      <c r="AQ364" s="17">
        <v>42065</v>
      </c>
      <c r="AR364" s="17">
        <v>41450</v>
      </c>
      <c r="AS364" t="s" s="15">
        <v>1250</v>
      </c>
      <c r="AT364" t="s" s="15">
        <v>301</v>
      </c>
      <c r="AU364" t="s" s="15">
        <v>1174</v>
      </c>
      <c r="AV364" t="s" s="15">
        <v>76</v>
      </c>
      <c r="AW364" t="s" s="15">
        <v>1251</v>
      </c>
      <c r="AX364" t="s" s="15">
        <v>301</v>
      </c>
      <c r="AY364" t="s" s="15">
        <v>1229</v>
      </c>
      <c r="AZ364" t="s" s="15">
        <v>1230</v>
      </c>
      <c r="BA364" t="s" s="15">
        <v>1231</v>
      </c>
      <c r="BB364" t="s" s="15">
        <v>1242</v>
      </c>
      <c r="BC364" t="s" s="15">
        <v>1233</v>
      </c>
      <c r="BD364" t="s" s="15">
        <v>310</v>
      </c>
      <c r="BE364" t="s" s="15">
        <v>311</v>
      </c>
      <c r="BF364" s="14"/>
      <c r="BG364" s="14"/>
      <c r="BH364" t="s" s="15">
        <v>76</v>
      </c>
      <c r="BI364" t="s" s="15">
        <v>76</v>
      </c>
      <c r="BJ364" t="s" s="15">
        <v>76</v>
      </c>
      <c r="BK364" t="s" s="15">
        <v>76</v>
      </c>
      <c r="BL364" t="s" s="15">
        <v>76</v>
      </c>
      <c r="BM364" t="s" s="15">
        <v>1234</v>
      </c>
      <c r="BN364" t="s" s="15">
        <v>78</v>
      </c>
      <c r="BO364" t="s" s="21">
        <v>76</v>
      </c>
      <c r="BP364" s="8"/>
    </row>
    <row r="365" ht="15" customHeight="1" hidden="1">
      <c r="A365" t="s" s="9">
        <v>1252</v>
      </c>
      <c r="B365" s="11"/>
      <c r="C365" t="str" s="11" cm="1">
        <f t="array" ref="C365">_xlfn.IFERROR((VLOOKUP(A365,#REF!,2,FALSE)),"")</f>
      </c>
      <c r="D365" s="11"/>
      <c r="E365" t="s" s="10">
        <v>1224</v>
      </c>
      <c r="F365" s="11"/>
      <c r="G365" t="s" s="10">
        <v>1249</v>
      </c>
      <c r="H365" t="s" s="10">
        <v>1237</v>
      </c>
      <c r="I365" t="s" s="10">
        <v>111</v>
      </c>
      <c r="J365" t="s" s="10">
        <v>322</v>
      </c>
      <c r="K365" t="s" s="10">
        <v>140</v>
      </c>
      <c r="L365" t="s" s="10">
        <v>518</v>
      </c>
      <c r="M365" t="s" s="10">
        <v>1249</v>
      </c>
      <c r="N365" t="s" s="10">
        <v>1249</v>
      </c>
      <c r="O365" t="s" s="10">
        <v>322</v>
      </c>
      <c r="P365" t="s" s="10">
        <v>322</v>
      </c>
      <c r="Q365" t="s" s="10">
        <v>78</v>
      </c>
      <c r="R365" t="s" s="10">
        <v>83</v>
      </c>
      <c r="S365" s="11"/>
      <c r="T365" s="11"/>
      <c r="U365" s="11"/>
      <c r="V365" t="s" s="10">
        <v>69</v>
      </c>
      <c r="W365" s="11"/>
      <c r="X365" t="s" s="10">
        <v>69</v>
      </c>
      <c r="Y365" s="11"/>
      <c r="Z365" t="s" s="10">
        <v>205</v>
      </c>
      <c r="AA365" s="11"/>
      <c r="AB365" t="s" s="10">
        <v>520</v>
      </c>
      <c r="AC365" t="s" s="10">
        <v>1226</v>
      </c>
      <c r="AD365" s="11"/>
      <c r="AE365" s="11"/>
      <c r="AF365" s="11"/>
      <c r="AG365" t="s" s="10">
        <v>299</v>
      </c>
      <c r="AH365" t="s" s="10">
        <v>289</v>
      </c>
      <c r="AI365" t="s" s="10">
        <v>83</v>
      </c>
      <c r="AJ365" t="s" s="10">
        <v>83</v>
      </c>
      <c r="AK365" t="s" s="10">
        <v>1195</v>
      </c>
      <c r="AL365" t="s" s="10">
        <v>293</v>
      </c>
      <c r="AM365" t="s" s="10">
        <v>294</v>
      </c>
      <c r="AN365" t="s" s="10">
        <v>1253</v>
      </c>
      <c r="AO365" s="18">
        <v>4</v>
      </c>
      <c r="AP365" s="18">
        <v>4096</v>
      </c>
      <c r="AQ365" s="18">
        <v>157797</v>
      </c>
      <c r="AR365" s="18">
        <v>81768</v>
      </c>
      <c r="AS365" t="s" s="10">
        <v>1254</v>
      </c>
      <c r="AT365" t="s" s="10">
        <v>301</v>
      </c>
      <c r="AU365" t="s" s="10">
        <v>1174</v>
      </c>
      <c r="AV365" t="s" s="10">
        <v>76</v>
      </c>
      <c r="AW365" t="s" s="10">
        <v>1255</v>
      </c>
      <c r="AX365" t="s" s="10">
        <v>301</v>
      </c>
      <c r="AY365" t="s" s="10">
        <v>1229</v>
      </c>
      <c r="AZ365" t="s" s="10">
        <v>1230</v>
      </c>
      <c r="BA365" t="s" s="10">
        <v>1231</v>
      </c>
      <c r="BB365" t="s" s="10">
        <v>1232</v>
      </c>
      <c r="BC365" t="s" s="10">
        <v>1233</v>
      </c>
      <c r="BD365" t="s" s="10">
        <v>310</v>
      </c>
      <c r="BE365" t="s" s="10">
        <v>356</v>
      </c>
      <c r="BF365" s="11"/>
      <c r="BG365" s="11"/>
      <c r="BH365" t="s" s="10">
        <v>76</v>
      </c>
      <c r="BI365" t="s" s="10">
        <v>76</v>
      </c>
      <c r="BJ365" t="s" s="10">
        <v>76</v>
      </c>
      <c r="BK365" t="s" s="10">
        <v>76</v>
      </c>
      <c r="BL365" t="s" s="10">
        <v>76</v>
      </c>
      <c r="BM365" t="s" s="10">
        <v>1234</v>
      </c>
      <c r="BN365" t="s" s="10">
        <v>78</v>
      </c>
      <c r="BO365" t="s" s="19">
        <v>76</v>
      </c>
      <c r="BP365" s="8"/>
    </row>
    <row r="366" ht="9" customHeight="1" hidden="1">
      <c r="A366" t="s" s="13">
        <v>1256</v>
      </c>
      <c r="B366" s="14"/>
      <c r="C366" t="str" s="14" cm="1">
        <f t="array" ref="C366">_xlfn.IFERROR((VLOOKUP(A366,#REF!,2,FALSE)),"")</f>
      </c>
      <c r="D366" s="14"/>
      <c r="E366" s="14"/>
      <c r="F366" s="14"/>
      <c r="G366" t="s" s="15">
        <v>1257</v>
      </c>
      <c r="H366" t="s" s="15">
        <v>1258</v>
      </c>
      <c r="I366" t="s" s="15">
        <v>73</v>
      </c>
      <c r="J366" t="s" s="15">
        <v>74</v>
      </c>
      <c r="K366" t="s" s="15">
        <v>351</v>
      </c>
      <c r="L366" t="s" s="15">
        <v>76</v>
      </c>
      <c r="M366" t="s" s="15">
        <v>1257</v>
      </c>
      <c r="N366" t="s" s="15">
        <v>1257</v>
      </c>
      <c r="O366" t="s" s="15">
        <v>71</v>
      </c>
      <c r="P366" t="s" s="15">
        <v>74</v>
      </c>
      <c r="Q366" t="s" s="15">
        <v>78</v>
      </c>
      <c r="R366" t="s" s="15">
        <v>339</v>
      </c>
      <c r="S366" s="14"/>
      <c r="T366" s="14"/>
      <c r="U366" s="14"/>
      <c r="V366" t="s" s="15">
        <v>78</v>
      </c>
      <c r="W366" t="s" s="15">
        <v>1256</v>
      </c>
      <c r="X366" t="s" s="15">
        <v>69</v>
      </c>
      <c r="Y366" s="14"/>
      <c r="Z366" t="s" s="15">
        <v>76</v>
      </c>
      <c r="AA366" s="14"/>
      <c r="AB366" t="s" s="15">
        <v>76</v>
      </c>
      <c r="AC366" s="14"/>
      <c r="AD366" s="14"/>
      <c r="AE366" s="14"/>
      <c r="AF366" s="14"/>
      <c r="AG366" s="14"/>
      <c r="AH366" t="s" s="15">
        <v>114</v>
      </c>
      <c r="AI366" t="s" s="15">
        <v>76</v>
      </c>
      <c r="AJ366" t="s" s="15">
        <v>76</v>
      </c>
      <c r="AK366" t="s" s="15">
        <v>79</v>
      </c>
      <c r="AL366" s="14"/>
      <c r="AM366" s="14"/>
      <c r="AN366" s="14"/>
      <c r="AO366" s="14"/>
      <c r="AP366" s="14"/>
      <c r="AQ366" s="14"/>
      <c r="AR366" s="14"/>
      <c r="AS366" s="14"/>
      <c r="AT366" s="14"/>
      <c r="AU366" s="14"/>
      <c r="AV366" s="14"/>
      <c r="AW366" s="14"/>
      <c r="AX366" s="14"/>
      <c r="AY366" s="14"/>
      <c r="AZ366" s="14"/>
      <c r="BA366" s="14"/>
      <c r="BB366" s="14"/>
      <c r="BC366" s="14"/>
      <c r="BD366" t="s" s="15">
        <v>118</v>
      </c>
      <c r="BE366" s="14"/>
      <c r="BF366" s="14"/>
      <c r="BG366" s="14"/>
      <c r="BH366" s="14"/>
      <c r="BI366" s="14"/>
      <c r="BJ366" s="14"/>
      <c r="BK366" s="14"/>
      <c r="BL366" s="14"/>
      <c r="BM366" s="14"/>
      <c r="BN366" s="14"/>
      <c r="BO366" s="16"/>
      <c r="BP366" s="8"/>
    </row>
    <row r="367" ht="15" customHeight="1" hidden="1">
      <c r="A367" t="s" s="9">
        <v>1259</v>
      </c>
      <c r="B367" s="11"/>
      <c r="C367" t="str" s="11" cm="1">
        <f t="array" ref="C367">_xlfn.IFERROR((VLOOKUP(A367,#REF!,2,FALSE)),"")</f>
      </c>
      <c r="D367" s="11"/>
      <c r="E367" s="11"/>
      <c r="F367" s="11"/>
      <c r="G367" t="s" s="10">
        <v>1260</v>
      </c>
      <c r="H367" t="s" s="10">
        <v>516</v>
      </c>
      <c r="I367" t="s" s="10">
        <v>111</v>
      </c>
      <c r="J367" t="s" s="10">
        <v>122</v>
      </c>
      <c r="K367" t="s" s="10">
        <v>140</v>
      </c>
      <c r="L367" t="s" s="10">
        <v>518</v>
      </c>
      <c r="M367" t="s" s="10">
        <v>1260</v>
      </c>
      <c r="N367" t="s" s="10">
        <v>1260</v>
      </c>
      <c r="O367" t="s" s="10">
        <v>286</v>
      </c>
      <c r="P367" t="s" s="10">
        <v>122</v>
      </c>
      <c r="Q367" t="s" s="10">
        <v>78</v>
      </c>
      <c r="R367" t="s" s="10">
        <v>83</v>
      </c>
      <c r="S367" s="11"/>
      <c r="T367" s="11"/>
      <c r="U367" s="11"/>
      <c r="V367" t="s" s="10">
        <v>69</v>
      </c>
      <c r="W367" s="11"/>
      <c r="X367" t="s" s="10">
        <v>69</v>
      </c>
      <c r="Y367" s="11"/>
      <c r="Z367" t="s" s="10">
        <v>205</v>
      </c>
      <c r="AA367" s="11"/>
      <c r="AB367" t="s" s="10">
        <v>520</v>
      </c>
      <c r="AC367" s="11"/>
      <c r="AD367" s="11"/>
      <c r="AE367" s="11"/>
      <c r="AF367" s="11"/>
      <c r="AG367" t="s" s="10">
        <v>299</v>
      </c>
      <c r="AH367" t="s" s="10">
        <v>289</v>
      </c>
      <c r="AI367" t="s" s="10">
        <v>440</v>
      </c>
      <c r="AJ367" s="11"/>
      <c r="AK367" t="s" s="10">
        <v>83</v>
      </c>
      <c r="AL367" t="s" s="10">
        <v>293</v>
      </c>
      <c r="AM367" t="s" s="10">
        <v>294</v>
      </c>
      <c r="AN367" t="s" s="10">
        <v>1239</v>
      </c>
      <c r="AO367" s="18">
        <v>4</v>
      </c>
      <c r="AP367" s="18">
        <v>4096</v>
      </c>
      <c r="AQ367" s="18">
        <v>249946</v>
      </c>
      <c r="AR367" s="18">
        <v>122102</v>
      </c>
      <c r="AS367" t="s" s="10">
        <v>1261</v>
      </c>
      <c r="AT367" t="s" s="10">
        <v>301</v>
      </c>
      <c r="AU367" s="11"/>
      <c r="AV367" s="11"/>
      <c r="AW367" t="s" s="10">
        <v>1262</v>
      </c>
      <c r="AX367" s="11"/>
      <c r="AY367" s="11"/>
      <c r="AZ367" s="11"/>
      <c r="BA367" s="11"/>
      <c r="BB367" s="11"/>
      <c r="BC367" s="11"/>
      <c r="BD367" t="s" s="10">
        <v>310</v>
      </c>
      <c r="BE367" t="s" s="10">
        <v>356</v>
      </c>
      <c r="BF367" s="11"/>
      <c r="BG367" s="11"/>
      <c r="BH367" s="11"/>
      <c r="BI367" s="11"/>
      <c r="BJ367" s="11"/>
      <c r="BK367" s="11"/>
      <c r="BL367" s="11"/>
      <c r="BM367" s="11"/>
      <c r="BN367" t="s" s="10">
        <v>78</v>
      </c>
      <c r="BO367" s="12"/>
      <c r="BP367" s="8"/>
    </row>
    <row r="368" ht="9" customHeight="1" hidden="1">
      <c r="A368" t="s" s="13">
        <v>1263</v>
      </c>
      <c r="B368" s="14"/>
      <c r="C368" t="str" s="14" cm="1">
        <f t="array" ref="C368">_xlfn.IFERROR((VLOOKUP(A368,#REF!,2,FALSE)),"")</f>
      </c>
      <c r="D368" t="s" s="15">
        <v>70</v>
      </c>
      <c r="E368" t="s" s="15">
        <v>71</v>
      </c>
      <c r="F368" s="14"/>
      <c r="G368" s="14"/>
      <c r="H368" s="14"/>
      <c r="I368" t="s" s="15">
        <v>73</v>
      </c>
      <c r="J368" t="s" s="15">
        <v>74</v>
      </c>
      <c r="K368" t="s" s="15">
        <v>113</v>
      </c>
      <c r="L368" t="s" s="15">
        <v>76</v>
      </c>
      <c r="M368" t="s" s="15">
        <v>77</v>
      </c>
      <c r="N368" s="14"/>
      <c r="O368" t="s" s="15">
        <v>71</v>
      </c>
      <c r="P368" s="14"/>
      <c r="Q368" t="s" s="15">
        <v>78</v>
      </c>
      <c r="R368" t="s" s="15">
        <v>71</v>
      </c>
      <c r="S368" s="14"/>
      <c r="T368" s="14"/>
      <c r="U368" s="14"/>
      <c r="V368" t="s" s="15">
        <v>69</v>
      </c>
      <c r="W368" t="s" s="15">
        <v>1263</v>
      </c>
      <c r="X368" t="s" s="15">
        <v>78</v>
      </c>
      <c r="Y368" s="14"/>
      <c r="Z368" t="s" s="15">
        <v>76</v>
      </c>
      <c r="AA368" s="14"/>
      <c r="AB368" t="s" s="15">
        <v>76</v>
      </c>
      <c r="AC368" s="14"/>
      <c r="AD368" s="14"/>
      <c r="AE368" s="14"/>
      <c r="AF368" s="14"/>
      <c r="AG368" s="14"/>
      <c r="AH368" s="14"/>
      <c r="AI368" t="s" s="15">
        <v>76</v>
      </c>
      <c r="AJ368" t="s" s="15">
        <v>76</v>
      </c>
      <c r="AK368" t="s" s="15">
        <v>79</v>
      </c>
      <c r="AL368" s="14"/>
      <c r="AM368" s="14"/>
      <c r="AN368" t="s" s="15">
        <v>1264</v>
      </c>
      <c r="AO368" s="14"/>
      <c r="AP368" s="14"/>
      <c r="AQ368" s="14"/>
      <c r="AR368" s="14"/>
      <c r="AS368" t="s" s="15">
        <v>1265</v>
      </c>
      <c r="AT368" s="14"/>
      <c r="AU368" s="14"/>
      <c r="AV368" s="14"/>
      <c r="AW368" s="14"/>
      <c r="AX368" s="14"/>
      <c r="AY368" s="14"/>
      <c r="AZ368" s="14"/>
      <c r="BA368" s="14"/>
      <c r="BB368" s="14"/>
      <c r="BC368" s="14"/>
      <c r="BD368" t="s" s="15">
        <v>310</v>
      </c>
      <c r="BE368" t="s" s="15">
        <v>356</v>
      </c>
      <c r="BF368" s="14"/>
      <c r="BG368" s="14"/>
      <c r="BH368" s="14"/>
      <c r="BI368" s="14"/>
      <c r="BJ368" s="14"/>
      <c r="BK368" s="14"/>
      <c r="BL368" s="14"/>
      <c r="BM368" s="14"/>
      <c r="BN368" s="14"/>
      <c r="BO368" s="16"/>
      <c r="BP368" s="8"/>
    </row>
    <row r="369" ht="9" customHeight="1" hidden="1">
      <c r="A369" t="s" s="9">
        <v>1266</v>
      </c>
      <c r="B369" s="11"/>
      <c r="C369" t="str" s="11" cm="1">
        <f t="array" ref="C369">_xlfn.IFERROR((VLOOKUP(A369,#REF!,2,FALSE)),"")</f>
      </c>
      <c r="D369" s="11"/>
      <c r="E369" s="11"/>
      <c r="F369" s="11"/>
      <c r="G369" t="s" s="10">
        <v>1260</v>
      </c>
      <c r="H369" t="s" s="10">
        <v>516</v>
      </c>
      <c r="I369" t="s" s="10">
        <v>111</v>
      </c>
      <c r="J369" t="s" s="10">
        <v>122</v>
      </c>
      <c r="K369" t="s" s="10">
        <v>140</v>
      </c>
      <c r="L369" t="s" s="10">
        <v>518</v>
      </c>
      <c r="M369" t="s" s="10">
        <v>1260</v>
      </c>
      <c r="N369" t="s" s="10">
        <v>1260</v>
      </c>
      <c r="O369" t="s" s="10">
        <v>286</v>
      </c>
      <c r="P369" t="s" s="10">
        <v>122</v>
      </c>
      <c r="Q369" t="s" s="10">
        <v>78</v>
      </c>
      <c r="R369" t="s" s="10">
        <v>83</v>
      </c>
      <c r="S369" s="11"/>
      <c r="T369" s="11"/>
      <c r="U369" s="11"/>
      <c r="V369" t="s" s="10">
        <v>69</v>
      </c>
      <c r="W369" s="11"/>
      <c r="X369" t="s" s="10">
        <v>69</v>
      </c>
      <c r="Y369" s="11"/>
      <c r="Z369" t="s" s="10">
        <v>205</v>
      </c>
      <c r="AA369" s="11"/>
      <c r="AB369" t="s" s="10">
        <v>520</v>
      </c>
      <c r="AC369" s="11"/>
      <c r="AD369" s="11"/>
      <c r="AE369" s="11"/>
      <c r="AF369" s="11"/>
      <c r="AG369" t="s" s="10">
        <v>299</v>
      </c>
      <c r="AH369" t="s" s="10">
        <v>289</v>
      </c>
      <c r="AI369" t="s" s="10">
        <v>440</v>
      </c>
      <c r="AJ369" s="11"/>
      <c r="AK369" t="s" s="10">
        <v>83</v>
      </c>
      <c r="AL369" t="s" s="10">
        <v>293</v>
      </c>
      <c r="AM369" t="s" s="10">
        <v>294</v>
      </c>
      <c r="AN369" t="s" s="10">
        <v>1239</v>
      </c>
      <c r="AO369" s="18">
        <v>4</v>
      </c>
      <c r="AP369" s="18">
        <v>4096</v>
      </c>
      <c r="AQ369" s="18">
        <v>249948</v>
      </c>
      <c r="AR369" s="18">
        <v>122604</v>
      </c>
      <c r="AS369" t="s" s="10">
        <v>1267</v>
      </c>
      <c r="AT369" t="s" s="10">
        <v>301</v>
      </c>
      <c r="AU369" s="11"/>
      <c r="AV369" s="11"/>
      <c r="AW369" t="s" s="10">
        <v>1268</v>
      </c>
      <c r="AX369" s="11"/>
      <c r="AY369" s="11"/>
      <c r="AZ369" s="11"/>
      <c r="BA369" s="11"/>
      <c r="BB369" s="11"/>
      <c r="BC369" s="11"/>
      <c r="BD369" t="s" s="10">
        <v>310</v>
      </c>
      <c r="BE369" t="s" s="25">
        <v>419</v>
      </c>
      <c r="BF369" s="23"/>
      <c r="BG369" s="23"/>
      <c r="BH369" s="11"/>
      <c r="BI369" s="11"/>
      <c r="BJ369" s="11"/>
      <c r="BK369" s="11"/>
      <c r="BL369" s="11"/>
      <c r="BM369" s="11"/>
      <c r="BN369" t="s" s="10">
        <v>78</v>
      </c>
      <c r="BO369" s="12"/>
      <c r="BP369" s="8"/>
    </row>
    <row r="370" ht="9" customHeight="1" hidden="1">
      <c r="A370" t="s" s="13">
        <v>1269</v>
      </c>
      <c r="B370" s="14"/>
      <c r="C370" t="str" s="14" cm="1">
        <f t="array" ref="C370">_xlfn.IFERROR((VLOOKUP(A370,#REF!,2,FALSE)),"")</f>
      </c>
      <c r="D370" t="s" s="15">
        <v>70</v>
      </c>
      <c r="E370" t="s" s="15">
        <v>71</v>
      </c>
      <c r="F370" s="14"/>
      <c r="G370" s="14"/>
      <c r="H370" s="14"/>
      <c r="I370" t="s" s="15">
        <v>73</v>
      </c>
      <c r="J370" t="s" s="15">
        <v>74</v>
      </c>
      <c r="K370" t="s" s="15">
        <v>113</v>
      </c>
      <c r="L370" t="s" s="15">
        <v>76</v>
      </c>
      <c r="M370" t="s" s="15">
        <v>77</v>
      </c>
      <c r="N370" s="14"/>
      <c r="O370" t="s" s="15">
        <v>71</v>
      </c>
      <c r="P370" s="14"/>
      <c r="Q370" t="s" s="15">
        <v>78</v>
      </c>
      <c r="R370" t="s" s="15">
        <v>71</v>
      </c>
      <c r="S370" s="14"/>
      <c r="T370" s="14"/>
      <c r="U370" s="14"/>
      <c r="V370" t="s" s="15">
        <v>69</v>
      </c>
      <c r="W370" t="s" s="15">
        <v>1269</v>
      </c>
      <c r="X370" t="s" s="15">
        <v>78</v>
      </c>
      <c r="Y370" s="14"/>
      <c r="Z370" t="s" s="15">
        <v>76</v>
      </c>
      <c r="AA370" s="14"/>
      <c r="AB370" t="s" s="15">
        <v>76</v>
      </c>
      <c r="AC370" s="14"/>
      <c r="AD370" s="14"/>
      <c r="AE370" s="14"/>
      <c r="AF370" s="14"/>
      <c r="AG370" s="14"/>
      <c r="AH370" s="14"/>
      <c r="AI370" t="s" s="15">
        <v>76</v>
      </c>
      <c r="AJ370" t="s" s="15">
        <v>76</v>
      </c>
      <c r="AK370" t="s" s="15">
        <v>79</v>
      </c>
      <c r="AL370" s="14"/>
      <c r="AM370" s="14"/>
      <c r="AN370" t="s" s="15">
        <v>1264</v>
      </c>
      <c r="AO370" s="14"/>
      <c r="AP370" s="14"/>
      <c r="AQ370" s="14"/>
      <c r="AR370" s="14"/>
      <c r="AS370" t="s" s="15">
        <v>1270</v>
      </c>
      <c r="AT370" s="14"/>
      <c r="AU370" s="14"/>
      <c r="AV370" s="14"/>
      <c r="AW370" s="14"/>
      <c r="AX370" s="14"/>
      <c r="AY370" s="14"/>
      <c r="AZ370" s="14"/>
      <c r="BA370" s="14"/>
      <c r="BB370" s="14"/>
      <c r="BC370" s="14"/>
      <c r="BD370" t="s" s="15">
        <v>366</v>
      </c>
      <c r="BE370" t="s" s="15">
        <v>367</v>
      </c>
      <c r="BF370" s="14"/>
      <c r="BG370" s="14"/>
      <c r="BH370" s="14"/>
      <c r="BI370" s="14"/>
      <c r="BJ370" s="14"/>
      <c r="BK370" s="14"/>
      <c r="BL370" s="14"/>
      <c r="BM370" s="14"/>
      <c r="BN370" s="14"/>
      <c r="BO370" s="16"/>
      <c r="BP370" s="8"/>
    </row>
    <row r="371" ht="9" customHeight="1" hidden="1">
      <c r="A371" t="s" s="9">
        <v>1271</v>
      </c>
      <c r="B371" s="11"/>
      <c r="C371" t="str" s="11" cm="1">
        <f t="array" ref="C371">_xlfn.IFERROR((VLOOKUP(A371,#REF!,2,FALSE)),"")</f>
      </c>
      <c r="D371" s="11"/>
      <c r="E371" s="11"/>
      <c r="F371" s="11"/>
      <c r="G371" t="s" s="10">
        <v>1272</v>
      </c>
      <c r="H371" t="s" s="10">
        <v>1273</v>
      </c>
      <c r="I371" t="s" s="10">
        <v>73</v>
      </c>
      <c r="J371" t="s" s="10">
        <v>74</v>
      </c>
      <c r="K371" t="s" s="10">
        <v>113</v>
      </c>
      <c r="L371" t="s" s="10">
        <v>76</v>
      </c>
      <c r="M371" t="s" s="10">
        <v>1272</v>
      </c>
      <c r="N371" t="s" s="10">
        <v>1272</v>
      </c>
      <c r="O371" t="s" s="10">
        <v>71</v>
      </c>
      <c r="P371" t="s" s="10">
        <v>74</v>
      </c>
      <c r="Q371" t="s" s="10">
        <v>78</v>
      </c>
      <c r="R371" t="s" s="10">
        <v>339</v>
      </c>
      <c r="S371" s="11"/>
      <c r="T371" s="11"/>
      <c r="U371" s="11"/>
      <c r="V371" t="s" s="10">
        <v>78</v>
      </c>
      <c r="W371" t="s" s="10">
        <v>1271</v>
      </c>
      <c r="X371" t="s" s="10">
        <v>69</v>
      </c>
      <c r="Y371" s="11"/>
      <c r="Z371" t="s" s="10">
        <v>76</v>
      </c>
      <c r="AA371" s="11"/>
      <c r="AB371" t="s" s="10">
        <v>76</v>
      </c>
      <c r="AC371" s="11"/>
      <c r="AD371" s="11"/>
      <c r="AE371" s="11"/>
      <c r="AF371" s="11"/>
      <c r="AG371" s="11"/>
      <c r="AH371" t="s" s="10">
        <v>114</v>
      </c>
      <c r="AI371" t="s" s="10">
        <v>76</v>
      </c>
      <c r="AJ371" t="s" s="10">
        <v>76</v>
      </c>
      <c r="AK371" t="s" s="10">
        <v>79</v>
      </c>
      <c r="AL371" s="11"/>
      <c r="AM371" s="11"/>
      <c r="AN371" s="11"/>
      <c r="AO371" s="11"/>
      <c r="AP371" s="11"/>
      <c r="AQ371" s="11"/>
      <c r="AR371" s="11"/>
      <c r="AS371" s="11"/>
      <c r="AT371" s="11"/>
      <c r="AU371" s="11"/>
      <c r="AV371" s="11"/>
      <c r="AW371" s="11"/>
      <c r="AX371" s="11"/>
      <c r="AY371" s="11"/>
      <c r="AZ371" s="11"/>
      <c r="BA371" s="11"/>
      <c r="BB371" s="11"/>
      <c r="BC371" s="11"/>
      <c r="BD371" t="s" s="10">
        <v>118</v>
      </c>
      <c r="BE371" s="11"/>
      <c r="BF371" s="11"/>
      <c r="BG371" s="11"/>
      <c r="BH371" s="11"/>
      <c r="BI371" s="11"/>
      <c r="BJ371" s="11"/>
      <c r="BK371" s="11"/>
      <c r="BL371" s="11"/>
      <c r="BM371" s="11"/>
      <c r="BN371" s="11"/>
      <c r="BO371" s="12"/>
      <c r="BP371" s="8"/>
    </row>
    <row r="372" ht="9" customHeight="1" hidden="1">
      <c r="A372" t="s" s="13">
        <v>1274</v>
      </c>
      <c r="B372" s="14"/>
      <c r="C372" t="str" s="14" cm="1">
        <f t="array" ref="C372">_xlfn.IFERROR((VLOOKUP(A372,#REF!,2,FALSE)),"")</f>
      </c>
      <c r="D372" s="14"/>
      <c r="E372" s="14"/>
      <c r="F372" s="14"/>
      <c r="G372" t="s" s="15">
        <v>1275</v>
      </c>
      <c r="H372" t="s" s="15">
        <v>1275</v>
      </c>
      <c r="I372" t="s" s="15">
        <v>111</v>
      </c>
      <c r="J372" t="s" s="15">
        <v>122</v>
      </c>
      <c r="K372" t="s" s="15">
        <v>113</v>
      </c>
      <c r="L372" t="s" s="15">
        <v>76</v>
      </c>
      <c r="M372" t="s" s="15">
        <v>1276</v>
      </c>
      <c r="N372" t="s" s="15">
        <v>1275</v>
      </c>
      <c r="O372" s="14"/>
      <c r="P372" t="s" s="15">
        <v>122</v>
      </c>
      <c r="Q372" t="s" s="15">
        <v>69</v>
      </c>
      <c r="R372" t="s" s="15">
        <v>83</v>
      </c>
      <c r="S372" s="14"/>
      <c r="T372" s="14"/>
      <c r="U372" s="14"/>
      <c r="V372" t="s" s="15">
        <v>69</v>
      </c>
      <c r="W372" s="14"/>
      <c r="X372" t="s" s="15">
        <v>78</v>
      </c>
      <c r="Y372" s="14"/>
      <c r="Z372" t="s" s="15">
        <v>76</v>
      </c>
      <c r="AA372" s="14"/>
      <c r="AB372" t="s" s="15">
        <v>76</v>
      </c>
      <c r="AC372" t="s" s="15">
        <v>1274</v>
      </c>
      <c r="AD372" s="14"/>
      <c r="AE372" s="14"/>
      <c r="AF372" s="14"/>
      <c r="AG372" s="14"/>
      <c r="AH372" s="14"/>
      <c r="AI372" t="s" s="15">
        <v>76</v>
      </c>
      <c r="AJ372" t="s" s="15">
        <v>76</v>
      </c>
      <c r="AK372" t="s" s="15">
        <v>79</v>
      </c>
      <c r="AL372" s="14"/>
      <c r="AM372" s="14"/>
      <c r="AN372" t="s" s="15">
        <v>128</v>
      </c>
      <c r="AO372" s="14"/>
      <c r="AP372" s="14"/>
      <c r="AQ372" s="14"/>
      <c r="AR372" s="14"/>
      <c r="AS372" t="s" s="15">
        <v>1277</v>
      </c>
      <c r="AT372" s="14"/>
      <c r="AU372" s="14"/>
      <c r="AV372" s="14"/>
      <c r="AW372" s="14"/>
      <c r="AX372" s="14"/>
      <c r="AY372" s="14"/>
      <c r="AZ372" s="14"/>
      <c r="BA372" s="14"/>
      <c r="BB372" s="14"/>
      <c r="BC372" s="14"/>
      <c r="BD372" t="s" s="15">
        <v>310</v>
      </c>
      <c r="BE372" t="s" s="15">
        <v>356</v>
      </c>
      <c r="BF372" s="14"/>
      <c r="BG372" s="14"/>
      <c r="BH372" s="14"/>
      <c r="BI372" s="14"/>
      <c r="BJ372" s="14"/>
      <c r="BK372" s="14"/>
      <c r="BL372" s="14"/>
      <c r="BM372" s="14"/>
      <c r="BN372" t="s" s="15">
        <v>78</v>
      </c>
      <c r="BO372" s="16"/>
      <c r="BP372" s="8"/>
    </row>
    <row r="373" ht="9" customHeight="1" hidden="1">
      <c r="A373" t="s" s="9">
        <v>1278</v>
      </c>
      <c r="B373" s="11"/>
      <c r="C373" t="str" s="11" cm="1">
        <f t="array" ref="C373">_xlfn.IFERROR((VLOOKUP(A373,#REF!,2,FALSE)),"")</f>
      </c>
      <c r="D373" s="11"/>
      <c r="E373" s="11"/>
      <c r="F373" s="11"/>
      <c r="G373" t="s" s="10">
        <v>1279</v>
      </c>
      <c r="H373" t="s" s="10">
        <v>1280</v>
      </c>
      <c r="I373" t="s" s="10">
        <v>111</v>
      </c>
      <c r="J373" t="s" s="10">
        <v>122</v>
      </c>
      <c r="K373" t="s" s="10">
        <v>113</v>
      </c>
      <c r="L373" t="s" s="10">
        <v>76</v>
      </c>
      <c r="M373" t="s" s="10">
        <v>1281</v>
      </c>
      <c r="N373" t="s" s="10">
        <v>1279</v>
      </c>
      <c r="O373" s="11"/>
      <c r="P373" t="s" s="10">
        <v>122</v>
      </c>
      <c r="Q373" t="s" s="10">
        <v>69</v>
      </c>
      <c r="R373" t="s" s="10">
        <v>83</v>
      </c>
      <c r="S373" s="11"/>
      <c r="T373" s="11"/>
      <c r="U373" s="11"/>
      <c r="V373" t="s" s="10">
        <v>69</v>
      </c>
      <c r="W373" s="11"/>
      <c r="X373" t="s" s="10">
        <v>78</v>
      </c>
      <c r="Y373" s="11"/>
      <c r="Z373" t="s" s="10">
        <v>76</v>
      </c>
      <c r="AA373" s="11"/>
      <c r="AB373" t="s" s="10">
        <v>76</v>
      </c>
      <c r="AC373" t="s" s="10">
        <v>1278</v>
      </c>
      <c r="AD373" s="11"/>
      <c r="AE373" s="11"/>
      <c r="AF373" s="11"/>
      <c r="AG373" s="11"/>
      <c r="AH373" s="11"/>
      <c r="AI373" t="s" s="10">
        <v>76</v>
      </c>
      <c r="AJ373" t="s" s="10">
        <v>76</v>
      </c>
      <c r="AK373" t="s" s="10">
        <v>79</v>
      </c>
      <c r="AL373" s="11"/>
      <c r="AM373" s="11"/>
      <c r="AN373" t="s" s="10">
        <v>128</v>
      </c>
      <c r="AO373" s="11"/>
      <c r="AP373" s="11"/>
      <c r="AQ373" s="11"/>
      <c r="AR373" s="11"/>
      <c r="AS373" t="s" s="10">
        <v>1282</v>
      </c>
      <c r="AT373" s="11"/>
      <c r="AU373" s="11"/>
      <c r="AV373" s="11"/>
      <c r="AW373" s="11"/>
      <c r="AX373" s="11"/>
      <c r="AY373" s="11"/>
      <c r="AZ373" s="11"/>
      <c r="BA373" s="11"/>
      <c r="BB373" s="11"/>
      <c r="BC373" s="11"/>
      <c r="BD373" s="11"/>
      <c r="BE373" s="11"/>
      <c r="BF373" s="11"/>
      <c r="BG373" s="11"/>
      <c r="BH373" s="11"/>
      <c r="BI373" s="11"/>
      <c r="BJ373" s="11"/>
      <c r="BK373" s="11"/>
      <c r="BL373" s="11"/>
      <c r="BM373" s="11"/>
      <c r="BN373" t="s" s="10">
        <v>78</v>
      </c>
      <c r="BO373" s="12"/>
      <c r="BP373" s="8"/>
    </row>
    <row r="374" ht="9" customHeight="1" hidden="1">
      <c r="A374" t="s" s="13">
        <v>1283</v>
      </c>
      <c r="B374" s="14"/>
      <c r="C374" t="str" s="14" cm="1">
        <f t="array" ref="C374">_xlfn.IFERROR((VLOOKUP(A374,#REF!,2,FALSE)),"")</f>
      </c>
      <c r="D374" s="14"/>
      <c r="E374" s="14"/>
      <c r="F374" s="14"/>
      <c r="G374" t="s" s="15">
        <v>1284</v>
      </c>
      <c r="H374" t="s" s="15">
        <v>1284</v>
      </c>
      <c r="I374" t="s" s="15">
        <v>111</v>
      </c>
      <c r="J374" t="s" s="15">
        <v>122</v>
      </c>
      <c r="K374" t="s" s="15">
        <v>113</v>
      </c>
      <c r="L374" t="s" s="15">
        <v>76</v>
      </c>
      <c r="M374" t="s" s="15">
        <v>1284</v>
      </c>
      <c r="N374" t="s" s="15">
        <v>1284</v>
      </c>
      <c r="O374" s="14"/>
      <c r="P374" t="s" s="15">
        <v>122</v>
      </c>
      <c r="Q374" t="s" s="15">
        <v>69</v>
      </c>
      <c r="R374" t="s" s="15">
        <v>323</v>
      </c>
      <c r="S374" s="14"/>
      <c r="T374" s="14"/>
      <c r="U374" s="14"/>
      <c r="V374" t="s" s="15">
        <v>69</v>
      </c>
      <c r="W374" s="14"/>
      <c r="X374" t="s" s="15">
        <v>69</v>
      </c>
      <c r="Y374" s="14"/>
      <c r="Z374" t="s" s="15">
        <v>205</v>
      </c>
      <c r="AA374" s="14"/>
      <c r="AB374" t="s" s="15">
        <v>76</v>
      </c>
      <c r="AC374" t="s" s="15">
        <v>1283</v>
      </c>
      <c r="AD374" t="s" s="15">
        <v>1285</v>
      </c>
      <c r="AE374" s="14"/>
      <c r="AF374" s="14"/>
      <c r="AG374" s="14"/>
      <c r="AH374" t="s" s="15">
        <v>114</v>
      </c>
      <c r="AI374" t="s" s="15">
        <v>76</v>
      </c>
      <c r="AJ374" t="s" s="15">
        <v>76</v>
      </c>
      <c r="AK374" t="s" s="15">
        <v>79</v>
      </c>
      <c r="AL374" t="s" s="15">
        <v>293</v>
      </c>
      <c r="AM374" t="s" s="15">
        <v>294</v>
      </c>
      <c r="AN374" t="s" s="15">
        <v>334</v>
      </c>
      <c r="AO374" s="17">
        <v>6</v>
      </c>
      <c r="AP374" s="17">
        <v>8192</v>
      </c>
      <c r="AQ374" s="17">
        <v>213117</v>
      </c>
      <c r="AR374" s="17">
        <v>213117</v>
      </c>
      <c r="AS374" t="s" s="15">
        <v>1286</v>
      </c>
      <c r="AT374" s="14"/>
      <c r="AU374" s="14"/>
      <c r="AV374" s="14"/>
      <c r="AW374" s="14"/>
      <c r="AX374" s="14"/>
      <c r="AY374" s="14"/>
      <c r="AZ374" s="14"/>
      <c r="BA374" s="14"/>
      <c r="BB374" s="14"/>
      <c r="BC374" s="14"/>
      <c r="BD374" t="s" s="15">
        <v>310</v>
      </c>
      <c r="BE374" t="s" s="15">
        <v>311</v>
      </c>
      <c r="BF374" s="17">
        <v>8</v>
      </c>
      <c r="BG374" s="17">
        <v>16</v>
      </c>
      <c r="BH374" s="14"/>
      <c r="BI374" s="14"/>
      <c r="BJ374" s="14"/>
      <c r="BK374" s="14"/>
      <c r="BL374" s="14"/>
      <c r="BM374" s="14"/>
      <c r="BN374" t="s" s="15">
        <v>69</v>
      </c>
      <c r="BO374" s="16"/>
      <c r="BP374" s="8"/>
    </row>
    <row r="375" ht="15" customHeight="1">
      <c r="A375" t="s" s="9">
        <v>1287</v>
      </c>
      <c r="B375" s="11"/>
      <c r="C375" t="str" s="11" cm="1">
        <f t="array" ref="C375">_xlfn.IFERROR((VLOOKUP(A375,#REF!,2,FALSE)),"")</f>
      </c>
      <c r="D375" s="11"/>
      <c r="E375" s="11"/>
      <c r="F375" s="11"/>
      <c r="G375" t="s" s="10">
        <v>1288</v>
      </c>
      <c r="H375" t="s" s="10">
        <v>741</v>
      </c>
      <c r="I375" t="s" s="10">
        <v>111</v>
      </c>
      <c r="J375" t="s" s="10">
        <v>122</v>
      </c>
      <c r="K375" t="s" s="10">
        <v>113</v>
      </c>
      <c r="L375" t="s" s="10">
        <v>518</v>
      </c>
      <c r="M375" t="s" s="10">
        <v>1288</v>
      </c>
      <c r="N375" t="s" s="10">
        <v>1288</v>
      </c>
      <c r="O375" t="s" s="10">
        <v>286</v>
      </c>
      <c r="P375" t="s" s="10">
        <v>122</v>
      </c>
      <c r="Q375" t="s" s="10">
        <v>78</v>
      </c>
      <c r="R375" t="s" s="10">
        <v>323</v>
      </c>
      <c r="S375" s="11"/>
      <c r="T375" s="11"/>
      <c r="U375" s="11"/>
      <c r="V375" t="s" s="10">
        <v>69</v>
      </c>
      <c r="W375" s="11"/>
      <c r="X375" t="s" s="10">
        <v>69</v>
      </c>
      <c r="Y375" s="11"/>
      <c r="Z375" t="s" s="10">
        <v>552</v>
      </c>
      <c r="AA375" s="11"/>
      <c r="AB375" t="s" s="10">
        <v>743</v>
      </c>
      <c r="AC375" s="11"/>
      <c r="AD375" s="11"/>
      <c r="AE375" s="11"/>
      <c r="AF375" t="s" s="10">
        <v>741</v>
      </c>
      <c r="AG375" t="s" s="10">
        <v>299</v>
      </c>
      <c r="AH375" t="s" s="10">
        <v>289</v>
      </c>
      <c r="AI375" t="s" s="10">
        <v>332</v>
      </c>
      <c r="AJ375" t="s" s="10">
        <v>473</v>
      </c>
      <c r="AK375" t="s" s="10">
        <v>83</v>
      </c>
      <c r="AL375" t="s" s="10">
        <v>293</v>
      </c>
      <c r="AM375" t="s" s="10">
        <v>294</v>
      </c>
      <c r="AN375" t="s" s="10">
        <v>1239</v>
      </c>
      <c r="AO375" s="18">
        <v>4</v>
      </c>
      <c r="AP375" s="18">
        <v>16384</v>
      </c>
      <c r="AQ375" s="18">
        <v>57428</v>
      </c>
      <c r="AR375" s="18">
        <v>57428</v>
      </c>
      <c r="AS375" t="s" s="10">
        <v>1289</v>
      </c>
      <c r="AT375" t="s" s="10">
        <v>301</v>
      </c>
      <c r="AU375" s="11"/>
      <c r="AV375" s="11"/>
      <c r="AW375" t="s" s="10">
        <v>1290</v>
      </c>
      <c r="AX375" s="11"/>
      <c r="AY375" s="11"/>
      <c r="AZ375" s="11"/>
      <c r="BA375" s="11"/>
      <c r="BB375" s="11"/>
      <c r="BC375" s="11"/>
      <c r="BD375" s="11"/>
      <c r="BE375" s="11"/>
      <c r="BF375" s="11"/>
      <c r="BG375" s="11"/>
      <c r="BH375" s="11"/>
      <c r="BI375" s="11"/>
      <c r="BJ375" s="11"/>
      <c r="BK375" s="11"/>
      <c r="BL375" s="11"/>
      <c r="BM375" s="11"/>
      <c r="BN375" t="s" s="10">
        <v>69</v>
      </c>
      <c r="BO375" s="12"/>
      <c r="BP375" s="8"/>
    </row>
    <row r="376" ht="13.55" customHeight="1">
      <c r="A376" t="s" s="13">
        <v>1291</v>
      </c>
      <c r="B376" s="14"/>
      <c r="C376" t="str" s="14" cm="1">
        <f t="array" ref="C376">_xlfn.IFERROR((VLOOKUP(A376,#REF!,2,FALSE)),"")</f>
      </c>
      <c r="D376" s="14"/>
      <c r="E376" s="14"/>
      <c r="F376" s="14"/>
      <c r="G376" t="s" s="15">
        <v>1288</v>
      </c>
      <c r="H376" t="s" s="15">
        <v>741</v>
      </c>
      <c r="I376" t="s" s="15">
        <v>111</v>
      </c>
      <c r="J376" t="s" s="15">
        <v>122</v>
      </c>
      <c r="K376" t="s" s="15">
        <v>113</v>
      </c>
      <c r="L376" t="s" s="15">
        <v>518</v>
      </c>
      <c r="M376" t="s" s="15">
        <v>1288</v>
      </c>
      <c r="N376" t="s" s="15">
        <v>1288</v>
      </c>
      <c r="O376" t="s" s="15">
        <v>286</v>
      </c>
      <c r="P376" t="s" s="15">
        <v>122</v>
      </c>
      <c r="Q376" t="s" s="15">
        <v>78</v>
      </c>
      <c r="R376" t="s" s="15">
        <v>323</v>
      </c>
      <c r="S376" s="14"/>
      <c r="T376" s="14"/>
      <c r="U376" s="14"/>
      <c r="V376" t="s" s="15">
        <v>69</v>
      </c>
      <c r="W376" s="14"/>
      <c r="X376" t="s" s="15">
        <v>69</v>
      </c>
      <c r="Y376" s="14"/>
      <c r="Z376" t="s" s="15">
        <v>552</v>
      </c>
      <c r="AA376" s="14"/>
      <c r="AB376" t="s" s="15">
        <v>743</v>
      </c>
      <c r="AC376" s="14"/>
      <c r="AD376" s="14"/>
      <c r="AE376" s="14"/>
      <c r="AF376" t="s" s="15">
        <v>741</v>
      </c>
      <c r="AG376" t="s" s="15">
        <v>299</v>
      </c>
      <c r="AH376" t="s" s="15">
        <v>289</v>
      </c>
      <c r="AI376" t="s" s="15">
        <v>332</v>
      </c>
      <c r="AJ376" t="s" s="15">
        <v>473</v>
      </c>
      <c r="AK376" t="s" s="15">
        <v>83</v>
      </c>
      <c r="AL376" t="s" s="15">
        <v>293</v>
      </c>
      <c r="AM376" t="s" s="15">
        <v>294</v>
      </c>
      <c r="AN376" t="s" s="15">
        <v>1239</v>
      </c>
      <c r="AO376" s="17">
        <v>4</v>
      </c>
      <c r="AP376" s="17">
        <v>16384</v>
      </c>
      <c r="AQ376" s="17">
        <v>57428</v>
      </c>
      <c r="AR376" s="17">
        <v>57428</v>
      </c>
      <c r="AS376" t="s" s="15">
        <v>1292</v>
      </c>
      <c r="AT376" t="s" s="15">
        <v>301</v>
      </c>
      <c r="AU376" s="14"/>
      <c r="AV376" s="14"/>
      <c r="AW376" t="s" s="15">
        <v>1293</v>
      </c>
      <c r="AX376" s="14"/>
      <c r="AY376" s="14"/>
      <c r="AZ376" s="14"/>
      <c r="BA376" s="14"/>
      <c r="BB376" s="14"/>
      <c r="BC376" s="14"/>
      <c r="BD376" s="14"/>
      <c r="BE376" s="14"/>
      <c r="BF376" s="14"/>
      <c r="BG376" s="14"/>
      <c r="BH376" s="14"/>
      <c r="BI376" s="14"/>
      <c r="BJ376" s="14"/>
      <c r="BK376" s="14"/>
      <c r="BL376" s="14"/>
      <c r="BM376" s="14"/>
      <c r="BN376" t="s" s="15">
        <v>69</v>
      </c>
      <c r="BO376" s="16"/>
      <c r="BP376" s="8"/>
    </row>
    <row r="377" ht="9" customHeight="1" hidden="1">
      <c r="A377" t="s" s="9">
        <v>1294</v>
      </c>
      <c r="B377" s="11"/>
      <c r="C377" t="str" s="11" cm="1">
        <f t="array" ref="C377">_xlfn.IFERROR((VLOOKUP(A377,#REF!,2,FALSE)),"")</f>
      </c>
      <c r="D377" s="11"/>
      <c r="E377" s="11"/>
      <c r="F377" s="11"/>
      <c r="G377" t="s" s="10">
        <v>1295</v>
      </c>
      <c r="H377" t="s" s="10">
        <v>1296</v>
      </c>
      <c r="I377" t="s" s="10">
        <v>73</v>
      </c>
      <c r="J377" t="s" s="10">
        <v>74</v>
      </c>
      <c r="K377" t="s" s="10">
        <v>105</v>
      </c>
      <c r="L377" t="s" s="10">
        <v>76</v>
      </c>
      <c r="M377" t="s" s="10">
        <v>1295</v>
      </c>
      <c r="N377" t="s" s="10">
        <v>1295</v>
      </c>
      <c r="O377" t="s" s="10">
        <v>71</v>
      </c>
      <c r="P377" t="s" s="10">
        <v>122</v>
      </c>
      <c r="Q377" t="s" s="10">
        <v>78</v>
      </c>
      <c r="R377" t="s" s="10">
        <v>71</v>
      </c>
      <c r="S377" s="11"/>
      <c r="T377" s="11"/>
      <c r="U377" s="11"/>
      <c r="V377" t="s" s="10">
        <v>78</v>
      </c>
      <c r="W377" t="s" s="10">
        <v>1294</v>
      </c>
      <c r="X377" t="s" s="10">
        <v>69</v>
      </c>
      <c r="Y377" s="11"/>
      <c r="Z377" t="s" s="10">
        <v>76</v>
      </c>
      <c r="AA377" s="11"/>
      <c r="AB377" t="s" s="10">
        <v>76</v>
      </c>
      <c r="AC377" s="11"/>
      <c r="AD377" s="11"/>
      <c r="AE377" s="11"/>
      <c r="AF377" s="11"/>
      <c r="AG377" s="11"/>
      <c r="AH377" t="s" s="10">
        <v>106</v>
      </c>
      <c r="AI377" t="s" s="10">
        <v>76</v>
      </c>
      <c r="AJ377" t="s" s="10">
        <v>76</v>
      </c>
      <c r="AK377" t="s" s="10">
        <v>79</v>
      </c>
      <c r="AL377" t="s" s="10">
        <v>293</v>
      </c>
      <c r="AM377" t="s" s="10">
        <v>294</v>
      </c>
      <c r="AN377" s="11"/>
      <c r="AO377" s="18">
        <v>4</v>
      </c>
      <c r="AP377" s="18">
        <v>16384</v>
      </c>
      <c r="AQ377" s="18">
        <v>67672</v>
      </c>
      <c r="AR377" s="18">
        <v>67672</v>
      </c>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t="s" s="10">
        <v>69</v>
      </c>
      <c r="BO377" s="12"/>
      <c r="BP377" s="8"/>
    </row>
    <row r="378" ht="15" customHeight="1">
      <c r="A378" t="s" s="13">
        <v>1297</v>
      </c>
      <c r="B378" s="14"/>
      <c r="C378" t="str" s="14" cm="1">
        <f t="array" ref="C378">_xlfn.IFERROR((VLOOKUP(A378,#REF!,2,FALSE)),"")</f>
      </c>
      <c r="D378" s="14"/>
      <c r="E378" t="s" s="15">
        <v>1298</v>
      </c>
      <c r="F378" s="14"/>
      <c r="G378" t="s" s="15">
        <v>1299</v>
      </c>
      <c r="H378" t="s" s="15">
        <v>1300</v>
      </c>
      <c r="I378" t="s" s="15">
        <v>111</v>
      </c>
      <c r="J378" t="s" s="15">
        <v>122</v>
      </c>
      <c r="K378" t="s" s="15">
        <v>210</v>
      </c>
      <c r="L378" t="s" s="15">
        <v>76</v>
      </c>
      <c r="M378" t="s" s="15">
        <v>1299</v>
      </c>
      <c r="N378" t="s" s="15">
        <v>1299</v>
      </c>
      <c r="O378" t="s" s="15">
        <v>286</v>
      </c>
      <c r="P378" t="s" s="15">
        <v>122</v>
      </c>
      <c r="Q378" t="s" s="15">
        <v>69</v>
      </c>
      <c r="R378" t="s" s="15">
        <v>83</v>
      </c>
      <c r="S378" s="14"/>
      <c r="T378" s="14"/>
      <c r="U378" s="14"/>
      <c r="V378" t="s" s="15">
        <v>69</v>
      </c>
      <c r="W378" s="14"/>
      <c r="X378" t="s" s="15">
        <v>69</v>
      </c>
      <c r="Y378" s="14"/>
      <c r="Z378" t="s" s="15">
        <v>205</v>
      </c>
      <c r="AA378" s="14"/>
      <c r="AB378" t="s" s="15">
        <v>1154</v>
      </c>
      <c r="AC378" t="s" s="15">
        <v>1297</v>
      </c>
      <c r="AD378" t="s" s="15">
        <v>1301</v>
      </c>
      <c r="AE378" s="14"/>
      <c r="AF378" s="14"/>
      <c r="AG378" t="s" s="15">
        <v>299</v>
      </c>
      <c r="AH378" t="s" s="15">
        <v>114</v>
      </c>
      <c r="AI378" t="s" s="15">
        <v>440</v>
      </c>
      <c r="AJ378" s="14"/>
      <c r="AK378" t="s" s="15">
        <v>83</v>
      </c>
      <c r="AL378" t="s" s="15">
        <v>293</v>
      </c>
      <c r="AM378" t="s" s="15">
        <v>294</v>
      </c>
      <c r="AN378" t="s" s="15">
        <v>116</v>
      </c>
      <c r="AO378" s="17">
        <v>4</v>
      </c>
      <c r="AP378" s="17">
        <v>4096</v>
      </c>
      <c r="AQ378" s="17">
        <v>106599</v>
      </c>
      <c r="AR378" s="17">
        <v>106599</v>
      </c>
      <c r="AS378" t="s" s="15">
        <v>1302</v>
      </c>
      <c r="AT378" t="s" s="15">
        <v>301</v>
      </c>
      <c r="AU378" s="14"/>
      <c r="AV378" s="14"/>
      <c r="AW378" s="14"/>
      <c r="AX378" s="14"/>
      <c r="AY378" s="14"/>
      <c r="AZ378" s="14"/>
      <c r="BA378" s="14"/>
      <c r="BB378" s="14"/>
      <c r="BC378" s="14"/>
      <c r="BD378" t="s" s="15">
        <v>310</v>
      </c>
      <c r="BE378" t="s" s="15">
        <v>356</v>
      </c>
      <c r="BF378" s="17">
        <v>4</v>
      </c>
      <c r="BG378" s="17">
        <v>8</v>
      </c>
      <c r="BH378" s="14"/>
      <c r="BI378" s="14"/>
      <c r="BJ378" s="14"/>
      <c r="BK378" s="14"/>
      <c r="BL378" s="14"/>
      <c r="BM378" s="14"/>
      <c r="BN378" t="s" s="15">
        <v>69</v>
      </c>
      <c r="BO378" s="16"/>
      <c r="BP378" s="8"/>
    </row>
    <row r="379" ht="9" customHeight="1" hidden="1">
      <c r="A379" t="s" s="9">
        <v>1303</v>
      </c>
      <c r="B379" s="11"/>
      <c r="C379" t="str" s="11" cm="1">
        <f t="array" ref="C379">_xlfn.IFERROR((VLOOKUP(A379,#REF!,2,FALSE)),"")</f>
      </c>
      <c r="D379" s="11"/>
      <c r="E379" t="s" s="10">
        <v>1304</v>
      </c>
      <c r="F379" s="11"/>
      <c r="G379" t="s" s="10">
        <v>1305</v>
      </c>
      <c r="H379" t="s" s="10">
        <v>1306</v>
      </c>
      <c r="I379" t="s" s="10">
        <v>111</v>
      </c>
      <c r="J379" t="s" s="10">
        <v>74</v>
      </c>
      <c r="K379" t="s" s="10">
        <v>210</v>
      </c>
      <c r="L379" t="s" s="10">
        <v>76</v>
      </c>
      <c r="M379" t="s" s="10">
        <v>1305</v>
      </c>
      <c r="N379" t="s" s="10">
        <v>1305</v>
      </c>
      <c r="O379" s="11"/>
      <c r="P379" t="s" s="10">
        <v>74</v>
      </c>
      <c r="Q379" t="s" s="10">
        <v>78</v>
      </c>
      <c r="R379" t="s" s="10">
        <v>323</v>
      </c>
      <c r="S379" s="11"/>
      <c r="T379" s="11"/>
      <c r="U379" s="11"/>
      <c r="V379" t="s" s="10">
        <v>78</v>
      </c>
      <c r="W379" s="11"/>
      <c r="X379" t="s" s="10">
        <v>69</v>
      </c>
      <c r="Y379" s="11"/>
      <c r="Z379" t="s" s="10">
        <v>76</v>
      </c>
      <c r="AA379" s="11"/>
      <c r="AB379" t="s" s="10">
        <v>76</v>
      </c>
      <c r="AC379" s="11"/>
      <c r="AD379" s="11"/>
      <c r="AE379" s="11"/>
      <c r="AF379" s="11"/>
      <c r="AG379" t="s" s="10">
        <v>299</v>
      </c>
      <c r="AH379" t="s" s="10">
        <v>106</v>
      </c>
      <c r="AI379" t="s" s="10">
        <v>76</v>
      </c>
      <c r="AJ379" t="s" s="10">
        <v>76</v>
      </c>
      <c r="AK379" t="s" s="10">
        <v>79</v>
      </c>
      <c r="AL379" t="s" s="10">
        <v>293</v>
      </c>
      <c r="AM379" t="s" s="10">
        <v>294</v>
      </c>
      <c r="AN379" s="11"/>
      <c r="AO379" s="18">
        <v>4</v>
      </c>
      <c r="AP379" s="18">
        <v>4096</v>
      </c>
      <c r="AQ379" s="18">
        <v>106625</v>
      </c>
      <c r="AR379" s="18">
        <v>106625</v>
      </c>
      <c r="AS379" t="s" s="10">
        <v>1307</v>
      </c>
      <c r="AT379" t="s" s="10">
        <v>301</v>
      </c>
      <c r="AU379" s="11"/>
      <c r="AV379" s="11"/>
      <c r="AW379" s="11"/>
      <c r="AX379" s="11"/>
      <c r="AY379" s="11"/>
      <c r="AZ379" s="11"/>
      <c r="BA379" s="11"/>
      <c r="BB379" s="11"/>
      <c r="BC379" s="11"/>
      <c r="BD379" s="11"/>
      <c r="BE379" s="11"/>
      <c r="BF379" s="11"/>
      <c r="BG379" s="11"/>
      <c r="BH379" s="11"/>
      <c r="BI379" s="11"/>
      <c r="BJ379" s="11"/>
      <c r="BK379" s="11"/>
      <c r="BL379" s="11"/>
      <c r="BM379" s="11"/>
      <c r="BN379" t="s" s="10">
        <v>69</v>
      </c>
      <c r="BO379" s="12"/>
      <c r="BP379" s="8"/>
    </row>
    <row r="380" ht="9" customHeight="1" hidden="1">
      <c r="A380" t="s" s="13">
        <v>1308</v>
      </c>
      <c r="B380" s="14"/>
      <c r="C380" t="str" s="14" cm="1">
        <f t="array" ref="C380">_xlfn.IFERROR((VLOOKUP(A380,#REF!,2,FALSE)),"")</f>
      </c>
      <c r="D380" s="14"/>
      <c r="E380" s="14"/>
      <c r="F380" s="14"/>
      <c r="G380" t="s" s="15">
        <v>1309</v>
      </c>
      <c r="H380" t="s" s="15">
        <v>1310</v>
      </c>
      <c r="I380" t="s" s="15">
        <v>111</v>
      </c>
      <c r="J380" t="s" s="15">
        <v>122</v>
      </c>
      <c r="K380" t="s" s="15">
        <v>113</v>
      </c>
      <c r="L380" t="s" s="15">
        <v>76</v>
      </c>
      <c r="M380" t="s" s="15">
        <v>1309</v>
      </c>
      <c r="N380" t="s" s="15">
        <v>1309</v>
      </c>
      <c r="O380" s="14"/>
      <c r="P380" t="s" s="15">
        <v>122</v>
      </c>
      <c r="Q380" t="s" s="15">
        <v>69</v>
      </c>
      <c r="R380" t="s" s="15">
        <v>83</v>
      </c>
      <c r="S380" s="14"/>
      <c r="T380" s="14"/>
      <c r="U380" s="14"/>
      <c r="V380" t="s" s="15">
        <v>69</v>
      </c>
      <c r="W380" s="14"/>
      <c r="X380" t="s" s="15">
        <v>69</v>
      </c>
      <c r="Y380" s="14"/>
      <c r="Z380" t="s" s="15">
        <v>76</v>
      </c>
      <c r="AA380" s="14"/>
      <c r="AB380" t="s" s="15">
        <v>76</v>
      </c>
      <c r="AC380" t="s" s="15">
        <v>1308</v>
      </c>
      <c r="AD380" t="s" s="15">
        <v>1311</v>
      </c>
      <c r="AE380" s="14"/>
      <c r="AF380" s="14"/>
      <c r="AG380" s="14"/>
      <c r="AH380" t="s" s="15">
        <v>106</v>
      </c>
      <c r="AI380" t="s" s="15">
        <v>76</v>
      </c>
      <c r="AJ380" t="s" s="15">
        <v>76</v>
      </c>
      <c r="AK380" t="s" s="15">
        <v>79</v>
      </c>
      <c r="AL380" t="s" s="15">
        <v>293</v>
      </c>
      <c r="AM380" t="s" s="15">
        <v>294</v>
      </c>
      <c r="AN380" t="s" s="15">
        <v>128</v>
      </c>
      <c r="AO380" s="17">
        <v>2</v>
      </c>
      <c r="AP380" s="17">
        <v>4096</v>
      </c>
      <c r="AQ380" s="17">
        <v>127076</v>
      </c>
      <c r="AR380" s="17">
        <v>127076</v>
      </c>
      <c r="AS380" t="s" s="15">
        <v>1312</v>
      </c>
      <c r="AT380" s="14"/>
      <c r="AU380" s="14"/>
      <c r="AV380" s="14"/>
      <c r="AW380" s="14"/>
      <c r="AX380" s="14"/>
      <c r="AY380" s="14"/>
      <c r="AZ380" s="14"/>
      <c r="BA380" s="14"/>
      <c r="BB380" s="14"/>
      <c r="BC380" s="14"/>
      <c r="BD380" s="14"/>
      <c r="BE380" s="14"/>
      <c r="BF380" s="14"/>
      <c r="BG380" s="14"/>
      <c r="BH380" s="14"/>
      <c r="BI380" s="14"/>
      <c r="BJ380" s="14"/>
      <c r="BK380" s="14"/>
      <c r="BL380" s="14"/>
      <c r="BM380" s="14"/>
      <c r="BN380" t="s" s="15">
        <v>69</v>
      </c>
      <c r="BO380" s="16"/>
      <c r="BP380" s="8"/>
    </row>
    <row r="381" ht="9" customHeight="1" hidden="1">
      <c r="A381" t="s" s="9">
        <v>1313</v>
      </c>
      <c r="B381" s="11"/>
      <c r="C381" t="str" s="11" cm="1">
        <f t="array" ref="C381">_xlfn.IFERROR((VLOOKUP(A381,#REF!,2,FALSE)),"")</f>
      </c>
      <c r="D381" t="s" s="10">
        <v>70</v>
      </c>
      <c r="E381" t="s" s="10">
        <v>1314</v>
      </c>
      <c r="F381" s="11"/>
      <c r="G381" t="s" s="10">
        <v>1315</v>
      </c>
      <c r="H381" t="s" s="10">
        <v>1275</v>
      </c>
      <c r="I381" t="s" s="10">
        <v>73</v>
      </c>
      <c r="J381" t="s" s="10">
        <v>74</v>
      </c>
      <c r="K381" t="s" s="10">
        <v>113</v>
      </c>
      <c r="L381" t="s" s="10">
        <v>76</v>
      </c>
      <c r="M381" t="s" s="10">
        <v>1315</v>
      </c>
      <c r="N381" t="s" s="10">
        <v>1315</v>
      </c>
      <c r="O381" t="s" s="10">
        <v>71</v>
      </c>
      <c r="P381" t="s" s="10">
        <v>74</v>
      </c>
      <c r="Q381" t="s" s="10">
        <v>69</v>
      </c>
      <c r="R381" t="s" s="10">
        <v>71</v>
      </c>
      <c r="S381" s="11"/>
      <c r="T381" s="11"/>
      <c r="U381" s="11"/>
      <c r="V381" t="s" s="10">
        <v>78</v>
      </c>
      <c r="W381" t="s" s="10">
        <v>1313</v>
      </c>
      <c r="X381" t="s" s="10">
        <v>78</v>
      </c>
      <c r="Y381" s="11"/>
      <c r="Z381" t="s" s="10">
        <v>76</v>
      </c>
      <c r="AA381" s="11"/>
      <c r="AB381" t="s" s="10">
        <v>76</v>
      </c>
      <c r="AC381" s="11"/>
      <c r="AD381" t="s" s="10">
        <v>1316</v>
      </c>
      <c r="AE381" s="11"/>
      <c r="AF381" s="11"/>
      <c r="AG381" s="11"/>
      <c r="AH381" s="11"/>
      <c r="AI381" t="s" s="10">
        <v>76</v>
      </c>
      <c r="AJ381" t="s" s="10">
        <v>76</v>
      </c>
      <c r="AK381" t="s" s="10">
        <v>79</v>
      </c>
      <c r="AL381" s="11"/>
      <c r="AM381" s="11"/>
      <c r="AN381" s="11"/>
      <c r="AO381" s="11"/>
      <c r="AP381" s="11"/>
      <c r="AQ381" s="11"/>
      <c r="AR381" s="11"/>
      <c r="AS381" t="s" s="10">
        <v>1317</v>
      </c>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2"/>
      <c r="BP381" s="8"/>
    </row>
    <row r="382" ht="9" customHeight="1" hidden="1">
      <c r="A382" t="s" s="13">
        <v>1318</v>
      </c>
      <c r="B382" s="14"/>
      <c r="C382" t="str" s="14" cm="1">
        <f t="array" ref="C382">_xlfn.IFERROR((VLOOKUP(A382,#REF!,2,FALSE)),"")</f>
      </c>
      <c r="D382" t="s" s="15">
        <v>70</v>
      </c>
      <c r="E382" t="s" s="15">
        <v>1314</v>
      </c>
      <c r="F382" s="14"/>
      <c r="G382" t="s" s="15">
        <v>1319</v>
      </c>
      <c r="H382" t="s" s="15">
        <v>1280</v>
      </c>
      <c r="I382" t="s" s="15">
        <v>73</v>
      </c>
      <c r="J382" t="s" s="15">
        <v>74</v>
      </c>
      <c r="K382" t="s" s="15">
        <v>113</v>
      </c>
      <c r="L382" t="s" s="15">
        <v>76</v>
      </c>
      <c r="M382" t="s" s="15">
        <v>1319</v>
      </c>
      <c r="N382" t="s" s="15">
        <v>1319</v>
      </c>
      <c r="O382" t="s" s="15">
        <v>71</v>
      </c>
      <c r="P382" t="s" s="15">
        <v>74</v>
      </c>
      <c r="Q382" t="s" s="15">
        <v>69</v>
      </c>
      <c r="R382" t="s" s="15">
        <v>71</v>
      </c>
      <c r="S382" s="14"/>
      <c r="T382" s="14"/>
      <c r="U382" s="14"/>
      <c r="V382" t="s" s="15">
        <v>78</v>
      </c>
      <c r="W382" t="s" s="15">
        <v>1318</v>
      </c>
      <c r="X382" t="s" s="15">
        <v>78</v>
      </c>
      <c r="Y382" s="14"/>
      <c r="Z382" t="s" s="15">
        <v>76</v>
      </c>
      <c r="AA382" s="14"/>
      <c r="AB382" t="s" s="15">
        <v>76</v>
      </c>
      <c r="AC382" s="14"/>
      <c r="AD382" t="s" s="15">
        <v>1320</v>
      </c>
      <c r="AE382" s="14"/>
      <c r="AF382" s="14"/>
      <c r="AG382" s="14"/>
      <c r="AH382" s="14"/>
      <c r="AI382" t="s" s="15">
        <v>76</v>
      </c>
      <c r="AJ382" t="s" s="15">
        <v>76</v>
      </c>
      <c r="AK382" t="s" s="15">
        <v>79</v>
      </c>
      <c r="AL382" s="14"/>
      <c r="AM382" s="14"/>
      <c r="AN382" s="14"/>
      <c r="AO382" s="14"/>
      <c r="AP382" s="14"/>
      <c r="AQ382" s="14"/>
      <c r="AR382" s="14"/>
      <c r="AS382" t="s" s="15">
        <v>1321</v>
      </c>
      <c r="AT382" s="14"/>
      <c r="AU382" s="14"/>
      <c r="AV382" s="14"/>
      <c r="AW382" s="14"/>
      <c r="AX382" s="14"/>
      <c r="AY382" s="14"/>
      <c r="AZ382" s="14"/>
      <c r="BA382" s="14"/>
      <c r="BB382" s="14"/>
      <c r="BC382" s="14"/>
      <c r="BD382" s="14"/>
      <c r="BE382" s="14"/>
      <c r="BF382" s="14"/>
      <c r="BG382" s="14"/>
      <c r="BH382" s="14"/>
      <c r="BI382" s="14"/>
      <c r="BJ382" s="14"/>
      <c r="BK382" s="14"/>
      <c r="BL382" s="14"/>
      <c r="BM382" s="14"/>
      <c r="BN382" s="14"/>
      <c r="BO382" s="16"/>
      <c r="BP382" s="8"/>
    </row>
    <row r="383" ht="13.55" customHeight="1">
      <c r="A383" t="s" s="9">
        <v>1322</v>
      </c>
      <c r="B383" s="11"/>
      <c r="C383" t="str" s="11" cm="1">
        <f t="array" ref="C383">_xlfn.IFERROR((VLOOKUP(A383,#REF!,2,FALSE)),"")</f>
      </c>
      <c r="D383" t="s" s="10">
        <v>70</v>
      </c>
      <c r="E383" t="s" s="10">
        <v>1323</v>
      </c>
      <c r="F383" s="11"/>
      <c r="G383" t="s" s="10">
        <v>1324</v>
      </c>
      <c r="H383" t="s" s="10">
        <v>1324</v>
      </c>
      <c r="I383" t="s" s="10">
        <v>111</v>
      </c>
      <c r="J383" t="s" s="10">
        <v>122</v>
      </c>
      <c r="K383" t="s" s="10">
        <v>113</v>
      </c>
      <c r="L383" t="s" s="10">
        <v>472</v>
      </c>
      <c r="M383" t="s" s="10">
        <v>1325</v>
      </c>
      <c r="N383" t="s" s="10">
        <v>1326</v>
      </c>
      <c r="O383" t="s" s="10">
        <v>286</v>
      </c>
      <c r="P383" t="s" s="10">
        <v>122</v>
      </c>
      <c r="Q383" t="s" s="10">
        <v>69</v>
      </c>
      <c r="R383" t="s" s="10">
        <v>323</v>
      </c>
      <c r="S383" s="11"/>
      <c r="T383" s="11"/>
      <c r="U383" s="11"/>
      <c r="V383" t="s" s="10">
        <v>69</v>
      </c>
      <c r="W383" s="11"/>
      <c r="X383" t="s" s="10">
        <v>78</v>
      </c>
      <c r="Y383" s="11"/>
      <c r="Z383" t="s" s="10">
        <v>1327</v>
      </c>
      <c r="AA383" s="11"/>
      <c r="AB383" t="s" s="10">
        <v>472</v>
      </c>
      <c r="AC383" s="11"/>
      <c r="AD383" s="11"/>
      <c r="AE383" s="11"/>
      <c r="AF383" t="s" s="10">
        <v>1324</v>
      </c>
      <c r="AG383" t="s" s="10">
        <v>299</v>
      </c>
      <c r="AH383" t="s" s="10">
        <v>114</v>
      </c>
      <c r="AI383" t="s" s="10">
        <v>332</v>
      </c>
      <c r="AJ383" t="s" s="10">
        <v>798</v>
      </c>
      <c r="AK383" t="s" s="10">
        <v>83</v>
      </c>
      <c r="AL383" t="s" s="10">
        <v>293</v>
      </c>
      <c r="AM383" t="s" s="10">
        <v>294</v>
      </c>
      <c r="AN383" t="s" s="10">
        <v>1199</v>
      </c>
      <c r="AO383" s="18">
        <v>1</v>
      </c>
      <c r="AP383" s="18">
        <v>2048</v>
      </c>
      <c r="AQ383" s="18">
        <v>150609</v>
      </c>
      <c r="AR383" s="18">
        <v>150609</v>
      </c>
      <c r="AS383" t="s" s="10">
        <v>1328</v>
      </c>
      <c r="AT383" s="11"/>
      <c r="AU383" s="11"/>
      <c r="AV383" s="11"/>
      <c r="AW383" s="11"/>
      <c r="AX383" s="11"/>
      <c r="AY383" s="11"/>
      <c r="AZ383" s="11"/>
      <c r="BA383" s="11"/>
      <c r="BB383" s="11"/>
      <c r="BC383" s="11"/>
      <c r="BD383" t="s" s="10">
        <v>310</v>
      </c>
      <c r="BE383" t="s" s="10">
        <v>419</v>
      </c>
      <c r="BF383" s="18">
        <v>2</v>
      </c>
      <c r="BG383" s="18">
        <v>4</v>
      </c>
      <c r="BH383" s="11"/>
      <c r="BI383" s="11"/>
      <c r="BJ383" s="11"/>
      <c r="BK383" s="11"/>
      <c r="BL383" s="11"/>
      <c r="BM383" s="11"/>
      <c r="BN383" t="s" s="10">
        <v>69</v>
      </c>
      <c r="BO383" s="12"/>
      <c r="BP383" s="8"/>
    </row>
    <row r="384" ht="13.55" customHeight="1">
      <c r="A384" t="s" s="13">
        <v>1329</v>
      </c>
      <c r="B384" s="14"/>
      <c r="C384" t="str" s="14" cm="1">
        <f t="array" ref="C384">_xlfn.IFERROR((VLOOKUP(A384,#REF!,2,FALSE)),"")</f>
      </c>
      <c r="D384" s="14"/>
      <c r="E384" t="s" s="15">
        <v>1330</v>
      </c>
      <c r="F384" t="s" s="15">
        <v>76</v>
      </c>
      <c r="G384" t="s" s="15">
        <v>1331</v>
      </c>
      <c r="H384" t="s" s="15">
        <v>1332</v>
      </c>
      <c r="I384" t="s" s="15">
        <v>111</v>
      </c>
      <c r="J384" t="s" s="15">
        <v>517</v>
      </c>
      <c r="K384" t="s" s="15">
        <v>113</v>
      </c>
      <c r="L384" t="s" s="15">
        <v>1333</v>
      </c>
      <c r="M384" t="s" s="15">
        <v>1331</v>
      </c>
      <c r="N384" t="s" s="15">
        <v>1331</v>
      </c>
      <c r="O384" t="s" s="15">
        <v>517</v>
      </c>
      <c r="P384" t="s" s="15">
        <v>517</v>
      </c>
      <c r="Q384" t="s" s="15">
        <v>69</v>
      </c>
      <c r="R384" t="s" s="15">
        <v>83</v>
      </c>
      <c r="S384" s="14"/>
      <c r="T384" s="14"/>
      <c r="U384" s="14"/>
      <c r="V384" t="s" s="29">
        <v>69</v>
      </c>
      <c r="W384" t="s" s="22">
        <v>1329</v>
      </c>
      <c r="X384" t="s" s="32">
        <v>69</v>
      </c>
      <c r="Y384" s="33"/>
      <c r="Z384" t="s" s="30">
        <v>1334</v>
      </c>
      <c r="AA384" s="14"/>
      <c r="AB384" t="s" s="15">
        <v>1335</v>
      </c>
      <c r="AC384" t="s" s="24">
        <v>1329</v>
      </c>
      <c r="AD384" t="s" s="15">
        <v>1336</v>
      </c>
      <c r="AE384" s="14"/>
      <c r="AF384" s="14"/>
      <c r="AG384" t="s" s="15">
        <v>299</v>
      </c>
      <c r="AH384" t="s" s="15">
        <v>114</v>
      </c>
      <c r="AI384" t="s" s="15">
        <v>290</v>
      </c>
      <c r="AJ384" t="s" s="15">
        <v>827</v>
      </c>
      <c r="AK384" t="s" s="15">
        <v>1195</v>
      </c>
      <c r="AL384" t="s" s="15">
        <v>293</v>
      </c>
      <c r="AM384" t="s" s="15">
        <v>294</v>
      </c>
      <c r="AN384" t="s" s="15">
        <v>128</v>
      </c>
      <c r="AO384" s="17">
        <v>4</v>
      </c>
      <c r="AP384" s="17">
        <v>16384</v>
      </c>
      <c r="AQ384" s="17">
        <v>408757</v>
      </c>
      <c r="AR384" s="17">
        <v>119783</v>
      </c>
      <c r="AS384" t="s" s="15">
        <v>1337</v>
      </c>
      <c r="AT384" t="s" s="15">
        <v>301</v>
      </c>
      <c r="AU384" s="14"/>
      <c r="AV384" s="14"/>
      <c r="AW384" t="s" s="15">
        <v>83</v>
      </c>
      <c r="AX384" t="s" s="15">
        <v>83</v>
      </c>
      <c r="AY384" t="s" s="15">
        <v>309</v>
      </c>
      <c r="AZ384" t="s" s="15">
        <v>83</v>
      </c>
      <c r="BA384" t="s" s="15">
        <v>76</v>
      </c>
      <c r="BB384" t="s" s="15">
        <v>76</v>
      </c>
      <c r="BC384" t="s" s="15">
        <v>76</v>
      </c>
      <c r="BD384" t="s" s="15">
        <v>366</v>
      </c>
      <c r="BE384" t="s" s="15">
        <v>394</v>
      </c>
      <c r="BF384" s="17">
        <v>4</v>
      </c>
      <c r="BG384" s="17">
        <v>16</v>
      </c>
      <c r="BH384" t="s" s="15">
        <v>83</v>
      </c>
      <c r="BI384" t="s" s="15">
        <v>83</v>
      </c>
      <c r="BJ384" t="s" s="15">
        <v>83</v>
      </c>
      <c r="BK384" t="s" s="15">
        <v>83</v>
      </c>
      <c r="BL384" t="s" s="15">
        <v>83</v>
      </c>
      <c r="BM384" t="s" s="15">
        <v>312</v>
      </c>
      <c r="BN384" t="s" s="15">
        <v>69</v>
      </c>
      <c r="BO384" t="s" s="21">
        <v>76</v>
      </c>
      <c r="BP384" s="8"/>
    </row>
    <row r="385" ht="9" customHeight="1" hidden="1">
      <c r="A385" t="s" s="9">
        <v>1338</v>
      </c>
      <c r="B385" s="11"/>
      <c r="C385" t="str" s="11" cm="1">
        <f t="array" ref="C385">_xlfn.IFERROR((VLOOKUP(A385,#REF!,2,FALSE)),"")</f>
      </c>
      <c r="D385" s="11"/>
      <c r="E385" s="11"/>
      <c r="F385" s="11"/>
      <c r="G385" t="s" s="10">
        <v>1339</v>
      </c>
      <c r="H385" t="s" s="10">
        <v>1339</v>
      </c>
      <c r="I385" t="s" s="10">
        <v>73</v>
      </c>
      <c r="J385" t="s" s="10">
        <v>74</v>
      </c>
      <c r="K385" t="s" s="10">
        <v>113</v>
      </c>
      <c r="L385" t="s" s="10">
        <v>76</v>
      </c>
      <c r="M385" t="s" s="10">
        <v>1339</v>
      </c>
      <c r="N385" t="s" s="10">
        <v>1339</v>
      </c>
      <c r="O385" t="s" s="10">
        <v>71</v>
      </c>
      <c r="P385" t="s" s="10">
        <v>74</v>
      </c>
      <c r="Q385" t="s" s="10">
        <v>78</v>
      </c>
      <c r="R385" t="s" s="10">
        <v>71</v>
      </c>
      <c r="S385" s="11"/>
      <c r="T385" s="11"/>
      <c r="U385" s="11"/>
      <c r="V385" t="s" s="10">
        <v>78</v>
      </c>
      <c r="W385" t="s" s="10">
        <v>1338</v>
      </c>
      <c r="X385" t="s" s="10">
        <v>69</v>
      </c>
      <c r="Y385" s="11"/>
      <c r="Z385" t="s" s="10">
        <v>76</v>
      </c>
      <c r="AA385" s="11"/>
      <c r="AB385" t="s" s="10">
        <v>76</v>
      </c>
      <c r="AC385" s="11"/>
      <c r="AD385" s="11"/>
      <c r="AE385" s="11"/>
      <c r="AF385" s="11"/>
      <c r="AG385" s="11"/>
      <c r="AH385" t="s" s="10">
        <v>106</v>
      </c>
      <c r="AI385" t="s" s="10">
        <v>76</v>
      </c>
      <c r="AJ385" t="s" s="10">
        <v>76</v>
      </c>
      <c r="AK385" t="s" s="10">
        <v>79</v>
      </c>
      <c r="AL385" s="11"/>
      <c r="AM385" s="11"/>
      <c r="AN385" s="11"/>
      <c r="AO385" s="11"/>
      <c r="AP385" s="11"/>
      <c r="AQ385" s="11"/>
      <c r="AR385" s="11"/>
      <c r="AS385" s="11"/>
      <c r="AT385" s="11"/>
      <c r="AU385" s="11"/>
      <c r="AV385" s="11"/>
      <c r="AW385" s="11"/>
      <c r="AX385" s="11"/>
      <c r="AY385" s="11"/>
      <c r="AZ385" s="11"/>
      <c r="BA385" s="11"/>
      <c r="BB385" s="11"/>
      <c r="BC385" s="11"/>
      <c r="BD385" t="s" s="10">
        <v>310</v>
      </c>
      <c r="BE385" t="s" s="10">
        <v>356</v>
      </c>
      <c r="BF385" s="28">
        <v>2</v>
      </c>
      <c r="BG385" s="28">
        <v>8</v>
      </c>
      <c r="BH385" s="11"/>
      <c r="BI385" s="11"/>
      <c r="BJ385" s="11"/>
      <c r="BK385" s="11"/>
      <c r="BL385" s="11"/>
      <c r="BM385" s="11"/>
      <c r="BN385" s="11"/>
      <c r="BO385" s="12"/>
      <c r="BP385" s="8"/>
    </row>
    <row r="386" ht="9" customHeight="1" hidden="1">
      <c r="A386" t="s" s="13">
        <v>1340</v>
      </c>
      <c r="B386" s="14"/>
      <c r="C386" t="str" s="14" cm="1">
        <f t="array" ref="C386">_xlfn.IFERROR((VLOOKUP(A386,#REF!,2,FALSE)),"")</f>
      </c>
      <c r="D386" t="s" s="15">
        <v>70</v>
      </c>
      <c r="E386" t="s" s="15">
        <v>1341</v>
      </c>
      <c r="F386" s="14"/>
      <c r="G386" t="s" s="15">
        <v>1342</v>
      </c>
      <c r="H386" t="s" s="15">
        <v>1342</v>
      </c>
      <c r="I386" t="s" s="15">
        <v>111</v>
      </c>
      <c r="J386" t="s" s="15">
        <v>322</v>
      </c>
      <c r="K386" t="s" s="15">
        <v>113</v>
      </c>
      <c r="L386" t="s" s="15">
        <v>76</v>
      </c>
      <c r="M386" t="s" s="15">
        <v>1342</v>
      </c>
      <c r="N386" t="s" s="15">
        <v>1342</v>
      </c>
      <c r="O386" t="s" s="15">
        <v>322</v>
      </c>
      <c r="P386" t="s" s="15">
        <v>322</v>
      </c>
      <c r="Q386" t="s" s="15">
        <v>78</v>
      </c>
      <c r="R386" t="s" s="15">
        <v>83</v>
      </c>
      <c r="S386" s="14"/>
      <c r="T386" s="14"/>
      <c r="U386" s="14"/>
      <c r="V386" t="s" s="15">
        <v>69</v>
      </c>
      <c r="W386" s="14"/>
      <c r="X386" t="s" s="15">
        <v>78</v>
      </c>
      <c r="Y386" s="14"/>
      <c r="Z386" t="s" s="15">
        <v>76</v>
      </c>
      <c r="AA386" s="14"/>
      <c r="AB386" t="s" s="15">
        <v>76</v>
      </c>
      <c r="AC386" s="14"/>
      <c r="AD386" s="14"/>
      <c r="AE386" s="14"/>
      <c r="AF386" s="14"/>
      <c r="AG386" t="s" s="15">
        <v>299</v>
      </c>
      <c r="AH386" t="s" s="15">
        <v>106</v>
      </c>
      <c r="AI386" t="s" s="15">
        <v>76</v>
      </c>
      <c r="AJ386" t="s" s="15">
        <v>76</v>
      </c>
      <c r="AK386" t="s" s="15">
        <v>79</v>
      </c>
      <c r="AL386" t="s" s="15">
        <v>293</v>
      </c>
      <c r="AM386" t="s" s="15">
        <v>294</v>
      </c>
      <c r="AN386" t="s" s="15">
        <v>1343</v>
      </c>
      <c r="AO386" s="17">
        <v>4</v>
      </c>
      <c r="AP386" s="17">
        <v>4096</v>
      </c>
      <c r="AQ386" s="17">
        <v>208999</v>
      </c>
      <c r="AR386" s="17">
        <v>27599</v>
      </c>
      <c r="AS386" t="s" s="15">
        <v>1344</v>
      </c>
      <c r="AT386" t="s" s="15">
        <v>301</v>
      </c>
      <c r="AU386" s="14"/>
      <c r="AV386" s="14"/>
      <c r="AW386" s="14"/>
      <c r="AX386" s="14"/>
      <c r="AY386" s="14"/>
      <c r="AZ386" s="14"/>
      <c r="BA386" s="14"/>
      <c r="BB386" s="14"/>
      <c r="BC386" s="14"/>
      <c r="BD386" t="s" s="15">
        <v>310</v>
      </c>
      <c r="BE386" t="s" s="15">
        <v>356</v>
      </c>
      <c r="BF386" s="31">
        <v>2</v>
      </c>
      <c r="BG386" s="31">
        <v>8</v>
      </c>
      <c r="BH386" s="14"/>
      <c r="BI386" s="14"/>
      <c r="BJ386" s="14"/>
      <c r="BK386" s="14"/>
      <c r="BL386" s="14"/>
      <c r="BM386" s="14"/>
      <c r="BN386" t="s" s="15">
        <v>78</v>
      </c>
      <c r="BO386" s="16"/>
      <c r="BP386" s="8"/>
    </row>
    <row r="387" ht="9" customHeight="1" hidden="1">
      <c r="A387" t="s" s="9">
        <v>1345</v>
      </c>
      <c r="B387" s="11"/>
      <c r="C387" t="str" s="11" cm="1">
        <f t="array" ref="C387">_xlfn.IFERROR((VLOOKUP(A387,#REF!,2,FALSE)),"")</f>
      </c>
      <c r="D387" t="s" s="10">
        <v>70</v>
      </c>
      <c r="E387" t="s" s="10">
        <v>1341</v>
      </c>
      <c r="F387" s="11"/>
      <c r="G387" t="s" s="10">
        <v>1342</v>
      </c>
      <c r="H387" t="s" s="10">
        <v>1342</v>
      </c>
      <c r="I387" t="s" s="10">
        <v>111</v>
      </c>
      <c r="J387" t="s" s="10">
        <v>322</v>
      </c>
      <c r="K387" t="s" s="10">
        <v>113</v>
      </c>
      <c r="L387" t="s" s="10">
        <v>76</v>
      </c>
      <c r="M387" t="s" s="10">
        <v>1346</v>
      </c>
      <c r="N387" t="s" s="10">
        <v>1342</v>
      </c>
      <c r="O387" t="s" s="10">
        <v>322</v>
      </c>
      <c r="P387" t="s" s="10">
        <v>322</v>
      </c>
      <c r="Q387" t="s" s="10">
        <v>78</v>
      </c>
      <c r="R387" t="s" s="10">
        <v>83</v>
      </c>
      <c r="S387" s="11"/>
      <c r="T387" s="11"/>
      <c r="U387" s="11"/>
      <c r="V387" t="s" s="10">
        <v>69</v>
      </c>
      <c r="W387" s="11"/>
      <c r="X387" t="s" s="10">
        <v>78</v>
      </c>
      <c r="Y387" s="11"/>
      <c r="Z387" t="s" s="10">
        <v>76</v>
      </c>
      <c r="AA387" s="11"/>
      <c r="AB387" t="s" s="10">
        <v>76</v>
      </c>
      <c r="AC387" s="11"/>
      <c r="AD387" s="11"/>
      <c r="AE387" s="11"/>
      <c r="AF387" s="11"/>
      <c r="AG387" t="s" s="10">
        <v>299</v>
      </c>
      <c r="AH387" t="s" s="10">
        <v>106</v>
      </c>
      <c r="AI387" t="s" s="10">
        <v>76</v>
      </c>
      <c r="AJ387" t="s" s="10">
        <v>76</v>
      </c>
      <c r="AK387" t="s" s="10">
        <v>79</v>
      </c>
      <c r="AL387" t="s" s="10">
        <v>293</v>
      </c>
      <c r="AM387" t="s" s="10">
        <v>294</v>
      </c>
      <c r="AN387" t="s" s="10">
        <v>1343</v>
      </c>
      <c r="AO387" s="18">
        <v>4</v>
      </c>
      <c r="AP387" s="18">
        <v>4096</v>
      </c>
      <c r="AQ387" s="18">
        <v>208981</v>
      </c>
      <c r="AR387" s="18">
        <v>28894</v>
      </c>
      <c r="AS387" t="s" s="10">
        <v>1347</v>
      </c>
      <c r="AT387" t="s" s="10">
        <v>301</v>
      </c>
      <c r="AU387" s="11"/>
      <c r="AV387" s="11"/>
      <c r="AW387" s="11"/>
      <c r="AX387" s="11"/>
      <c r="AY387" s="11"/>
      <c r="AZ387" s="11"/>
      <c r="BA387" s="11"/>
      <c r="BB387" s="11"/>
      <c r="BC387" s="11"/>
      <c r="BD387" t="s" s="10">
        <v>310</v>
      </c>
      <c r="BE387" t="s" s="10">
        <v>356</v>
      </c>
      <c r="BF387" s="28">
        <v>2</v>
      </c>
      <c r="BG387" s="28">
        <v>8</v>
      </c>
      <c r="BH387" s="11"/>
      <c r="BI387" s="11"/>
      <c r="BJ387" s="11"/>
      <c r="BK387" s="11"/>
      <c r="BL387" s="11"/>
      <c r="BM387" s="11"/>
      <c r="BN387" t="s" s="10">
        <v>78</v>
      </c>
      <c r="BO387" s="12"/>
      <c r="BP387" s="8"/>
    </row>
    <row r="388" ht="9" customHeight="1" hidden="1">
      <c r="A388" t="s" s="13">
        <v>1348</v>
      </c>
      <c r="B388" s="14"/>
      <c r="C388" t="str" s="14" cm="1">
        <f t="array" ref="C388">_xlfn.IFERROR((VLOOKUP(A388,#REF!,2,FALSE)),"")</f>
      </c>
      <c r="D388" s="14"/>
      <c r="E388" t="s" s="15">
        <v>1349</v>
      </c>
      <c r="F388" t="s" s="15">
        <v>76</v>
      </c>
      <c r="G388" t="s" s="15">
        <v>1350</v>
      </c>
      <c r="H388" t="s" s="15">
        <v>1351</v>
      </c>
      <c r="I388" t="s" s="15">
        <v>111</v>
      </c>
      <c r="J388" t="s" s="15">
        <v>322</v>
      </c>
      <c r="K388" t="s" s="15">
        <v>113</v>
      </c>
      <c r="L388" t="s" s="15">
        <v>518</v>
      </c>
      <c r="M388" t="s" s="15">
        <v>1352</v>
      </c>
      <c r="N388" t="s" s="15">
        <v>1350</v>
      </c>
      <c r="O388" t="s" s="15">
        <v>322</v>
      </c>
      <c r="P388" t="s" s="15">
        <v>322</v>
      </c>
      <c r="Q388" t="s" s="15">
        <v>69</v>
      </c>
      <c r="R388" t="s" s="15">
        <v>83</v>
      </c>
      <c r="S388" s="14"/>
      <c r="T388" s="14"/>
      <c r="U388" s="14"/>
      <c r="V388" t="s" s="15">
        <v>69</v>
      </c>
      <c r="W388" s="14"/>
      <c r="X388" t="s" s="15">
        <v>69</v>
      </c>
      <c r="Y388" s="14"/>
      <c r="Z388" t="s" s="15">
        <v>205</v>
      </c>
      <c r="AA388" s="14"/>
      <c r="AB388" t="s" s="15">
        <v>1193</v>
      </c>
      <c r="AC388" t="s" s="24">
        <v>1348</v>
      </c>
      <c r="AD388" t="s" s="15">
        <v>1353</v>
      </c>
      <c r="AE388" s="14"/>
      <c r="AF388" s="14"/>
      <c r="AG388" t="s" s="15">
        <v>299</v>
      </c>
      <c r="AH388" t="s" s="15">
        <v>114</v>
      </c>
      <c r="AI388" t="s" s="15">
        <v>290</v>
      </c>
      <c r="AJ388" t="s" s="15">
        <v>798</v>
      </c>
      <c r="AK388" t="s" s="15">
        <v>1195</v>
      </c>
      <c r="AL388" t="s" s="15">
        <v>293</v>
      </c>
      <c r="AM388" t="s" s="15">
        <v>294</v>
      </c>
      <c r="AN388" t="s" s="15">
        <v>128</v>
      </c>
      <c r="AO388" s="17">
        <v>4</v>
      </c>
      <c r="AP388" s="17">
        <v>4096</v>
      </c>
      <c r="AQ388" s="17">
        <v>106602</v>
      </c>
      <c r="AR388" s="17">
        <v>95864</v>
      </c>
      <c r="AS388" t="s" s="15">
        <v>1354</v>
      </c>
      <c r="AT388" t="s" s="15">
        <v>301</v>
      </c>
      <c r="AU388" t="s" s="15">
        <v>1174</v>
      </c>
      <c r="AV388" t="s" s="15">
        <v>76</v>
      </c>
      <c r="AW388" t="s" s="15">
        <v>83</v>
      </c>
      <c r="AX388" t="s" s="15">
        <v>83</v>
      </c>
      <c r="AY388" t="s" s="15">
        <v>309</v>
      </c>
      <c r="AZ388" t="s" s="15">
        <v>83</v>
      </c>
      <c r="BA388" t="s" s="15">
        <v>76</v>
      </c>
      <c r="BB388" t="s" s="15">
        <v>76</v>
      </c>
      <c r="BC388" t="s" s="15">
        <v>76</v>
      </c>
      <c r="BD388" t="s" s="15">
        <v>310</v>
      </c>
      <c r="BE388" t="s" s="15">
        <v>356</v>
      </c>
      <c r="BF388" s="17">
        <v>4</v>
      </c>
      <c r="BG388" s="17">
        <v>8</v>
      </c>
      <c r="BH388" t="s" s="15">
        <v>83</v>
      </c>
      <c r="BI388" t="s" s="15">
        <v>83</v>
      </c>
      <c r="BJ388" t="s" s="15">
        <v>83</v>
      </c>
      <c r="BK388" t="s" s="15">
        <v>83</v>
      </c>
      <c r="BL388" t="s" s="15">
        <v>83</v>
      </c>
      <c r="BM388" t="s" s="15">
        <v>312</v>
      </c>
      <c r="BN388" t="s" s="15">
        <v>78</v>
      </c>
      <c r="BO388" t="s" s="21">
        <v>76</v>
      </c>
      <c r="BP388" s="8"/>
    </row>
    <row r="389" ht="9" customHeight="1" hidden="1">
      <c r="A389" t="s" s="9">
        <v>1355</v>
      </c>
      <c r="B389" s="11"/>
      <c r="C389" t="str" s="11" cm="1">
        <f t="array" ref="C389">_xlfn.IFERROR((VLOOKUP(A389,#REF!,2,FALSE)),"")</f>
      </c>
      <c r="D389" s="11"/>
      <c r="E389" t="s" s="10">
        <v>1356</v>
      </c>
      <c r="F389" s="11"/>
      <c r="G389" t="s" s="10">
        <v>1357</v>
      </c>
      <c r="H389" t="s" s="10">
        <v>1358</v>
      </c>
      <c r="I389" t="s" s="10">
        <v>73</v>
      </c>
      <c r="J389" t="s" s="10">
        <v>74</v>
      </c>
      <c r="K389" t="s" s="10">
        <v>113</v>
      </c>
      <c r="L389" t="s" s="10">
        <v>1359</v>
      </c>
      <c r="M389" t="s" s="10">
        <v>1357</v>
      </c>
      <c r="N389" t="s" s="10">
        <v>1357</v>
      </c>
      <c r="O389" t="s" s="10">
        <v>71</v>
      </c>
      <c r="P389" t="s" s="10">
        <v>322</v>
      </c>
      <c r="Q389" t="s" s="10">
        <v>78</v>
      </c>
      <c r="R389" t="s" s="10">
        <v>71</v>
      </c>
      <c r="S389" s="11"/>
      <c r="T389" s="11"/>
      <c r="U389" s="11"/>
      <c r="V389" t="s" s="10">
        <v>78</v>
      </c>
      <c r="W389" t="s" s="10">
        <v>1360</v>
      </c>
      <c r="X389" t="s" s="10">
        <v>69</v>
      </c>
      <c r="Y389" s="11"/>
      <c r="Z389" t="s" s="10">
        <v>76</v>
      </c>
      <c r="AA389" s="11"/>
      <c r="AB389" t="s" s="10">
        <v>76</v>
      </c>
      <c r="AC389" s="11"/>
      <c r="AD389" s="11"/>
      <c r="AE389" s="11"/>
      <c r="AF389" s="11"/>
      <c r="AG389" s="11"/>
      <c r="AH389" t="s" s="10">
        <v>114</v>
      </c>
      <c r="AI389" t="s" s="10">
        <v>76</v>
      </c>
      <c r="AJ389" t="s" s="10">
        <v>76</v>
      </c>
      <c r="AK389" t="s" s="10">
        <v>79</v>
      </c>
      <c r="AL389" t="s" s="10">
        <v>293</v>
      </c>
      <c r="AM389" t="s" s="10">
        <v>294</v>
      </c>
      <c r="AN389" s="11"/>
      <c r="AO389" s="18">
        <v>2</v>
      </c>
      <c r="AP389" s="18">
        <v>6144</v>
      </c>
      <c r="AQ389" s="18">
        <v>313449</v>
      </c>
      <c r="AR389" s="18">
        <v>212449</v>
      </c>
      <c r="AS389" t="s" s="10">
        <v>1361</v>
      </c>
      <c r="AT389" s="11"/>
      <c r="AU389" s="11"/>
      <c r="AV389" s="11"/>
      <c r="AW389" s="11"/>
      <c r="AX389" s="11"/>
      <c r="AY389" s="11"/>
      <c r="AZ389" s="11"/>
      <c r="BA389" s="11"/>
      <c r="BB389" s="11"/>
      <c r="BC389" s="11"/>
      <c r="BD389" t="s" s="10">
        <v>366</v>
      </c>
      <c r="BE389" t="s" s="10">
        <v>489</v>
      </c>
      <c r="BF389" s="18">
        <v>2</v>
      </c>
      <c r="BG389" s="18">
        <v>8</v>
      </c>
      <c r="BH389" s="11"/>
      <c r="BI389" s="11"/>
      <c r="BJ389" s="11"/>
      <c r="BK389" s="11"/>
      <c r="BL389" s="11"/>
      <c r="BM389" s="11"/>
      <c r="BN389" s="11"/>
      <c r="BO389" s="12"/>
      <c r="BP389" s="8"/>
    </row>
    <row r="390" ht="9" customHeight="1" hidden="1">
      <c r="A390" t="s" s="13">
        <v>1362</v>
      </c>
      <c r="B390" s="14"/>
      <c r="C390" t="str" s="14" cm="1">
        <f t="array" ref="C390">_xlfn.IFERROR((VLOOKUP(A390,#REF!,2,FALSE)),"")</f>
      </c>
      <c r="D390" s="14"/>
      <c r="E390" t="s" s="15">
        <v>1363</v>
      </c>
      <c r="F390" s="14"/>
      <c r="G390" t="s" s="15">
        <v>1364</v>
      </c>
      <c r="H390" t="s" s="15">
        <v>1365</v>
      </c>
      <c r="I390" t="s" s="15">
        <v>73</v>
      </c>
      <c r="J390" t="s" s="15">
        <v>74</v>
      </c>
      <c r="K390" t="s" s="15">
        <v>113</v>
      </c>
      <c r="L390" t="s" s="15">
        <v>1359</v>
      </c>
      <c r="M390" t="s" s="15">
        <v>1364</v>
      </c>
      <c r="N390" t="s" s="15">
        <v>1364</v>
      </c>
      <c r="O390" t="s" s="15">
        <v>71</v>
      </c>
      <c r="P390" t="s" s="15">
        <v>322</v>
      </c>
      <c r="Q390" t="s" s="15">
        <v>78</v>
      </c>
      <c r="R390" t="s" s="15">
        <v>71</v>
      </c>
      <c r="S390" s="14"/>
      <c r="T390" s="14"/>
      <c r="U390" s="14"/>
      <c r="V390" t="s" s="15">
        <v>69</v>
      </c>
      <c r="W390" t="s" s="15">
        <v>1366</v>
      </c>
      <c r="X390" t="s" s="15">
        <v>69</v>
      </c>
      <c r="Y390" s="14"/>
      <c r="Z390" t="s" s="15">
        <v>76</v>
      </c>
      <c r="AA390" s="14"/>
      <c r="AB390" t="s" s="15">
        <v>76</v>
      </c>
      <c r="AC390" s="14"/>
      <c r="AD390" s="14"/>
      <c r="AE390" s="14"/>
      <c r="AF390" s="14"/>
      <c r="AG390" s="14"/>
      <c r="AH390" t="s" s="15">
        <v>114</v>
      </c>
      <c r="AI390" t="s" s="15">
        <v>76</v>
      </c>
      <c r="AJ390" t="s" s="15">
        <v>76</v>
      </c>
      <c r="AK390" t="s" s="15">
        <v>79</v>
      </c>
      <c r="AL390" t="s" s="15">
        <v>293</v>
      </c>
      <c r="AM390" t="s" s="15">
        <v>294</v>
      </c>
      <c r="AN390" t="s" s="15">
        <v>1367</v>
      </c>
      <c r="AO390" s="17">
        <v>2</v>
      </c>
      <c r="AP390" s="17">
        <v>8192</v>
      </c>
      <c r="AQ390" s="17">
        <v>110760</v>
      </c>
      <c r="AR390" s="17">
        <v>58942</v>
      </c>
      <c r="AS390" t="s" s="15">
        <v>1368</v>
      </c>
      <c r="AT390" s="14"/>
      <c r="AU390" s="14"/>
      <c r="AV390" s="14"/>
      <c r="AW390" s="14"/>
      <c r="AX390" s="14"/>
      <c r="AY390" s="14"/>
      <c r="AZ390" s="14"/>
      <c r="BA390" s="14"/>
      <c r="BB390" s="14"/>
      <c r="BC390" s="14"/>
      <c r="BD390" t="s" s="15">
        <v>366</v>
      </c>
      <c r="BE390" t="s" s="15">
        <v>489</v>
      </c>
      <c r="BF390" s="17">
        <v>2</v>
      </c>
      <c r="BG390" s="17">
        <v>8</v>
      </c>
      <c r="BH390" s="14"/>
      <c r="BI390" s="14"/>
      <c r="BJ390" s="14"/>
      <c r="BK390" s="14"/>
      <c r="BL390" s="14"/>
      <c r="BM390" s="14"/>
      <c r="BN390" s="14"/>
      <c r="BO390" s="16"/>
      <c r="BP390" s="8"/>
    </row>
    <row r="391" ht="13.55" customHeight="1">
      <c r="A391" t="s" s="9">
        <v>1369</v>
      </c>
      <c r="B391" s="11"/>
      <c r="C391" t="str" s="11" cm="1">
        <f t="array" ref="C391">_xlfn.IFERROR((VLOOKUP(A391,#REF!,2,FALSE)),"")</f>
      </c>
      <c r="D391" s="11"/>
      <c r="E391" t="s" s="10">
        <v>1370</v>
      </c>
      <c r="F391" s="11"/>
      <c r="G391" t="s" s="10">
        <v>1371</v>
      </c>
      <c r="H391" t="s" s="10">
        <v>1372</v>
      </c>
      <c r="I391" t="s" s="10">
        <v>111</v>
      </c>
      <c r="J391" t="s" s="10">
        <v>122</v>
      </c>
      <c r="K391" t="s" s="10">
        <v>113</v>
      </c>
      <c r="L391" t="s" s="10">
        <v>518</v>
      </c>
      <c r="M391" t="s" s="10">
        <v>1371</v>
      </c>
      <c r="N391" t="s" s="10">
        <v>1371</v>
      </c>
      <c r="O391" t="s" s="10">
        <v>286</v>
      </c>
      <c r="P391" t="s" s="10">
        <v>122</v>
      </c>
      <c r="Q391" t="s" s="10">
        <v>78</v>
      </c>
      <c r="R391" t="s" s="10">
        <v>323</v>
      </c>
      <c r="S391" s="11"/>
      <c r="T391" s="11"/>
      <c r="U391" s="11"/>
      <c r="V391" t="s" s="10">
        <v>69</v>
      </c>
      <c r="W391" s="11"/>
      <c r="X391" t="s" s="10">
        <v>69</v>
      </c>
      <c r="Y391" s="11"/>
      <c r="Z391" t="s" s="10">
        <v>205</v>
      </c>
      <c r="AA391" s="11"/>
      <c r="AB391" t="s" s="10">
        <v>1184</v>
      </c>
      <c r="AC391" s="11"/>
      <c r="AD391" s="11"/>
      <c r="AE391" s="11"/>
      <c r="AF391" s="11"/>
      <c r="AG391" t="s" s="10">
        <v>299</v>
      </c>
      <c r="AH391" t="s" s="10">
        <v>114</v>
      </c>
      <c r="AI391" t="s" s="10">
        <v>440</v>
      </c>
      <c r="AJ391" t="s" s="10">
        <v>83</v>
      </c>
      <c r="AK391" t="s" s="10">
        <v>292</v>
      </c>
      <c r="AL391" t="s" s="10">
        <v>293</v>
      </c>
      <c r="AM391" t="s" s="10">
        <v>294</v>
      </c>
      <c r="AN391" t="s" s="10">
        <v>1373</v>
      </c>
      <c r="AO391" s="18">
        <v>4</v>
      </c>
      <c r="AP391" s="18">
        <v>10240</v>
      </c>
      <c r="AQ391" s="18">
        <v>855196</v>
      </c>
      <c r="AR391" s="18">
        <v>855196</v>
      </c>
      <c r="AS391" t="s" s="10">
        <v>1374</v>
      </c>
      <c r="AT391" t="s" s="10">
        <v>301</v>
      </c>
      <c r="AU391" s="11"/>
      <c r="AV391" s="11"/>
      <c r="AW391" s="11"/>
      <c r="AX391" s="11"/>
      <c r="AY391" s="11"/>
      <c r="AZ391" s="11"/>
      <c r="BA391" s="11"/>
      <c r="BB391" s="11"/>
      <c r="BC391" s="11"/>
      <c r="BD391" t="s" s="10">
        <v>310</v>
      </c>
      <c r="BE391" t="s" s="10">
        <v>394</v>
      </c>
      <c r="BF391" s="18">
        <v>4</v>
      </c>
      <c r="BG391" s="18">
        <v>16</v>
      </c>
      <c r="BH391" s="11"/>
      <c r="BI391" s="11"/>
      <c r="BJ391" s="11"/>
      <c r="BK391" s="11"/>
      <c r="BL391" s="11"/>
      <c r="BM391" s="11"/>
      <c r="BN391" t="s" s="10">
        <v>69</v>
      </c>
      <c r="BO391" s="12"/>
      <c r="BP391" s="8"/>
    </row>
    <row r="392" ht="9" customHeight="1" hidden="1">
      <c r="A392" t="s" s="13">
        <v>1375</v>
      </c>
      <c r="B392" s="14"/>
      <c r="C392" t="str" s="14" cm="1">
        <f t="array" ref="C392">_xlfn.IFERROR((VLOOKUP(A392,#REF!,2,FALSE)),"")</f>
      </c>
      <c r="D392" s="14"/>
      <c r="E392" t="s" s="15">
        <v>1376</v>
      </c>
      <c r="F392" s="14"/>
      <c r="G392" t="s" s="15">
        <v>1377</v>
      </c>
      <c r="H392" t="s" s="15">
        <v>1378</v>
      </c>
      <c r="I392" t="s" s="15">
        <v>73</v>
      </c>
      <c r="J392" t="s" s="15">
        <v>74</v>
      </c>
      <c r="K392" t="s" s="15">
        <v>113</v>
      </c>
      <c r="L392" t="s" s="15">
        <v>76</v>
      </c>
      <c r="M392" t="s" s="15">
        <v>1377</v>
      </c>
      <c r="N392" t="s" s="15">
        <v>1377</v>
      </c>
      <c r="O392" t="s" s="15">
        <v>71</v>
      </c>
      <c r="P392" t="s" s="15">
        <v>122</v>
      </c>
      <c r="Q392" t="s" s="15">
        <v>78</v>
      </c>
      <c r="R392" t="s" s="15">
        <v>71</v>
      </c>
      <c r="S392" s="14"/>
      <c r="T392" s="14"/>
      <c r="U392" s="14"/>
      <c r="V392" t="s" s="15">
        <v>69</v>
      </c>
      <c r="W392" t="s" s="15">
        <v>1379</v>
      </c>
      <c r="X392" t="s" s="15">
        <v>69</v>
      </c>
      <c r="Y392" s="14"/>
      <c r="Z392" t="s" s="15">
        <v>76</v>
      </c>
      <c r="AA392" s="14"/>
      <c r="AB392" t="s" s="15">
        <v>76</v>
      </c>
      <c r="AC392" s="14"/>
      <c r="AD392" s="14"/>
      <c r="AE392" s="14"/>
      <c r="AF392" s="14"/>
      <c r="AG392" t="s" s="15">
        <v>299</v>
      </c>
      <c r="AH392" t="s" s="15">
        <v>114</v>
      </c>
      <c r="AI392" t="s" s="15">
        <v>76</v>
      </c>
      <c r="AJ392" t="s" s="15">
        <v>76</v>
      </c>
      <c r="AK392" t="s" s="15">
        <v>79</v>
      </c>
      <c r="AL392" t="s" s="15">
        <v>293</v>
      </c>
      <c r="AM392" t="s" s="15">
        <v>294</v>
      </c>
      <c r="AN392" t="s" s="15">
        <v>1380</v>
      </c>
      <c r="AO392" s="17">
        <v>2</v>
      </c>
      <c r="AP392" s="17">
        <v>16384</v>
      </c>
      <c r="AQ392" s="17">
        <v>118891</v>
      </c>
      <c r="AR392" s="17">
        <v>60583</v>
      </c>
      <c r="AS392" t="s" s="15">
        <v>1381</v>
      </c>
      <c r="AT392" t="s" s="15">
        <v>301</v>
      </c>
      <c r="AU392" s="14"/>
      <c r="AV392" s="14"/>
      <c r="AW392" s="14"/>
      <c r="AX392" s="14"/>
      <c r="AY392" s="14"/>
      <c r="AZ392" s="14"/>
      <c r="BA392" s="14"/>
      <c r="BB392" s="14"/>
      <c r="BC392" s="14"/>
      <c r="BD392" t="s" s="15">
        <v>428</v>
      </c>
      <c r="BE392" t="s" s="15">
        <v>481</v>
      </c>
      <c r="BF392" s="17">
        <v>2</v>
      </c>
      <c r="BG392" s="17">
        <v>16</v>
      </c>
      <c r="BH392" s="14"/>
      <c r="BI392" s="14"/>
      <c r="BJ392" s="14"/>
      <c r="BK392" s="14"/>
      <c r="BL392" s="14"/>
      <c r="BM392" s="14"/>
      <c r="BN392" s="14"/>
      <c r="BO392" s="16"/>
      <c r="BP392" s="8"/>
    </row>
    <row r="393" ht="9" customHeight="1" hidden="1">
      <c r="A393" t="s" s="9">
        <v>1382</v>
      </c>
      <c r="B393" s="11"/>
      <c r="C393" t="str" s="11" cm="1">
        <f t="array" ref="C393">_xlfn.IFERROR((VLOOKUP(A393,#REF!,2,FALSE)),"")</f>
      </c>
      <c r="D393" s="11"/>
      <c r="E393" t="s" s="10">
        <v>195</v>
      </c>
      <c r="F393" s="11"/>
      <c r="G393" t="s" s="10">
        <v>1383</v>
      </c>
      <c r="H393" t="s" s="10">
        <v>1384</v>
      </c>
      <c r="I393" t="s" s="10">
        <v>73</v>
      </c>
      <c r="J393" t="s" s="10">
        <v>74</v>
      </c>
      <c r="K393" t="s" s="10">
        <v>113</v>
      </c>
      <c r="L393" t="s" s="10">
        <v>1359</v>
      </c>
      <c r="M393" t="s" s="10">
        <v>1383</v>
      </c>
      <c r="N393" t="s" s="10">
        <v>1383</v>
      </c>
      <c r="O393" t="s" s="10">
        <v>71</v>
      </c>
      <c r="P393" t="s" s="10">
        <v>452</v>
      </c>
      <c r="Q393" t="s" s="10">
        <v>78</v>
      </c>
      <c r="R393" t="s" s="10">
        <v>339</v>
      </c>
      <c r="S393" s="11"/>
      <c r="T393" s="11"/>
      <c r="U393" s="11"/>
      <c r="V393" t="s" s="10">
        <v>78</v>
      </c>
      <c r="W393" s="11"/>
      <c r="X393" t="s" s="10">
        <v>69</v>
      </c>
      <c r="Y393" s="11"/>
      <c r="Z393" t="s" s="10">
        <v>76</v>
      </c>
      <c r="AA393" s="11"/>
      <c r="AB393" t="s" s="10">
        <v>76</v>
      </c>
      <c r="AC393" s="11"/>
      <c r="AD393" s="11"/>
      <c r="AE393" s="11"/>
      <c r="AF393" s="11"/>
      <c r="AG393" s="11"/>
      <c r="AH393" t="s" s="10">
        <v>114</v>
      </c>
      <c r="AI393" t="s" s="10">
        <v>76</v>
      </c>
      <c r="AJ393" t="s" s="10">
        <v>76</v>
      </c>
      <c r="AK393" t="s" s="10">
        <v>79</v>
      </c>
      <c r="AL393" s="11"/>
      <c r="AM393" t="s" s="10">
        <v>196</v>
      </c>
      <c r="AN393" s="11"/>
      <c r="AO393" s="11"/>
      <c r="AP393" s="11"/>
      <c r="AQ393" s="11"/>
      <c r="AR393" s="11"/>
      <c r="AS393" s="11"/>
      <c r="AT393" s="11"/>
      <c r="AU393" s="11"/>
      <c r="AV393" s="11"/>
      <c r="AW393" s="11"/>
      <c r="AX393" s="11"/>
      <c r="AY393" s="11"/>
      <c r="AZ393" s="11"/>
      <c r="BA393" s="11"/>
      <c r="BB393" s="11"/>
      <c r="BC393" s="11"/>
      <c r="BD393" t="s" s="10">
        <v>118</v>
      </c>
      <c r="BE393" s="11"/>
      <c r="BF393" s="11"/>
      <c r="BG393" s="11"/>
      <c r="BH393" s="11"/>
      <c r="BI393" s="11"/>
      <c r="BJ393" s="11"/>
      <c r="BK393" s="11"/>
      <c r="BL393" s="11"/>
      <c r="BM393" s="11"/>
      <c r="BN393" s="11"/>
      <c r="BO393" s="12"/>
      <c r="BP393" s="8"/>
    </row>
    <row r="394" ht="9" customHeight="1" hidden="1">
      <c r="A394" t="s" s="13">
        <v>1385</v>
      </c>
      <c r="B394" s="14"/>
      <c r="C394" t="str" s="14" cm="1">
        <f t="array" ref="C394">_xlfn.IFERROR((VLOOKUP(A394,#REF!,2,FALSE)),"")</f>
      </c>
      <c r="D394" t="s" s="15">
        <v>70</v>
      </c>
      <c r="E394" t="s" s="15">
        <v>195</v>
      </c>
      <c r="F394" s="14"/>
      <c r="G394" t="s" s="15">
        <v>1386</v>
      </c>
      <c r="H394" t="s" s="15">
        <v>1387</v>
      </c>
      <c r="I394" t="s" s="15">
        <v>73</v>
      </c>
      <c r="J394" t="s" s="15">
        <v>74</v>
      </c>
      <c r="K394" t="s" s="15">
        <v>113</v>
      </c>
      <c r="L394" t="s" s="15">
        <v>76</v>
      </c>
      <c r="M394" t="s" s="15">
        <v>1386</v>
      </c>
      <c r="N394" t="s" s="15">
        <v>1386</v>
      </c>
      <c r="O394" t="s" s="15">
        <v>71</v>
      </c>
      <c r="P394" t="s" s="15">
        <v>452</v>
      </c>
      <c r="Q394" t="s" s="15">
        <v>78</v>
      </c>
      <c r="R394" t="s" s="15">
        <v>339</v>
      </c>
      <c r="S394" s="14"/>
      <c r="T394" s="14"/>
      <c r="U394" s="14"/>
      <c r="V394" t="s" s="15">
        <v>69</v>
      </c>
      <c r="W394" s="14"/>
      <c r="X394" t="s" s="15">
        <v>69</v>
      </c>
      <c r="Y394" s="14"/>
      <c r="Z394" t="s" s="15">
        <v>76</v>
      </c>
      <c r="AA394" s="14"/>
      <c r="AB394" t="s" s="15">
        <v>76</v>
      </c>
      <c r="AC394" s="14"/>
      <c r="AD394" s="14"/>
      <c r="AE394" s="14"/>
      <c r="AF394" s="14"/>
      <c r="AG394" s="14"/>
      <c r="AH394" t="s" s="15">
        <v>114</v>
      </c>
      <c r="AI394" t="s" s="15">
        <v>76</v>
      </c>
      <c r="AJ394" t="s" s="15">
        <v>76</v>
      </c>
      <c r="AK394" t="s" s="15">
        <v>79</v>
      </c>
      <c r="AL394" t="s" s="15">
        <v>293</v>
      </c>
      <c r="AM394" t="s" s="15">
        <v>196</v>
      </c>
      <c r="AN394" t="s" s="15">
        <v>1373</v>
      </c>
      <c r="AO394" s="17">
        <v>2</v>
      </c>
      <c r="AP394" s="17">
        <v>8192</v>
      </c>
      <c r="AQ394" s="17">
        <v>263607</v>
      </c>
      <c r="AR394" s="17">
        <v>75911</v>
      </c>
      <c r="AS394" t="s" s="15">
        <v>1388</v>
      </c>
      <c r="AT394" s="14"/>
      <c r="AU394" s="14"/>
      <c r="AV394" s="14"/>
      <c r="AW394" s="14"/>
      <c r="AX394" s="14"/>
      <c r="AY394" s="14"/>
      <c r="AZ394" s="14"/>
      <c r="BA394" s="14"/>
      <c r="BB394" s="14"/>
      <c r="BC394" s="14"/>
      <c r="BD394" t="s" s="15">
        <v>366</v>
      </c>
      <c r="BE394" t="s" s="15">
        <v>489</v>
      </c>
      <c r="BF394" s="17">
        <v>2</v>
      </c>
      <c r="BG394" s="17">
        <v>8</v>
      </c>
      <c r="BH394" s="14"/>
      <c r="BI394" s="14"/>
      <c r="BJ394" s="14"/>
      <c r="BK394" s="14"/>
      <c r="BL394" s="14"/>
      <c r="BM394" s="14"/>
      <c r="BN394" s="14"/>
      <c r="BO394" s="16"/>
      <c r="BP394" s="8"/>
    </row>
    <row r="395" ht="9" customHeight="1" hidden="1">
      <c r="A395" t="s" s="9">
        <v>1389</v>
      </c>
      <c r="B395" s="11"/>
      <c r="C395" t="str" s="11" cm="1">
        <f t="array" ref="C395">_xlfn.IFERROR((VLOOKUP(A395,#REF!,2,FALSE)),"")</f>
      </c>
      <c r="D395" s="11"/>
      <c r="E395" s="11"/>
      <c r="F395" s="11"/>
      <c r="G395" t="s" s="10">
        <v>1390</v>
      </c>
      <c r="H395" t="s" s="10">
        <v>1390</v>
      </c>
      <c r="I395" t="s" s="10">
        <v>111</v>
      </c>
      <c r="J395" t="s" s="10">
        <v>122</v>
      </c>
      <c r="K395" t="s" s="10">
        <v>113</v>
      </c>
      <c r="L395" t="s" s="10">
        <v>76</v>
      </c>
      <c r="M395" t="s" s="10">
        <v>1390</v>
      </c>
      <c r="N395" t="s" s="10">
        <v>1390</v>
      </c>
      <c r="O395" s="11"/>
      <c r="P395" t="s" s="10">
        <v>122</v>
      </c>
      <c r="Q395" t="s" s="10">
        <v>69</v>
      </c>
      <c r="R395" t="s" s="10">
        <v>323</v>
      </c>
      <c r="S395" s="11"/>
      <c r="T395" s="11"/>
      <c r="U395" s="11"/>
      <c r="V395" t="s" s="10">
        <v>69</v>
      </c>
      <c r="W395" s="11"/>
      <c r="X395" t="s" s="10">
        <v>69</v>
      </c>
      <c r="Y395" s="11"/>
      <c r="Z395" t="s" s="10">
        <v>205</v>
      </c>
      <c r="AA395" s="11"/>
      <c r="AB395" t="s" s="10">
        <v>76</v>
      </c>
      <c r="AC395" t="s" s="10">
        <v>1389</v>
      </c>
      <c r="AD395" t="s" s="10">
        <v>1391</v>
      </c>
      <c r="AE395" s="11"/>
      <c r="AF395" s="11"/>
      <c r="AG395" s="11"/>
      <c r="AH395" t="s" s="10">
        <v>114</v>
      </c>
      <c r="AI395" t="s" s="10">
        <v>76</v>
      </c>
      <c r="AJ395" t="s" s="10">
        <v>76</v>
      </c>
      <c r="AK395" t="s" s="10">
        <v>79</v>
      </c>
      <c r="AL395" t="s" s="10">
        <v>293</v>
      </c>
      <c r="AM395" t="s" s="10">
        <v>294</v>
      </c>
      <c r="AN395" t="s" s="10">
        <v>116</v>
      </c>
      <c r="AO395" s="18">
        <v>8</v>
      </c>
      <c r="AP395" s="18">
        <v>12288</v>
      </c>
      <c r="AQ395" s="18">
        <v>370797</v>
      </c>
      <c r="AR395" s="18">
        <v>370797</v>
      </c>
      <c r="AS395" t="s" s="10">
        <v>1392</v>
      </c>
      <c r="AT395" s="11"/>
      <c r="AU395" s="11"/>
      <c r="AV395" s="11"/>
      <c r="AW395" s="11"/>
      <c r="AX395" s="11"/>
      <c r="AY395" s="11"/>
      <c r="AZ395" s="11"/>
      <c r="BA395" s="11"/>
      <c r="BB395" s="11"/>
      <c r="BC395" s="11"/>
      <c r="BD395" t="s" s="10">
        <v>310</v>
      </c>
      <c r="BE395" t="s" s="10">
        <v>311</v>
      </c>
      <c r="BF395" s="18">
        <v>8</v>
      </c>
      <c r="BG395" s="18">
        <v>16</v>
      </c>
      <c r="BH395" s="11"/>
      <c r="BI395" s="11"/>
      <c r="BJ395" s="11"/>
      <c r="BK395" s="11"/>
      <c r="BL395" s="11"/>
      <c r="BM395" s="11"/>
      <c r="BN395" t="s" s="10">
        <v>69</v>
      </c>
      <c r="BO395" s="12"/>
      <c r="BP395" s="8"/>
    </row>
    <row r="396" ht="15" customHeight="1">
      <c r="A396" t="s" s="13">
        <v>1393</v>
      </c>
      <c r="B396" s="14"/>
      <c r="C396" t="str" s="14" cm="1">
        <f t="array" ref="C396">_xlfn.IFERROR((VLOOKUP(A396,#REF!,2,FALSE)),"")</f>
      </c>
      <c r="D396" s="14"/>
      <c r="E396" s="14"/>
      <c r="F396" s="14"/>
      <c r="G396" t="s" s="15">
        <v>1394</v>
      </c>
      <c r="H396" t="s" s="15">
        <v>1111</v>
      </c>
      <c r="I396" t="s" s="15">
        <v>111</v>
      </c>
      <c r="J396" t="s" s="15">
        <v>122</v>
      </c>
      <c r="K396" t="s" s="15">
        <v>113</v>
      </c>
      <c r="L396" t="s" s="15">
        <v>518</v>
      </c>
      <c r="M396" t="s" s="15">
        <v>1394</v>
      </c>
      <c r="N396" t="s" s="15">
        <v>1394</v>
      </c>
      <c r="O396" t="s" s="15">
        <v>286</v>
      </c>
      <c r="P396" t="s" s="15">
        <v>122</v>
      </c>
      <c r="Q396" t="s" s="15">
        <v>69</v>
      </c>
      <c r="R396" t="s" s="15">
        <v>323</v>
      </c>
      <c r="S396" t="s" s="15">
        <v>69</v>
      </c>
      <c r="T396" s="14"/>
      <c r="U396" s="14"/>
      <c r="V396" t="s" s="15">
        <v>69</v>
      </c>
      <c r="W396" s="14"/>
      <c r="X396" t="s" s="15">
        <v>69</v>
      </c>
      <c r="Y396" s="14"/>
      <c r="Z396" t="s" s="15">
        <v>76</v>
      </c>
      <c r="AA396" s="14"/>
      <c r="AB396" t="s" s="15">
        <v>1112</v>
      </c>
      <c r="AC396" t="s" s="15">
        <v>1393</v>
      </c>
      <c r="AD396" s="14"/>
      <c r="AE396" s="14"/>
      <c r="AF396" s="14"/>
      <c r="AG396" t="s" s="15">
        <v>299</v>
      </c>
      <c r="AH396" t="s" s="15">
        <v>114</v>
      </c>
      <c r="AI396" t="s" s="15">
        <v>440</v>
      </c>
      <c r="AJ396" s="14"/>
      <c r="AK396" t="s" s="15">
        <v>83</v>
      </c>
      <c r="AL396" t="s" s="15">
        <v>293</v>
      </c>
      <c r="AM396" t="s" s="15">
        <v>294</v>
      </c>
      <c r="AN396" t="s" s="15">
        <v>116</v>
      </c>
      <c r="AO396" s="17">
        <v>4</v>
      </c>
      <c r="AP396" s="17">
        <v>8192</v>
      </c>
      <c r="AQ396" s="17">
        <v>90575</v>
      </c>
      <c r="AR396" s="17">
        <v>90575</v>
      </c>
      <c r="AS396" t="s" s="15">
        <v>1395</v>
      </c>
      <c r="AT396" s="14"/>
      <c r="AU396" s="14"/>
      <c r="AV396" s="14"/>
      <c r="AW396" s="14"/>
      <c r="AX396" s="14"/>
      <c r="AY396" s="14"/>
      <c r="AZ396" s="14"/>
      <c r="BA396" s="14"/>
      <c r="BB396" s="14"/>
      <c r="BC396" s="14"/>
      <c r="BD396" t="s" s="15">
        <v>310</v>
      </c>
      <c r="BE396" t="s" s="15">
        <v>356</v>
      </c>
      <c r="BF396" s="17">
        <v>4</v>
      </c>
      <c r="BG396" s="17">
        <v>8</v>
      </c>
      <c r="BH396" s="14"/>
      <c r="BI396" s="14"/>
      <c r="BJ396" s="14"/>
      <c r="BK396" s="14"/>
      <c r="BL396" s="14"/>
      <c r="BM396" s="14"/>
      <c r="BN396" t="s" s="15">
        <v>69</v>
      </c>
      <c r="BO396" s="16"/>
      <c r="BP396" s="8"/>
    </row>
    <row r="397" ht="13.55" customHeight="1">
      <c r="A397" t="s" s="9">
        <v>1396</v>
      </c>
      <c r="B397" s="11"/>
      <c r="C397" t="str" s="11" cm="1">
        <f t="array" ref="C397">_xlfn.IFERROR((VLOOKUP(A397,#REF!,2,FALSE)),"")</f>
      </c>
      <c r="D397" s="11"/>
      <c r="E397" s="11"/>
      <c r="F397" s="11"/>
      <c r="G397" t="s" s="10">
        <v>1397</v>
      </c>
      <c r="H397" t="s" s="10">
        <v>1111</v>
      </c>
      <c r="I397" t="s" s="10">
        <v>111</v>
      </c>
      <c r="J397" t="s" s="10">
        <v>122</v>
      </c>
      <c r="K397" t="s" s="10">
        <v>113</v>
      </c>
      <c r="L397" t="s" s="10">
        <v>518</v>
      </c>
      <c r="M397" t="s" s="10">
        <v>1397</v>
      </c>
      <c r="N397" t="s" s="10">
        <v>1397</v>
      </c>
      <c r="O397" t="s" s="10">
        <v>286</v>
      </c>
      <c r="P397" t="s" s="10">
        <v>122</v>
      </c>
      <c r="Q397" t="s" s="10">
        <v>69</v>
      </c>
      <c r="R397" t="s" s="10">
        <v>323</v>
      </c>
      <c r="S397" t="s" s="10">
        <v>69</v>
      </c>
      <c r="T397" s="11"/>
      <c r="U397" s="11"/>
      <c r="V397" t="s" s="10">
        <v>69</v>
      </c>
      <c r="W397" s="11"/>
      <c r="X397" t="s" s="10">
        <v>69</v>
      </c>
      <c r="Y397" s="11"/>
      <c r="Z397" t="s" s="10">
        <v>76</v>
      </c>
      <c r="AA397" s="11"/>
      <c r="AB397" t="s" s="10">
        <v>1112</v>
      </c>
      <c r="AC397" t="s" s="10">
        <v>1396</v>
      </c>
      <c r="AD397" s="11"/>
      <c r="AE397" s="11"/>
      <c r="AF397" s="11"/>
      <c r="AG397" t="s" s="10">
        <v>299</v>
      </c>
      <c r="AH397" t="s" s="10">
        <v>114</v>
      </c>
      <c r="AI397" t="s" s="10">
        <v>440</v>
      </c>
      <c r="AJ397" s="11"/>
      <c r="AK397" t="s" s="10">
        <v>83</v>
      </c>
      <c r="AL397" t="s" s="10">
        <v>293</v>
      </c>
      <c r="AM397" t="s" s="10">
        <v>294</v>
      </c>
      <c r="AN397" t="s" s="10">
        <v>116</v>
      </c>
      <c r="AO397" s="18">
        <v>2</v>
      </c>
      <c r="AP397" s="18">
        <v>8192</v>
      </c>
      <c r="AQ397" s="18">
        <v>146735</v>
      </c>
      <c r="AR397" s="18">
        <v>146735</v>
      </c>
      <c r="AS397" t="s" s="10">
        <v>1398</v>
      </c>
      <c r="AT397" s="11"/>
      <c r="AU397" s="11"/>
      <c r="AV397" s="11"/>
      <c r="AW397" s="11"/>
      <c r="AX397" s="11"/>
      <c r="AY397" s="11"/>
      <c r="AZ397" s="11"/>
      <c r="BA397" s="11"/>
      <c r="BB397" s="11"/>
      <c r="BC397" s="11"/>
      <c r="BD397" t="s" s="10">
        <v>366</v>
      </c>
      <c r="BE397" t="s" s="10">
        <v>489</v>
      </c>
      <c r="BF397" s="18">
        <v>2</v>
      </c>
      <c r="BG397" s="18">
        <v>8</v>
      </c>
      <c r="BH397" s="11"/>
      <c r="BI397" s="11"/>
      <c r="BJ397" s="11"/>
      <c r="BK397" s="11"/>
      <c r="BL397" s="11"/>
      <c r="BM397" s="11"/>
      <c r="BN397" t="s" s="10">
        <v>69</v>
      </c>
      <c r="BO397" s="12"/>
      <c r="BP397" s="8"/>
    </row>
    <row r="398" ht="13.55" customHeight="1">
      <c r="A398" t="s" s="13">
        <v>1399</v>
      </c>
      <c r="B398" s="14"/>
      <c r="C398" t="str" s="14" cm="1">
        <f t="array" ref="C398">_xlfn.IFERROR((VLOOKUP(A398,#REF!,2,FALSE)),"")</f>
      </c>
      <c r="D398" s="14"/>
      <c r="E398" s="14"/>
      <c r="F398" s="14"/>
      <c r="G398" t="s" s="15">
        <v>1400</v>
      </c>
      <c r="H398" t="s" s="15">
        <v>1111</v>
      </c>
      <c r="I398" t="s" s="15">
        <v>111</v>
      </c>
      <c r="J398" t="s" s="15">
        <v>122</v>
      </c>
      <c r="K398" t="s" s="15">
        <v>113</v>
      </c>
      <c r="L398" t="s" s="15">
        <v>518</v>
      </c>
      <c r="M398" t="s" s="15">
        <v>1400</v>
      </c>
      <c r="N398" t="s" s="15">
        <v>1400</v>
      </c>
      <c r="O398" t="s" s="15">
        <v>286</v>
      </c>
      <c r="P398" t="s" s="15">
        <v>122</v>
      </c>
      <c r="Q398" t="s" s="15">
        <v>69</v>
      </c>
      <c r="R398" t="s" s="15">
        <v>323</v>
      </c>
      <c r="S398" t="s" s="15">
        <v>69</v>
      </c>
      <c r="T398" s="14"/>
      <c r="U398" s="14"/>
      <c r="V398" t="s" s="15">
        <v>69</v>
      </c>
      <c r="W398" s="14"/>
      <c r="X398" t="s" s="15">
        <v>69</v>
      </c>
      <c r="Y398" s="14"/>
      <c r="Z398" t="s" s="15">
        <v>76</v>
      </c>
      <c r="AA398" s="14"/>
      <c r="AB398" t="s" s="15">
        <v>1112</v>
      </c>
      <c r="AC398" t="s" s="15">
        <v>1399</v>
      </c>
      <c r="AD398" s="14"/>
      <c r="AE398" s="14"/>
      <c r="AF398" s="14"/>
      <c r="AG398" t="s" s="15">
        <v>299</v>
      </c>
      <c r="AH398" t="s" s="15">
        <v>114</v>
      </c>
      <c r="AI398" t="s" s="15">
        <v>440</v>
      </c>
      <c r="AJ398" s="14"/>
      <c r="AK398" t="s" s="15">
        <v>83</v>
      </c>
      <c r="AL398" t="s" s="15">
        <v>293</v>
      </c>
      <c r="AM398" t="s" s="15">
        <v>294</v>
      </c>
      <c r="AN398" t="s" s="15">
        <v>116</v>
      </c>
      <c r="AO398" s="17">
        <v>4</v>
      </c>
      <c r="AP398" s="17">
        <v>8192</v>
      </c>
      <c r="AQ398" s="17">
        <v>95575</v>
      </c>
      <c r="AR398" s="17">
        <v>95575</v>
      </c>
      <c r="AS398" t="s" s="15">
        <v>1401</v>
      </c>
      <c r="AT398" s="14"/>
      <c r="AU398" s="14"/>
      <c r="AV398" s="14"/>
      <c r="AW398" s="14"/>
      <c r="AX398" s="14"/>
      <c r="AY398" s="14"/>
      <c r="AZ398" s="14"/>
      <c r="BA398" s="14"/>
      <c r="BB398" s="14"/>
      <c r="BC398" s="14"/>
      <c r="BD398" t="s" s="15">
        <v>310</v>
      </c>
      <c r="BE398" t="s" s="15">
        <v>356</v>
      </c>
      <c r="BF398" s="17">
        <v>4</v>
      </c>
      <c r="BG398" s="17">
        <v>8</v>
      </c>
      <c r="BH398" s="14"/>
      <c r="BI398" s="14"/>
      <c r="BJ398" s="14"/>
      <c r="BK398" s="14"/>
      <c r="BL398" s="14"/>
      <c r="BM398" s="14"/>
      <c r="BN398" t="s" s="15">
        <v>69</v>
      </c>
      <c r="BO398" s="16"/>
      <c r="BP398" s="8"/>
    </row>
    <row r="399" ht="9" customHeight="1" hidden="1">
      <c r="A399" t="s" s="9">
        <v>1402</v>
      </c>
      <c r="B399" s="11"/>
      <c r="C399" t="str" s="11" cm="1">
        <f t="array" ref="C399">_xlfn.IFERROR((VLOOKUP(A399,#REF!,2,FALSE)),"")</f>
      </c>
      <c r="D399" s="11"/>
      <c r="E399" t="s" s="10">
        <v>303</v>
      </c>
      <c r="F399" s="11"/>
      <c r="G399" t="s" s="10">
        <v>1403</v>
      </c>
      <c r="H399" t="s" s="10">
        <v>468</v>
      </c>
      <c r="I399" t="s" s="10">
        <v>73</v>
      </c>
      <c r="J399" t="s" s="10">
        <v>74</v>
      </c>
      <c r="K399" t="s" s="10">
        <v>113</v>
      </c>
      <c r="L399" t="s" s="10">
        <v>470</v>
      </c>
      <c r="M399" t="s" s="10">
        <v>1403</v>
      </c>
      <c r="N399" t="s" s="10">
        <v>1403</v>
      </c>
      <c r="O399" t="s" s="10">
        <v>71</v>
      </c>
      <c r="P399" t="s" s="10">
        <v>74</v>
      </c>
      <c r="Q399" t="s" s="10">
        <v>78</v>
      </c>
      <c r="R399" t="s" s="10">
        <v>323</v>
      </c>
      <c r="S399" s="11"/>
      <c r="T399" s="11"/>
      <c r="U399" s="11"/>
      <c r="V399" t="s" s="10">
        <v>78</v>
      </c>
      <c r="W399" t="s" s="10">
        <v>1402</v>
      </c>
      <c r="X399" t="s" s="10">
        <v>69</v>
      </c>
      <c r="Y399" s="11"/>
      <c r="Z399" t="s" s="10">
        <v>471</v>
      </c>
      <c r="AA399" s="11"/>
      <c r="AB399" t="s" s="10">
        <v>472</v>
      </c>
      <c r="AC399" s="11"/>
      <c r="AD399" s="11"/>
      <c r="AE399" s="11"/>
      <c r="AF399" t="s" s="10">
        <v>468</v>
      </c>
      <c r="AG399" s="11"/>
      <c r="AH399" t="s" s="10">
        <v>114</v>
      </c>
      <c r="AI399" t="s" s="10">
        <v>76</v>
      </c>
      <c r="AJ399" t="s" s="10">
        <v>76</v>
      </c>
      <c r="AK399" t="s" s="10">
        <v>79</v>
      </c>
      <c r="AL399" s="11"/>
      <c r="AM399" s="11"/>
      <c r="AN399" s="11"/>
      <c r="AO399" s="11"/>
      <c r="AP399" s="11"/>
      <c r="AQ399" s="11"/>
      <c r="AR399" s="11"/>
      <c r="AS399" s="11"/>
      <c r="AT399" s="11"/>
      <c r="AU399" s="11"/>
      <c r="AV399" s="11"/>
      <c r="AW399" s="11"/>
      <c r="AX399" s="11"/>
      <c r="AY399" s="11"/>
      <c r="AZ399" s="11"/>
      <c r="BA399" s="11"/>
      <c r="BB399" s="11"/>
      <c r="BC399" s="11"/>
      <c r="BD399" t="s" s="10">
        <v>118</v>
      </c>
      <c r="BE399" s="11"/>
      <c r="BF399" s="11"/>
      <c r="BG399" s="11"/>
      <c r="BH399" s="11"/>
      <c r="BI399" s="11"/>
      <c r="BJ399" s="11"/>
      <c r="BK399" s="11"/>
      <c r="BL399" s="11"/>
      <c r="BM399" s="11"/>
      <c r="BN399" s="11"/>
      <c r="BO399" s="12"/>
      <c r="BP399" s="8"/>
    </row>
    <row r="400" ht="9" customHeight="1" hidden="1">
      <c r="A400" t="s" s="13">
        <v>1404</v>
      </c>
      <c r="B400" t="s" s="15">
        <v>69</v>
      </c>
      <c r="C400" t="str" s="14" cm="1">
        <f t="array" ref="C400">_xlfn.IFERROR((VLOOKUP(A400,#REF!,2,FALSE)),"")</f>
      </c>
      <c r="D400" s="14"/>
      <c r="E400" s="14"/>
      <c r="F400" s="14"/>
      <c r="G400" t="s" s="15">
        <v>1405</v>
      </c>
      <c r="H400" t="s" s="15">
        <v>1406</v>
      </c>
      <c r="I400" t="s" s="15">
        <v>271</v>
      </c>
      <c r="J400" t="s" s="15">
        <v>74</v>
      </c>
      <c r="K400" t="s" s="15">
        <v>113</v>
      </c>
      <c r="L400" t="s" s="15">
        <v>76</v>
      </c>
      <c r="M400" t="s" s="15">
        <v>1405</v>
      </c>
      <c r="N400" t="s" s="15">
        <v>1405</v>
      </c>
      <c r="O400" s="14"/>
      <c r="P400" t="s" s="15">
        <v>74</v>
      </c>
      <c r="Q400" t="s" s="15">
        <v>78</v>
      </c>
      <c r="R400" t="s" s="15">
        <v>83</v>
      </c>
      <c r="S400" s="14"/>
      <c r="T400" s="14"/>
      <c r="U400" s="14"/>
      <c r="V400" t="s" s="15">
        <v>78</v>
      </c>
      <c r="W400" s="14"/>
      <c r="X400" t="s" s="15">
        <v>69</v>
      </c>
      <c r="Y400" s="14"/>
      <c r="Z400" t="s" s="15">
        <v>205</v>
      </c>
      <c r="AA400" s="14"/>
      <c r="AB400" t="s" s="15">
        <v>76</v>
      </c>
      <c r="AC400" s="14"/>
      <c r="AD400" s="14"/>
      <c r="AE400" s="14"/>
      <c r="AF400" s="14"/>
      <c r="AG400" s="14"/>
      <c r="AH400" s="14"/>
      <c r="AI400" t="s" s="15">
        <v>76</v>
      </c>
      <c r="AJ400" t="s" s="15">
        <v>76</v>
      </c>
      <c r="AK400" t="s" s="15">
        <v>79</v>
      </c>
      <c r="AL400" s="14"/>
      <c r="AM400" s="14"/>
      <c r="AN400" s="14"/>
      <c r="AO400" s="14"/>
      <c r="AP400" s="14"/>
      <c r="AQ400" s="14"/>
      <c r="AR400" s="14"/>
      <c r="AS400" s="14"/>
      <c r="AT400" s="14"/>
      <c r="AU400" s="14"/>
      <c r="AV400" s="14"/>
      <c r="AW400" s="14"/>
      <c r="AX400" s="14"/>
      <c r="AY400" s="14"/>
      <c r="AZ400" s="14"/>
      <c r="BA400" s="14"/>
      <c r="BB400" s="14"/>
      <c r="BC400" s="14"/>
      <c r="BD400" t="s" s="15">
        <v>310</v>
      </c>
      <c r="BE400" t="s" s="24">
        <v>419</v>
      </c>
      <c r="BF400" s="20"/>
      <c r="BG400" s="20"/>
      <c r="BH400" s="14"/>
      <c r="BI400" s="14"/>
      <c r="BJ400" s="14"/>
      <c r="BK400" s="14"/>
      <c r="BL400" s="14"/>
      <c r="BM400" s="14"/>
      <c r="BN400" t="s" s="15">
        <v>78</v>
      </c>
      <c r="BO400" s="16"/>
      <c r="BP400" s="8"/>
    </row>
    <row r="401" ht="9" customHeight="1" hidden="1">
      <c r="A401" t="s" s="9">
        <v>1407</v>
      </c>
      <c r="B401" s="11"/>
      <c r="C401" t="str" s="11" cm="1">
        <f t="array" ref="C401">_xlfn.IFERROR((VLOOKUP(A401,#REF!,2,FALSE)),"")</f>
      </c>
      <c r="D401" s="11"/>
      <c r="E401" t="s" s="10">
        <v>195</v>
      </c>
      <c r="F401" s="11"/>
      <c r="G401" t="s" s="10">
        <v>1408</v>
      </c>
      <c r="H401" t="s" s="10">
        <v>1409</v>
      </c>
      <c r="I401" t="s" s="10">
        <v>73</v>
      </c>
      <c r="J401" t="s" s="10">
        <v>74</v>
      </c>
      <c r="K401" t="s" s="10">
        <v>113</v>
      </c>
      <c r="L401" t="s" s="10">
        <v>76</v>
      </c>
      <c r="M401" t="s" s="10">
        <v>1408</v>
      </c>
      <c r="N401" t="s" s="10">
        <v>1408</v>
      </c>
      <c r="O401" t="s" s="10">
        <v>71</v>
      </c>
      <c r="P401" t="s" s="10">
        <v>322</v>
      </c>
      <c r="Q401" t="s" s="10">
        <v>69</v>
      </c>
      <c r="R401" t="s" s="10">
        <v>339</v>
      </c>
      <c r="S401" s="11"/>
      <c r="T401" s="11"/>
      <c r="U401" s="11"/>
      <c r="V401" t="s" s="10">
        <v>69</v>
      </c>
      <c r="W401" s="11"/>
      <c r="X401" t="s" s="10">
        <v>69</v>
      </c>
      <c r="Y401" s="11"/>
      <c r="Z401" t="s" s="10">
        <v>205</v>
      </c>
      <c r="AA401" s="11"/>
      <c r="AB401" t="s" s="10">
        <v>76</v>
      </c>
      <c r="AC401" t="s" s="10">
        <v>1407</v>
      </c>
      <c r="AD401" t="s" s="10">
        <v>1410</v>
      </c>
      <c r="AE401" s="11"/>
      <c r="AF401" s="11"/>
      <c r="AG401" s="11"/>
      <c r="AH401" t="s" s="10">
        <v>114</v>
      </c>
      <c r="AI401" t="s" s="10">
        <v>76</v>
      </c>
      <c r="AJ401" t="s" s="10">
        <v>76</v>
      </c>
      <c r="AK401" t="s" s="10">
        <v>79</v>
      </c>
      <c r="AL401" t="s" s="10">
        <v>293</v>
      </c>
      <c r="AM401" t="s" s="10">
        <v>196</v>
      </c>
      <c r="AN401" t="s" s="10">
        <v>116</v>
      </c>
      <c r="AO401" s="18">
        <v>4</v>
      </c>
      <c r="AP401" s="18">
        <v>8192</v>
      </c>
      <c r="AQ401" s="18">
        <v>284793</v>
      </c>
      <c r="AR401" s="18">
        <v>284793</v>
      </c>
      <c r="AS401" t="s" s="10">
        <v>1411</v>
      </c>
      <c r="AT401" s="11"/>
      <c r="AU401" s="11"/>
      <c r="AV401" s="11"/>
      <c r="AW401" s="11"/>
      <c r="AX401" s="11"/>
      <c r="AY401" s="11"/>
      <c r="AZ401" s="11"/>
      <c r="BA401" s="11"/>
      <c r="BB401" s="11"/>
      <c r="BC401" s="11"/>
      <c r="BD401" t="s" s="10">
        <v>310</v>
      </c>
      <c r="BE401" t="s" s="10">
        <v>356</v>
      </c>
      <c r="BF401" s="18">
        <v>4</v>
      </c>
      <c r="BG401" s="18">
        <v>8</v>
      </c>
      <c r="BH401" s="11"/>
      <c r="BI401" s="11"/>
      <c r="BJ401" s="11"/>
      <c r="BK401" s="11"/>
      <c r="BL401" s="11"/>
      <c r="BM401" s="11"/>
      <c r="BN401" s="11"/>
      <c r="BO401" s="12"/>
      <c r="BP401" s="8"/>
    </row>
    <row r="402" ht="9" customHeight="1" hidden="1">
      <c r="A402" t="s" s="13">
        <v>1412</v>
      </c>
      <c r="B402" t="s" s="15">
        <v>69</v>
      </c>
      <c r="C402" t="str" s="14" cm="1">
        <f t="array" ref="C402">_xlfn.IFERROR((VLOOKUP(A402,#REF!,2,FALSE)),"")</f>
      </c>
      <c r="D402" s="14"/>
      <c r="E402" t="s" s="15">
        <v>303</v>
      </c>
      <c r="F402" s="14"/>
      <c r="G402" t="s" s="15">
        <v>1413</v>
      </c>
      <c r="H402" t="s" s="15">
        <v>1414</v>
      </c>
      <c r="I402" t="s" s="15">
        <v>73</v>
      </c>
      <c r="J402" t="s" s="15">
        <v>74</v>
      </c>
      <c r="K402" t="s" s="15">
        <v>351</v>
      </c>
      <c r="L402" t="s" s="15">
        <v>76</v>
      </c>
      <c r="M402" t="s" s="15">
        <v>1413</v>
      </c>
      <c r="N402" t="s" s="15">
        <v>1413</v>
      </c>
      <c r="O402" t="s" s="15">
        <v>71</v>
      </c>
      <c r="P402" t="s" s="15">
        <v>74</v>
      </c>
      <c r="Q402" t="s" s="15">
        <v>78</v>
      </c>
      <c r="R402" t="s" s="15">
        <v>323</v>
      </c>
      <c r="S402" s="14"/>
      <c r="T402" s="14"/>
      <c r="U402" s="14"/>
      <c r="V402" t="s" s="15">
        <v>78</v>
      </c>
      <c r="W402" t="s" s="15">
        <v>1412</v>
      </c>
      <c r="X402" t="s" s="15">
        <v>69</v>
      </c>
      <c r="Y402" s="14"/>
      <c r="Z402" t="s" s="15">
        <v>76</v>
      </c>
      <c r="AA402" s="14"/>
      <c r="AB402" t="s" s="15">
        <v>76</v>
      </c>
      <c r="AC402" s="14"/>
      <c r="AD402" s="14"/>
      <c r="AE402" s="14"/>
      <c r="AF402" s="14"/>
      <c r="AG402" s="14"/>
      <c r="AH402" t="s" s="15">
        <v>114</v>
      </c>
      <c r="AI402" t="s" s="15">
        <v>76</v>
      </c>
      <c r="AJ402" t="s" s="15">
        <v>76</v>
      </c>
      <c r="AK402" t="s" s="15">
        <v>79</v>
      </c>
      <c r="AL402" s="14"/>
      <c r="AM402" s="14"/>
      <c r="AN402" s="14"/>
      <c r="AO402" s="14"/>
      <c r="AP402" s="14"/>
      <c r="AQ402" s="14"/>
      <c r="AR402" s="14"/>
      <c r="AS402" s="14"/>
      <c r="AT402" s="14"/>
      <c r="AU402" s="14"/>
      <c r="AV402" s="14"/>
      <c r="AW402" s="14"/>
      <c r="AX402" s="14"/>
      <c r="AY402" s="14"/>
      <c r="AZ402" s="14"/>
      <c r="BA402" s="14"/>
      <c r="BB402" s="14"/>
      <c r="BC402" s="14"/>
      <c r="BD402" t="s" s="15">
        <v>118</v>
      </c>
      <c r="BE402" s="14"/>
      <c r="BF402" s="14"/>
      <c r="BG402" s="14"/>
      <c r="BH402" s="14"/>
      <c r="BI402" s="14"/>
      <c r="BJ402" s="14"/>
      <c r="BK402" s="14"/>
      <c r="BL402" s="14"/>
      <c r="BM402" s="14"/>
      <c r="BN402" s="14"/>
      <c r="BO402" s="16"/>
      <c r="BP402" s="8"/>
    </row>
    <row r="403" ht="9" customHeight="1" hidden="1">
      <c r="A403" t="s" s="9">
        <v>1415</v>
      </c>
      <c r="B403" s="11"/>
      <c r="C403" t="str" s="11" cm="1">
        <f t="array" ref="C403">_xlfn.IFERROR((VLOOKUP(A403,#REF!,2,FALSE)),"")</f>
      </c>
      <c r="D403" s="11"/>
      <c r="E403" s="11"/>
      <c r="F403" s="11"/>
      <c r="G403" t="s" s="10">
        <v>1416</v>
      </c>
      <c r="H403" t="s" s="10">
        <v>714</v>
      </c>
      <c r="I403" t="s" s="10">
        <v>111</v>
      </c>
      <c r="J403" t="s" s="10">
        <v>112</v>
      </c>
      <c r="K403" t="s" s="10">
        <v>113</v>
      </c>
      <c r="L403" t="s" s="10">
        <v>76</v>
      </c>
      <c r="M403" t="s" s="10">
        <v>1416</v>
      </c>
      <c r="N403" t="s" s="10">
        <v>1416</v>
      </c>
      <c r="O403" t="s" s="10">
        <v>346</v>
      </c>
      <c r="P403" t="s" s="10">
        <v>112</v>
      </c>
      <c r="Q403" t="s" s="10">
        <v>69</v>
      </c>
      <c r="R403" t="s" s="10">
        <v>716</v>
      </c>
      <c r="S403" s="11"/>
      <c r="T403" s="11"/>
      <c r="U403" s="11"/>
      <c r="V403" t="s" s="10">
        <v>69</v>
      </c>
      <c r="W403" s="11"/>
      <c r="X403" t="s" s="10">
        <v>69</v>
      </c>
      <c r="Y403" s="11"/>
      <c r="Z403" t="s" s="10">
        <v>76</v>
      </c>
      <c r="AA403" s="11"/>
      <c r="AB403" t="s" s="10">
        <v>76</v>
      </c>
      <c r="AC403" t="s" s="10">
        <v>1415</v>
      </c>
      <c r="AD403" t="s" s="10">
        <v>1417</v>
      </c>
      <c r="AE403" s="11"/>
      <c r="AF403" s="11"/>
      <c r="AG403" t="s" s="10">
        <v>299</v>
      </c>
      <c r="AH403" t="s" s="10">
        <v>114</v>
      </c>
      <c r="AI403" t="s" s="10">
        <v>717</v>
      </c>
      <c r="AJ403" s="11"/>
      <c r="AK403" t="s" s="10">
        <v>83</v>
      </c>
      <c r="AL403" t="s" s="10">
        <v>293</v>
      </c>
      <c r="AM403" t="s" s="10">
        <v>294</v>
      </c>
      <c r="AN403" t="s" s="10">
        <v>1418</v>
      </c>
      <c r="AO403" s="18">
        <v>4</v>
      </c>
      <c r="AP403" s="18">
        <v>16384</v>
      </c>
      <c r="AQ403" s="18">
        <v>221347</v>
      </c>
      <c r="AR403" s="18">
        <v>155712</v>
      </c>
      <c r="AS403" t="s" s="10">
        <v>1419</v>
      </c>
      <c r="AT403" t="s" s="10">
        <v>301</v>
      </c>
      <c r="AU403" s="11"/>
      <c r="AV403" s="11"/>
      <c r="AW403" s="11"/>
      <c r="AX403" s="11"/>
      <c r="AY403" s="11"/>
      <c r="AZ403" s="11"/>
      <c r="BA403" s="11"/>
      <c r="BB403" s="11"/>
      <c r="BC403" s="11"/>
      <c r="BD403" t="s" s="10">
        <v>366</v>
      </c>
      <c r="BE403" t="s" s="10">
        <v>394</v>
      </c>
      <c r="BF403" s="18">
        <v>4</v>
      </c>
      <c r="BG403" s="18">
        <v>16</v>
      </c>
      <c r="BH403" s="11"/>
      <c r="BI403" s="11"/>
      <c r="BJ403" s="11"/>
      <c r="BK403" s="11"/>
      <c r="BL403" s="11"/>
      <c r="BM403" s="11"/>
      <c r="BN403" t="s" s="10">
        <v>78</v>
      </c>
      <c r="BO403" s="12"/>
      <c r="BP403" s="8"/>
    </row>
    <row r="404" ht="13.55" customHeight="1">
      <c r="A404" t="s" s="13">
        <v>1420</v>
      </c>
      <c r="B404" s="14"/>
      <c r="C404" t="str" s="14" cm="1">
        <f t="array" ref="C404">_xlfn.IFERROR((VLOOKUP(A404,#REF!,2,FALSE)),"")</f>
      </c>
      <c r="D404" s="14"/>
      <c r="E404" t="s" s="15">
        <v>1421</v>
      </c>
      <c r="F404" s="14"/>
      <c r="G404" t="s" s="15">
        <v>1422</v>
      </c>
      <c r="H404" t="s" s="15">
        <v>329</v>
      </c>
      <c r="I404" t="s" s="15">
        <v>111</v>
      </c>
      <c r="J404" t="s" s="15">
        <v>122</v>
      </c>
      <c r="K404" t="s" s="15">
        <v>210</v>
      </c>
      <c r="L404" t="s" s="15">
        <v>76</v>
      </c>
      <c r="M404" t="s" s="15">
        <v>1422</v>
      </c>
      <c r="N404" t="s" s="15">
        <v>1422</v>
      </c>
      <c r="O404" t="s" s="15">
        <v>286</v>
      </c>
      <c r="P404" t="s" s="15">
        <v>122</v>
      </c>
      <c r="Q404" t="s" s="15">
        <v>69</v>
      </c>
      <c r="R404" t="s" s="15">
        <v>323</v>
      </c>
      <c r="S404" s="14"/>
      <c r="T404" s="14"/>
      <c r="U404" s="14"/>
      <c r="V404" t="s" s="15">
        <v>69</v>
      </c>
      <c r="W404" s="14"/>
      <c r="X404" t="s" s="15">
        <v>69</v>
      </c>
      <c r="Y404" s="14"/>
      <c r="Z404" t="s" s="15">
        <v>205</v>
      </c>
      <c r="AA404" s="14"/>
      <c r="AB404" t="s" s="15">
        <v>330</v>
      </c>
      <c r="AC404" t="s" s="15">
        <v>1420</v>
      </c>
      <c r="AD404" t="s" s="15">
        <v>1423</v>
      </c>
      <c r="AE404" s="14"/>
      <c r="AF404" t="s" s="15">
        <v>329</v>
      </c>
      <c r="AG404" t="s" s="15">
        <v>299</v>
      </c>
      <c r="AH404" t="s" s="15">
        <v>114</v>
      </c>
      <c r="AI404" t="s" s="15">
        <v>332</v>
      </c>
      <c r="AJ404" t="s" s="15">
        <v>333</v>
      </c>
      <c r="AK404" t="s" s="15">
        <v>83</v>
      </c>
      <c r="AL404" t="s" s="15">
        <v>293</v>
      </c>
      <c r="AM404" t="s" s="15">
        <v>294</v>
      </c>
      <c r="AN404" t="s" s="15">
        <v>187</v>
      </c>
      <c r="AO404" s="17">
        <v>8</v>
      </c>
      <c r="AP404" s="17">
        <v>32768</v>
      </c>
      <c r="AQ404" s="17">
        <v>1210723</v>
      </c>
      <c r="AR404" s="17">
        <v>1210723</v>
      </c>
      <c r="AS404" t="s" s="15">
        <v>1424</v>
      </c>
      <c r="AT404" t="s" s="15">
        <v>301</v>
      </c>
      <c r="AU404" s="14"/>
      <c r="AV404" s="14"/>
      <c r="AW404" s="14"/>
      <c r="AX404" s="14"/>
      <c r="AY404" s="14"/>
      <c r="AZ404" s="14"/>
      <c r="BA404" s="14"/>
      <c r="BB404" s="14"/>
      <c r="BC404" s="14"/>
      <c r="BD404" t="s" s="15">
        <v>366</v>
      </c>
      <c r="BE404" t="s" s="15">
        <v>367</v>
      </c>
      <c r="BF404" s="17">
        <v>8</v>
      </c>
      <c r="BG404" s="17">
        <v>32</v>
      </c>
      <c r="BH404" s="14"/>
      <c r="BI404" s="14"/>
      <c r="BJ404" s="14"/>
      <c r="BK404" s="14"/>
      <c r="BL404" s="14"/>
      <c r="BM404" s="14"/>
      <c r="BN404" t="s" s="15">
        <v>69</v>
      </c>
      <c r="BO404" s="16"/>
      <c r="BP404" s="8"/>
    </row>
    <row r="405" ht="15" customHeight="1">
      <c r="A405" t="s" s="9">
        <v>1425</v>
      </c>
      <c r="B405" s="11"/>
      <c r="C405" t="str" s="11" cm="1">
        <f t="array" ref="C405">_xlfn.IFERROR((VLOOKUP(A405,#REF!,2,FALSE)),"")</f>
      </c>
      <c r="D405" s="11"/>
      <c r="E405" t="s" s="10">
        <v>1421</v>
      </c>
      <c r="F405" s="11"/>
      <c r="G405" t="s" s="10">
        <v>1426</v>
      </c>
      <c r="H405" t="s" s="10">
        <v>329</v>
      </c>
      <c r="I405" t="s" s="10">
        <v>111</v>
      </c>
      <c r="J405" t="s" s="10">
        <v>122</v>
      </c>
      <c r="K405" t="s" s="10">
        <v>210</v>
      </c>
      <c r="L405" t="s" s="10">
        <v>76</v>
      </c>
      <c r="M405" t="s" s="10">
        <v>1426</v>
      </c>
      <c r="N405" t="s" s="10">
        <v>1426</v>
      </c>
      <c r="O405" t="s" s="10">
        <v>286</v>
      </c>
      <c r="P405" t="s" s="10">
        <v>122</v>
      </c>
      <c r="Q405" t="s" s="10">
        <v>69</v>
      </c>
      <c r="R405" t="s" s="10">
        <v>323</v>
      </c>
      <c r="S405" s="11"/>
      <c r="T405" s="11"/>
      <c r="U405" s="11"/>
      <c r="V405" t="s" s="10">
        <v>69</v>
      </c>
      <c r="W405" s="11"/>
      <c r="X405" t="s" s="10">
        <v>69</v>
      </c>
      <c r="Y405" s="11"/>
      <c r="Z405" t="s" s="10">
        <v>205</v>
      </c>
      <c r="AA405" s="11"/>
      <c r="AB405" t="s" s="10">
        <v>330</v>
      </c>
      <c r="AC405" t="s" s="10">
        <v>1425</v>
      </c>
      <c r="AD405" t="s" s="10">
        <v>1427</v>
      </c>
      <c r="AE405" s="11"/>
      <c r="AF405" t="s" s="10">
        <v>329</v>
      </c>
      <c r="AG405" t="s" s="10">
        <v>299</v>
      </c>
      <c r="AH405" t="s" s="10">
        <v>114</v>
      </c>
      <c r="AI405" t="s" s="10">
        <v>332</v>
      </c>
      <c r="AJ405" t="s" s="10">
        <v>333</v>
      </c>
      <c r="AK405" t="s" s="10">
        <v>83</v>
      </c>
      <c r="AL405" t="s" s="10">
        <v>293</v>
      </c>
      <c r="AM405" t="s" s="10">
        <v>294</v>
      </c>
      <c r="AN405" t="s" s="10">
        <v>187</v>
      </c>
      <c r="AO405" s="18">
        <v>8</v>
      </c>
      <c r="AP405" s="18">
        <v>16384</v>
      </c>
      <c r="AQ405" s="18">
        <v>344340</v>
      </c>
      <c r="AR405" s="18">
        <v>344340</v>
      </c>
      <c r="AS405" t="s" s="10">
        <v>1428</v>
      </c>
      <c r="AT405" t="s" s="10">
        <v>301</v>
      </c>
      <c r="AU405" s="11"/>
      <c r="AV405" s="11"/>
      <c r="AW405" s="11"/>
      <c r="AX405" s="11"/>
      <c r="AY405" s="11"/>
      <c r="AZ405" s="11"/>
      <c r="BA405" s="11"/>
      <c r="BB405" s="11"/>
      <c r="BC405" s="11"/>
      <c r="BD405" t="s" s="10">
        <v>310</v>
      </c>
      <c r="BE405" t="s" s="10">
        <v>311</v>
      </c>
      <c r="BF405" s="18">
        <v>8</v>
      </c>
      <c r="BG405" s="18">
        <v>16</v>
      </c>
      <c r="BH405" s="11"/>
      <c r="BI405" s="11"/>
      <c r="BJ405" s="11"/>
      <c r="BK405" s="11"/>
      <c r="BL405" s="11"/>
      <c r="BM405" s="11"/>
      <c r="BN405" t="s" s="10">
        <v>69</v>
      </c>
      <c r="BO405" s="12"/>
      <c r="BP405" s="8"/>
    </row>
    <row r="406" ht="15" customHeight="1">
      <c r="A406" t="s" s="13">
        <v>1429</v>
      </c>
      <c r="B406" s="14"/>
      <c r="C406" t="str" s="14" cm="1">
        <f t="array" ref="C406">_xlfn.IFERROR((VLOOKUP(A406,#REF!,2,FALSE)),"")</f>
      </c>
      <c r="D406" s="14"/>
      <c r="E406" t="s" s="15">
        <v>1421</v>
      </c>
      <c r="F406" s="14"/>
      <c r="G406" t="s" s="15">
        <v>1430</v>
      </c>
      <c r="H406" t="s" s="15">
        <v>329</v>
      </c>
      <c r="I406" t="s" s="15">
        <v>111</v>
      </c>
      <c r="J406" t="s" s="15">
        <v>122</v>
      </c>
      <c r="K406" t="s" s="15">
        <v>210</v>
      </c>
      <c r="L406" t="s" s="15">
        <v>76</v>
      </c>
      <c r="M406" t="s" s="15">
        <v>1430</v>
      </c>
      <c r="N406" t="s" s="15">
        <v>1430</v>
      </c>
      <c r="O406" t="s" s="15">
        <v>286</v>
      </c>
      <c r="P406" t="s" s="15">
        <v>122</v>
      </c>
      <c r="Q406" t="s" s="15">
        <v>69</v>
      </c>
      <c r="R406" t="s" s="15">
        <v>323</v>
      </c>
      <c r="S406" s="14"/>
      <c r="T406" s="14"/>
      <c r="U406" s="14"/>
      <c r="V406" t="s" s="15">
        <v>69</v>
      </c>
      <c r="W406" s="14"/>
      <c r="X406" t="s" s="15">
        <v>69</v>
      </c>
      <c r="Y406" s="14"/>
      <c r="Z406" t="s" s="15">
        <v>205</v>
      </c>
      <c r="AA406" s="14"/>
      <c r="AB406" t="s" s="15">
        <v>330</v>
      </c>
      <c r="AC406" t="s" s="15">
        <v>1429</v>
      </c>
      <c r="AD406" t="s" s="15">
        <v>1431</v>
      </c>
      <c r="AE406" s="14"/>
      <c r="AF406" t="s" s="15">
        <v>329</v>
      </c>
      <c r="AG406" t="s" s="15">
        <v>299</v>
      </c>
      <c r="AH406" t="s" s="15">
        <v>114</v>
      </c>
      <c r="AI406" t="s" s="15">
        <v>332</v>
      </c>
      <c r="AJ406" t="s" s="15">
        <v>333</v>
      </c>
      <c r="AK406" t="s" s="15">
        <v>83</v>
      </c>
      <c r="AL406" t="s" s="15">
        <v>293</v>
      </c>
      <c r="AM406" t="s" s="15">
        <v>294</v>
      </c>
      <c r="AN406" t="s" s="15">
        <v>187</v>
      </c>
      <c r="AO406" s="17">
        <v>8</v>
      </c>
      <c r="AP406" s="17">
        <v>16384</v>
      </c>
      <c r="AQ406" s="17">
        <v>344183</v>
      </c>
      <c r="AR406" s="17">
        <v>344183</v>
      </c>
      <c r="AS406" t="s" s="15">
        <v>1432</v>
      </c>
      <c r="AT406" t="s" s="15">
        <v>301</v>
      </c>
      <c r="AU406" s="14"/>
      <c r="AV406" s="14"/>
      <c r="AW406" s="14"/>
      <c r="AX406" s="14"/>
      <c r="AY406" s="14"/>
      <c r="AZ406" s="14"/>
      <c r="BA406" s="14"/>
      <c r="BB406" s="14"/>
      <c r="BC406" s="14"/>
      <c r="BD406" t="s" s="15">
        <v>310</v>
      </c>
      <c r="BE406" t="s" s="15">
        <v>311</v>
      </c>
      <c r="BF406" s="17">
        <v>8</v>
      </c>
      <c r="BG406" s="17">
        <v>16</v>
      </c>
      <c r="BH406" s="14"/>
      <c r="BI406" s="14"/>
      <c r="BJ406" s="14"/>
      <c r="BK406" s="14"/>
      <c r="BL406" s="14"/>
      <c r="BM406" s="14"/>
      <c r="BN406" t="s" s="15">
        <v>69</v>
      </c>
      <c r="BO406" s="16"/>
      <c r="BP406" s="8"/>
    </row>
    <row r="407" ht="15" customHeight="1">
      <c r="A407" t="s" s="9">
        <v>1433</v>
      </c>
      <c r="B407" s="11"/>
      <c r="C407" t="str" s="11" cm="1">
        <f t="array" ref="C407">_xlfn.IFERROR((VLOOKUP(A407,#REF!,2,FALSE)),"")</f>
      </c>
      <c r="D407" s="11"/>
      <c r="E407" s="11"/>
      <c r="F407" s="11"/>
      <c r="G407" t="s" s="10">
        <v>1434</v>
      </c>
      <c r="H407" t="s" s="10">
        <v>714</v>
      </c>
      <c r="I407" t="s" s="10">
        <v>111</v>
      </c>
      <c r="J407" t="s" s="10">
        <v>112</v>
      </c>
      <c r="K407" t="s" s="10">
        <v>113</v>
      </c>
      <c r="L407" t="s" s="10">
        <v>76</v>
      </c>
      <c r="M407" t="s" s="10">
        <v>1434</v>
      </c>
      <c r="N407" t="s" s="10">
        <v>1434</v>
      </c>
      <c r="O407" t="s" s="10">
        <v>346</v>
      </c>
      <c r="P407" t="s" s="10">
        <v>112</v>
      </c>
      <c r="Q407" t="s" s="10">
        <v>69</v>
      </c>
      <c r="R407" t="s" s="10">
        <v>83</v>
      </c>
      <c r="S407" s="11"/>
      <c r="T407" s="11"/>
      <c r="U407" s="11"/>
      <c r="V407" t="s" s="10">
        <v>69</v>
      </c>
      <c r="W407" s="11"/>
      <c r="X407" t="s" s="10">
        <v>69</v>
      </c>
      <c r="Y407" s="11"/>
      <c r="Z407" t="s" s="10">
        <v>76</v>
      </c>
      <c r="AA407" s="11"/>
      <c r="AB407" t="s" s="10">
        <v>76</v>
      </c>
      <c r="AC407" t="s" s="10">
        <v>1433</v>
      </c>
      <c r="AD407" s="11"/>
      <c r="AE407" s="11"/>
      <c r="AF407" t="s" s="10">
        <v>1435</v>
      </c>
      <c r="AG407" t="s" s="10">
        <v>299</v>
      </c>
      <c r="AH407" t="s" s="10">
        <v>114</v>
      </c>
      <c r="AI407" t="s" s="10">
        <v>332</v>
      </c>
      <c r="AJ407" t="s" s="10">
        <v>798</v>
      </c>
      <c r="AK407" t="s" s="10">
        <v>83</v>
      </c>
      <c r="AL407" t="s" s="10">
        <v>293</v>
      </c>
      <c r="AM407" t="s" s="10">
        <v>294</v>
      </c>
      <c r="AN407" t="s" s="10">
        <v>187</v>
      </c>
      <c r="AO407" s="18">
        <v>4</v>
      </c>
      <c r="AP407" s="18">
        <v>8192</v>
      </c>
      <c r="AQ407" s="18">
        <v>213101</v>
      </c>
      <c r="AR407" s="18">
        <v>213101</v>
      </c>
      <c r="AS407" t="s" s="10">
        <v>1436</v>
      </c>
      <c r="AT407" t="s" s="10">
        <v>301</v>
      </c>
      <c r="AU407" s="11"/>
      <c r="AV407" s="11"/>
      <c r="AW407" s="11"/>
      <c r="AX407" s="11"/>
      <c r="AY407" s="11"/>
      <c r="AZ407" s="11"/>
      <c r="BA407" s="11"/>
      <c r="BB407" s="11"/>
      <c r="BC407" s="11"/>
      <c r="BD407" t="s" s="10">
        <v>310</v>
      </c>
      <c r="BE407" t="s" s="10">
        <v>356</v>
      </c>
      <c r="BF407" s="18">
        <v>4</v>
      </c>
      <c r="BG407" s="18">
        <v>8</v>
      </c>
      <c r="BH407" s="11"/>
      <c r="BI407" s="11"/>
      <c r="BJ407" s="11"/>
      <c r="BK407" s="11"/>
      <c r="BL407" s="11"/>
      <c r="BM407" s="11"/>
      <c r="BN407" t="s" s="10">
        <v>69</v>
      </c>
      <c r="BO407" s="12"/>
      <c r="BP407" s="8"/>
    </row>
    <row r="408" ht="9" customHeight="1" hidden="1">
      <c r="A408" t="s" s="13">
        <v>1437</v>
      </c>
      <c r="B408" s="14"/>
      <c r="C408" t="str" s="14" cm="1">
        <f t="array" ref="C408">_xlfn.IFERROR((VLOOKUP(A408,#REF!,2,FALSE)),"")</f>
      </c>
      <c r="D408" s="14"/>
      <c r="E408" s="14"/>
      <c r="F408" s="14"/>
      <c r="G408" t="s" s="15">
        <v>1438</v>
      </c>
      <c r="H408" t="s" s="15">
        <v>714</v>
      </c>
      <c r="I408" t="s" s="15">
        <v>111</v>
      </c>
      <c r="J408" t="s" s="15">
        <v>322</v>
      </c>
      <c r="K408" t="s" s="15">
        <v>113</v>
      </c>
      <c r="L408" t="s" s="15">
        <v>76</v>
      </c>
      <c r="M408" t="s" s="15">
        <v>1438</v>
      </c>
      <c r="N408" t="s" s="15">
        <v>1438</v>
      </c>
      <c r="O408" t="s" s="15">
        <v>322</v>
      </c>
      <c r="P408" t="s" s="15">
        <v>322</v>
      </c>
      <c r="Q408" t="s" s="15">
        <v>69</v>
      </c>
      <c r="R408" t="s" s="15">
        <v>716</v>
      </c>
      <c r="S408" s="14"/>
      <c r="T408" s="14"/>
      <c r="U408" s="14"/>
      <c r="V408" t="s" s="15">
        <v>69</v>
      </c>
      <c r="W408" s="14"/>
      <c r="X408" t="s" s="15">
        <v>69</v>
      </c>
      <c r="Y408" s="14"/>
      <c r="Z408" t="s" s="15">
        <v>76</v>
      </c>
      <c r="AA408" s="14"/>
      <c r="AB408" t="s" s="15">
        <v>76</v>
      </c>
      <c r="AC408" t="s" s="15">
        <v>1437</v>
      </c>
      <c r="AD408" t="s" s="15">
        <v>1439</v>
      </c>
      <c r="AE408" s="14"/>
      <c r="AF408" s="14"/>
      <c r="AG408" t="s" s="15">
        <v>299</v>
      </c>
      <c r="AH408" t="s" s="15">
        <v>114</v>
      </c>
      <c r="AI408" t="s" s="15">
        <v>717</v>
      </c>
      <c r="AJ408" s="14"/>
      <c r="AK408" t="s" s="15">
        <v>83</v>
      </c>
      <c r="AL408" t="s" s="15">
        <v>293</v>
      </c>
      <c r="AM408" t="s" s="15">
        <v>294</v>
      </c>
      <c r="AN408" t="s" s="15">
        <v>187</v>
      </c>
      <c r="AO408" s="17">
        <v>4</v>
      </c>
      <c r="AP408" s="17">
        <v>16384</v>
      </c>
      <c r="AQ408" s="17">
        <v>221333</v>
      </c>
      <c r="AR408" s="17">
        <v>186767</v>
      </c>
      <c r="AS408" t="s" s="15">
        <v>1440</v>
      </c>
      <c r="AT408" t="s" s="15">
        <v>301</v>
      </c>
      <c r="AU408" s="14"/>
      <c r="AV408" s="14"/>
      <c r="AW408" s="14"/>
      <c r="AX408" s="14"/>
      <c r="AY408" s="14"/>
      <c r="AZ408" s="14"/>
      <c r="BA408" s="14"/>
      <c r="BB408" s="14"/>
      <c r="BC408" s="14"/>
      <c r="BD408" t="s" s="15">
        <v>366</v>
      </c>
      <c r="BE408" t="s" s="15">
        <v>394</v>
      </c>
      <c r="BF408" s="17">
        <v>4</v>
      </c>
      <c r="BG408" s="17">
        <v>16</v>
      </c>
      <c r="BH408" s="14"/>
      <c r="BI408" s="14"/>
      <c r="BJ408" s="14"/>
      <c r="BK408" s="14"/>
      <c r="BL408" s="14"/>
      <c r="BM408" s="14"/>
      <c r="BN408" t="s" s="15">
        <v>78</v>
      </c>
      <c r="BO408" s="16"/>
      <c r="BP408" s="8"/>
    </row>
    <row r="409" ht="13.55" customHeight="1">
      <c r="A409" t="s" s="9">
        <v>1441</v>
      </c>
      <c r="B409" s="11"/>
      <c r="C409" t="str" s="11" cm="1">
        <f t="array" ref="C409">_xlfn.IFERROR((VLOOKUP(A409,#REF!,2,FALSE)),"")</f>
      </c>
      <c r="D409" s="11"/>
      <c r="E409" t="s" s="10">
        <v>1442</v>
      </c>
      <c r="F409" s="11"/>
      <c r="G409" t="s" s="10">
        <v>1443</v>
      </c>
      <c r="H409" t="s" s="10">
        <v>1444</v>
      </c>
      <c r="I409" t="s" s="10">
        <v>111</v>
      </c>
      <c r="J409" t="s" s="10">
        <v>122</v>
      </c>
      <c r="K409" t="s" s="10">
        <v>113</v>
      </c>
      <c r="L409" t="s" s="10">
        <v>1445</v>
      </c>
      <c r="M409" t="s" s="10">
        <v>1443</v>
      </c>
      <c r="N409" t="s" s="10">
        <v>1443</v>
      </c>
      <c r="O409" t="s" s="10">
        <v>286</v>
      </c>
      <c r="P409" t="s" s="10">
        <v>122</v>
      </c>
      <c r="Q409" t="s" s="10">
        <v>69</v>
      </c>
      <c r="R409" t="s" s="10">
        <v>323</v>
      </c>
      <c r="S409" s="11"/>
      <c r="T409" s="11"/>
      <c r="U409" s="11"/>
      <c r="V409" t="s" s="10">
        <v>69</v>
      </c>
      <c r="W409" s="11"/>
      <c r="X409" t="s" s="10">
        <v>69</v>
      </c>
      <c r="Y409" s="11"/>
      <c r="Z409" t="s" s="10">
        <v>436</v>
      </c>
      <c r="AA409" s="11"/>
      <c r="AB409" t="s" s="10">
        <v>1446</v>
      </c>
      <c r="AC409" t="s" s="10">
        <v>1441</v>
      </c>
      <c r="AD409" t="s" s="10">
        <v>1447</v>
      </c>
      <c r="AE409" s="11"/>
      <c r="AF409" s="11"/>
      <c r="AG409" t="s" s="10">
        <v>299</v>
      </c>
      <c r="AH409" t="s" s="10">
        <v>114</v>
      </c>
      <c r="AI409" t="s" s="10">
        <v>440</v>
      </c>
      <c r="AJ409" s="11"/>
      <c r="AK409" t="s" s="10">
        <v>83</v>
      </c>
      <c r="AL409" t="s" s="10">
        <v>293</v>
      </c>
      <c r="AM409" t="s" s="10">
        <v>294</v>
      </c>
      <c r="AN409" t="s" s="10">
        <v>334</v>
      </c>
      <c r="AO409" s="18">
        <v>2</v>
      </c>
      <c r="AP409" s="18">
        <v>4096</v>
      </c>
      <c r="AQ409" s="18">
        <v>311387</v>
      </c>
      <c r="AR409" s="18">
        <v>311387</v>
      </c>
      <c r="AS409" t="s" s="10">
        <v>1448</v>
      </c>
      <c r="AT409" t="s" s="10">
        <v>301</v>
      </c>
      <c r="AU409" s="11"/>
      <c r="AV409" s="11"/>
      <c r="AW409" s="11"/>
      <c r="AX409" s="11"/>
      <c r="AY409" s="11"/>
      <c r="AZ409" s="11"/>
      <c r="BA409" s="11"/>
      <c r="BB409" s="11"/>
      <c r="BC409" s="11"/>
      <c r="BD409" t="s" s="10">
        <v>310</v>
      </c>
      <c r="BE409" t="s" s="10">
        <v>419</v>
      </c>
      <c r="BF409" s="18">
        <v>2</v>
      </c>
      <c r="BG409" s="18">
        <v>4</v>
      </c>
      <c r="BH409" s="11"/>
      <c r="BI409" s="11"/>
      <c r="BJ409" s="11"/>
      <c r="BK409" s="11"/>
      <c r="BL409" s="11"/>
      <c r="BM409" s="11"/>
      <c r="BN409" t="s" s="10">
        <v>69</v>
      </c>
      <c r="BO409" s="12"/>
      <c r="BP409" s="8"/>
    </row>
    <row r="410" ht="13.55" customHeight="1">
      <c r="A410" t="s" s="13">
        <v>1449</v>
      </c>
      <c r="B410" s="14"/>
      <c r="C410" t="str" s="14" cm="1">
        <f t="array" ref="C410">_xlfn.IFERROR((VLOOKUP(A410,#REF!,2,FALSE)),"")</f>
      </c>
      <c r="D410" s="14"/>
      <c r="E410" t="s" s="15">
        <v>1442</v>
      </c>
      <c r="F410" s="14"/>
      <c r="G410" t="s" s="15">
        <v>1450</v>
      </c>
      <c r="H410" t="s" s="15">
        <v>1444</v>
      </c>
      <c r="I410" t="s" s="15">
        <v>111</v>
      </c>
      <c r="J410" t="s" s="15">
        <v>122</v>
      </c>
      <c r="K410" t="s" s="15">
        <v>113</v>
      </c>
      <c r="L410" t="s" s="15">
        <v>1445</v>
      </c>
      <c r="M410" t="s" s="15">
        <v>1450</v>
      </c>
      <c r="N410" t="s" s="15">
        <v>1450</v>
      </c>
      <c r="O410" t="s" s="15">
        <v>286</v>
      </c>
      <c r="P410" t="s" s="15">
        <v>122</v>
      </c>
      <c r="Q410" t="s" s="15">
        <v>69</v>
      </c>
      <c r="R410" t="s" s="15">
        <v>323</v>
      </c>
      <c r="S410" s="14"/>
      <c r="T410" s="14"/>
      <c r="U410" s="14"/>
      <c r="V410" t="s" s="15">
        <v>69</v>
      </c>
      <c r="W410" s="14"/>
      <c r="X410" t="s" s="15">
        <v>69</v>
      </c>
      <c r="Y410" s="14"/>
      <c r="Z410" t="s" s="15">
        <v>436</v>
      </c>
      <c r="AA410" s="14"/>
      <c r="AB410" t="s" s="15">
        <v>1446</v>
      </c>
      <c r="AC410" t="s" s="15">
        <v>1449</v>
      </c>
      <c r="AD410" t="s" s="15">
        <v>1451</v>
      </c>
      <c r="AE410" s="14"/>
      <c r="AF410" s="14"/>
      <c r="AG410" t="s" s="15">
        <v>299</v>
      </c>
      <c r="AH410" t="s" s="15">
        <v>114</v>
      </c>
      <c r="AI410" t="s" s="15">
        <v>440</v>
      </c>
      <c r="AJ410" s="14"/>
      <c r="AK410" t="s" s="15">
        <v>83</v>
      </c>
      <c r="AL410" t="s" s="15">
        <v>293</v>
      </c>
      <c r="AM410" t="s" s="15">
        <v>294</v>
      </c>
      <c r="AN410" t="s" s="15">
        <v>334</v>
      </c>
      <c r="AO410" s="17">
        <v>2</v>
      </c>
      <c r="AP410" s="17">
        <v>4096</v>
      </c>
      <c r="AQ410" s="17">
        <v>311389</v>
      </c>
      <c r="AR410" s="17">
        <v>311389</v>
      </c>
      <c r="AS410" t="s" s="15">
        <v>1452</v>
      </c>
      <c r="AT410" t="s" s="15">
        <v>301</v>
      </c>
      <c r="AU410" s="14"/>
      <c r="AV410" s="14"/>
      <c r="AW410" s="14"/>
      <c r="AX410" s="14"/>
      <c r="AY410" s="14"/>
      <c r="AZ410" s="14"/>
      <c r="BA410" s="14"/>
      <c r="BB410" s="14"/>
      <c r="BC410" s="14"/>
      <c r="BD410" t="s" s="15">
        <v>310</v>
      </c>
      <c r="BE410" t="s" s="15">
        <v>419</v>
      </c>
      <c r="BF410" s="17">
        <v>2</v>
      </c>
      <c r="BG410" s="17">
        <v>4</v>
      </c>
      <c r="BH410" s="14"/>
      <c r="BI410" s="14"/>
      <c r="BJ410" s="14"/>
      <c r="BK410" s="14"/>
      <c r="BL410" s="14"/>
      <c r="BM410" s="14"/>
      <c r="BN410" t="s" s="15">
        <v>69</v>
      </c>
      <c r="BO410" s="16"/>
      <c r="BP410" s="8"/>
    </row>
    <row r="411" ht="15" customHeight="1">
      <c r="A411" t="s" s="9">
        <v>1453</v>
      </c>
      <c r="B411" s="11"/>
      <c r="C411" t="str" s="11" cm="1">
        <f t="array" ref="C411">_xlfn.IFERROR((VLOOKUP(A411,#REF!,2,FALSE)),"")</f>
      </c>
      <c r="D411" s="11"/>
      <c r="E411" t="s" s="10">
        <v>1442</v>
      </c>
      <c r="F411" s="11"/>
      <c r="G411" t="s" s="10">
        <v>1454</v>
      </c>
      <c r="H411" t="s" s="10">
        <v>1444</v>
      </c>
      <c r="I411" t="s" s="10">
        <v>111</v>
      </c>
      <c r="J411" t="s" s="10">
        <v>122</v>
      </c>
      <c r="K411" t="s" s="10">
        <v>113</v>
      </c>
      <c r="L411" t="s" s="10">
        <v>1445</v>
      </c>
      <c r="M411" t="s" s="10">
        <v>1454</v>
      </c>
      <c r="N411" t="s" s="10">
        <v>1454</v>
      </c>
      <c r="O411" t="s" s="10">
        <v>286</v>
      </c>
      <c r="P411" t="s" s="10">
        <v>122</v>
      </c>
      <c r="Q411" t="s" s="10">
        <v>69</v>
      </c>
      <c r="R411" t="s" s="10">
        <v>323</v>
      </c>
      <c r="S411" s="11"/>
      <c r="T411" s="11"/>
      <c r="U411" s="11"/>
      <c r="V411" t="s" s="10">
        <v>69</v>
      </c>
      <c r="W411" s="11"/>
      <c r="X411" t="s" s="10">
        <v>69</v>
      </c>
      <c r="Y411" s="11"/>
      <c r="Z411" t="s" s="10">
        <v>436</v>
      </c>
      <c r="AA411" s="11"/>
      <c r="AB411" t="s" s="10">
        <v>1446</v>
      </c>
      <c r="AC411" t="s" s="10">
        <v>1453</v>
      </c>
      <c r="AD411" t="s" s="10">
        <v>1455</v>
      </c>
      <c r="AE411" s="11"/>
      <c r="AF411" s="11"/>
      <c r="AG411" t="s" s="10">
        <v>299</v>
      </c>
      <c r="AH411" t="s" s="10">
        <v>114</v>
      </c>
      <c r="AI411" t="s" s="10">
        <v>440</v>
      </c>
      <c r="AJ411" s="11"/>
      <c r="AK411" t="s" s="10">
        <v>83</v>
      </c>
      <c r="AL411" t="s" s="10">
        <v>293</v>
      </c>
      <c r="AM411" t="s" s="10">
        <v>294</v>
      </c>
      <c r="AN411" t="s" s="10">
        <v>334</v>
      </c>
      <c r="AO411" s="18">
        <v>2</v>
      </c>
      <c r="AP411" s="18">
        <v>4096</v>
      </c>
      <c r="AQ411" s="18">
        <v>362587</v>
      </c>
      <c r="AR411" s="18">
        <v>362587</v>
      </c>
      <c r="AS411" t="s" s="10">
        <v>1456</v>
      </c>
      <c r="AT411" t="s" s="10">
        <v>301</v>
      </c>
      <c r="AU411" s="11"/>
      <c r="AV411" s="11"/>
      <c r="AW411" s="11"/>
      <c r="AX411" s="11"/>
      <c r="AY411" s="11"/>
      <c r="AZ411" s="11"/>
      <c r="BA411" s="11"/>
      <c r="BB411" s="11"/>
      <c r="BC411" s="11"/>
      <c r="BD411" t="s" s="10">
        <v>310</v>
      </c>
      <c r="BE411" t="s" s="10">
        <v>419</v>
      </c>
      <c r="BF411" s="18">
        <v>2</v>
      </c>
      <c r="BG411" s="18">
        <v>4</v>
      </c>
      <c r="BH411" s="11"/>
      <c r="BI411" s="11"/>
      <c r="BJ411" s="11"/>
      <c r="BK411" s="11"/>
      <c r="BL411" s="11"/>
      <c r="BM411" s="11"/>
      <c r="BN411" t="s" s="10">
        <v>69</v>
      </c>
      <c r="BO411" s="12"/>
      <c r="BP411" s="8"/>
    </row>
    <row r="412" ht="9" customHeight="1" hidden="1">
      <c r="A412" t="s" s="13">
        <v>1457</v>
      </c>
      <c r="B412" s="14"/>
      <c r="C412" t="str" s="14" cm="1">
        <f t="array" ref="C412">_xlfn.IFERROR((VLOOKUP(A412,#REF!,2,FALSE)),"")</f>
      </c>
      <c r="D412" t="s" s="15">
        <v>70</v>
      </c>
      <c r="E412" t="s" s="15">
        <v>1458</v>
      </c>
      <c r="F412" s="14"/>
      <c r="G412" t="s" s="15">
        <v>1459</v>
      </c>
      <c r="H412" t="s" s="15">
        <v>1459</v>
      </c>
      <c r="I412" t="s" s="15">
        <v>111</v>
      </c>
      <c r="J412" t="s" s="15">
        <v>122</v>
      </c>
      <c r="K412" t="s" s="15">
        <v>105</v>
      </c>
      <c r="L412" t="s" s="15">
        <v>76</v>
      </c>
      <c r="M412" t="s" s="15">
        <v>1459</v>
      </c>
      <c r="N412" t="s" s="15">
        <v>1459</v>
      </c>
      <c r="O412" t="s" s="15">
        <v>286</v>
      </c>
      <c r="P412" t="s" s="15">
        <v>122</v>
      </c>
      <c r="Q412" t="s" s="15">
        <v>69</v>
      </c>
      <c r="R412" t="s" s="15">
        <v>83</v>
      </c>
      <c r="S412" s="14"/>
      <c r="T412" s="14"/>
      <c r="U412" s="14"/>
      <c r="V412" t="s" s="15">
        <v>69</v>
      </c>
      <c r="W412" s="14"/>
      <c r="X412" t="s" s="15">
        <v>69</v>
      </c>
      <c r="Y412" s="14"/>
      <c r="Z412" t="s" s="15">
        <v>76</v>
      </c>
      <c r="AA412" s="14"/>
      <c r="AB412" t="s" s="15">
        <v>76</v>
      </c>
      <c r="AC412" t="s" s="15">
        <v>1457</v>
      </c>
      <c r="AD412" t="s" s="15">
        <v>1460</v>
      </c>
      <c r="AE412" s="14"/>
      <c r="AF412" s="14"/>
      <c r="AG412" t="s" s="15">
        <v>299</v>
      </c>
      <c r="AH412" t="s" s="15">
        <v>114</v>
      </c>
      <c r="AI412" t="s" s="15">
        <v>76</v>
      </c>
      <c r="AJ412" t="s" s="15">
        <v>76</v>
      </c>
      <c r="AK412" t="s" s="15">
        <v>79</v>
      </c>
      <c r="AL412" t="s" s="15">
        <v>293</v>
      </c>
      <c r="AM412" t="s" s="15">
        <v>294</v>
      </c>
      <c r="AN412" t="s" s="15">
        <v>116</v>
      </c>
      <c r="AO412" s="17">
        <v>4</v>
      </c>
      <c r="AP412" s="17">
        <v>4096</v>
      </c>
      <c r="AQ412" s="17">
        <v>157793</v>
      </c>
      <c r="AR412" s="17">
        <v>157793</v>
      </c>
      <c r="AS412" t="s" s="15">
        <v>1461</v>
      </c>
      <c r="AT412" t="s" s="15">
        <v>301</v>
      </c>
      <c r="AU412" s="14"/>
      <c r="AV412" s="14"/>
      <c r="AW412" s="14"/>
      <c r="AX412" s="14"/>
      <c r="AY412" s="14"/>
      <c r="AZ412" s="14"/>
      <c r="BA412" s="14"/>
      <c r="BB412" s="14"/>
      <c r="BC412" s="14"/>
      <c r="BD412" t="s" s="15">
        <v>310</v>
      </c>
      <c r="BE412" t="s" s="15">
        <v>356</v>
      </c>
      <c r="BF412" s="17">
        <v>4</v>
      </c>
      <c r="BG412" s="17">
        <v>8</v>
      </c>
      <c r="BH412" s="14"/>
      <c r="BI412" s="14"/>
      <c r="BJ412" s="14"/>
      <c r="BK412" s="14"/>
      <c r="BL412" s="14"/>
      <c r="BM412" s="14"/>
      <c r="BN412" t="s" s="15">
        <v>69</v>
      </c>
      <c r="BO412" s="16"/>
      <c r="BP412" s="8"/>
    </row>
    <row r="413" ht="13.55" customHeight="1">
      <c r="A413" t="s" s="9">
        <v>1462</v>
      </c>
      <c r="B413" s="11"/>
      <c r="C413" t="str" s="11" cm="1">
        <f t="array" ref="C413">_xlfn.IFERROR((VLOOKUP(A413,#REF!,2,FALSE)),"")</f>
      </c>
      <c r="D413" s="11"/>
      <c r="E413" s="11"/>
      <c r="F413" s="11"/>
      <c r="G413" t="s" s="10">
        <v>1463</v>
      </c>
      <c r="H413" t="s" s="10">
        <v>1464</v>
      </c>
      <c r="I413" t="s" s="10">
        <v>111</v>
      </c>
      <c r="J413" t="s" s="10">
        <v>122</v>
      </c>
      <c r="K413" t="s" s="10">
        <v>113</v>
      </c>
      <c r="L413" t="s" s="10">
        <v>1465</v>
      </c>
      <c r="M413" t="s" s="10">
        <v>1466</v>
      </c>
      <c r="N413" t="s" s="10">
        <v>1466</v>
      </c>
      <c r="O413" t="s" s="10">
        <v>286</v>
      </c>
      <c r="P413" t="s" s="10">
        <v>122</v>
      </c>
      <c r="Q413" t="s" s="10">
        <v>69</v>
      </c>
      <c r="R413" t="s" s="10">
        <v>83</v>
      </c>
      <c r="S413" s="11"/>
      <c r="T413" s="11"/>
      <c r="U413" s="11"/>
      <c r="V413" t="s" s="10">
        <v>69</v>
      </c>
      <c r="W413" s="11"/>
      <c r="X413" t="s" s="10">
        <v>69</v>
      </c>
      <c r="Y413" s="11"/>
      <c r="Z413" t="s" s="10">
        <v>1467</v>
      </c>
      <c r="AA413" s="11"/>
      <c r="AB413" t="s" s="10">
        <v>1468</v>
      </c>
      <c r="AC413" t="s" s="10">
        <v>1462</v>
      </c>
      <c r="AD413" t="s" s="10">
        <v>1469</v>
      </c>
      <c r="AE413" s="11"/>
      <c r="AF413" s="11"/>
      <c r="AG413" t="s" s="10">
        <v>299</v>
      </c>
      <c r="AH413" t="s" s="10">
        <v>114</v>
      </c>
      <c r="AI413" t="s" s="10">
        <v>440</v>
      </c>
      <c r="AJ413" s="11"/>
      <c r="AK413" t="s" s="10">
        <v>83</v>
      </c>
      <c r="AL413" t="s" s="10">
        <v>293</v>
      </c>
      <c r="AM413" t="s" s="10">
        <v>294</v>
      </c>
      <c r="AN413" t="s" s="10">
        <v>187</v>
      </c>
      <c r="AO413" s="18">
        <v>2</v>
      </c>
      <c r="AP413" s="18">
        <v>8192</v>
      </c>
      <c r="AQ413" s="18">
        <v>595653</v>
      </c>
      <c r="AR413" s="18">
        <v>256972</v>
      </c>
      <c r="AS413" t="s" s="10">
        <v>1470</v>
      </c>
      <c r="AT413" t="s" s="10">
        <v>301</v>
      </c>
      <c r="AU413" s="11"/>
      <c r="AV413" s="11"/>
      <c r="AW413" s="11"/>
      <c r="AX413" s="11"/>
      <c r="AY413" s="11"/>
      <c r="AZ413" s="11"/>
      <c r="BA413" s="11"/>
      <c r="BB413" s="11"/>
      <c r="BC413" s="11"/>
      <c r="BD413" t="s" s="10">
        <v>366</v>
      </c>
      <c r="BE413" t="s" s="10">
        <v>489</v>
      </c>
      <c r="BF413" s="18">
        <v>2</v>
      </c>
      <c r="BG413" s="18">
        <v>8</v>
      </c>
      <c r="BH413" s="11"/>
      <c r="BI413" s="11"/>
      <c r="BJ413" s="11"/>
      <c r="BK413" s="11"/>
      <c r="BL413" s="11"/>
      <c r="BM413" s="11"/>
      <c r="BN413" t="s" s="10">
        <v>69</v>
      </c>
      <c r="BO413" s="12"/>
      <c r="BP413" s="8"/>
    </row>
    <row r="414" ht="9" customHeight="1" hidden="1">
      <c r="A414" t="s" s="13">
        <v>1471</v>
      </c>
      <c r="B414" s="14"/>
      <c r="C414" t="str" s="14" cm="1">
        <f t="array" ref="C414">_xlfn.IFERROR((VLOOKUP(A414,#REF!,2,FALSE)),"")</f>
      </c>
      <c r="D414" s="14"/>
      <c r="E414" t="s" s="15">
        <v>1472</v>
      </c>
      <c r="F414" s="14"/>
      <c r="G414" t="s" s="15">
        <v>1473</v>
      </c>
      <c r="H414" t="s" s="15">
        <v>1474</v>
      </c>
      <c r="I414" t="s" s="15">
        <v>111</v>
      </c>
      <c r="J414" t="s" s="15">
        <v>322</v>
      </c>
      <c r="K414" t="s" s="15">
        <v>113</v>
      </c>
      <c r="L414" t="s" s="15">
        <v>1465</v>
      </c>
      <c r="M414" t="s" s="15">
        <v>1473</v>
      </c>
      <c r="N414" t="s" s="15">
        <v>1473</v>
      </c>
      <c r="O414" t="s" s="15">
        <v>322</v>
      </c>
      <c r="P414" t="s" s="15">
        <v>322</v>
      </c>
      <c r="Q414" t="s" s="15">
        <v>69</v>
      </c>
      <c r="R414" t="s" s="15">
        <v>83</v>
      </c>
      <c r="S414" s="14"/>
      <c r="T414" s="14"/>
      <c r="U414" s="14"/>
      <c r="V414" t="s" s="15">
        <v>69</v>
      </c>
      <c r="W414" s="14"/>
      <c r="X414" t="s" s="15">
        <v>69</v>
      </c>
      <c r="Y414" s="14"/>
      <c r="Z414" t="s" s="15">
        <v>1467</v>
      </c>
      <c r="AA414" s="14"/>
      <c r="AB414" t="s" s="15">
        <v>1468</v>
      </c>
      <c r="AC414" t="s" s="15">
        <v>1471</v>
      </c>
      <c r="AD414" t="s" s="15">
        <v>1475</v>
      </c>
      <c r="AE414" s="14"/>
      <c r="AF414" t="s" s="15">
        <v>1476</v>
      </c>
      <c r="AG414" t="s" s="15">
        <v>299</v>
      </c>
      <c r="AH414" t="s" s="15">
        <v>114</v>
      </c>
      <c r="AI414" t="s" s="15">
        <v>332</v>
      </c>
      <c r="AJ414" t="s" s="15">
        <v>405</v>
      </c>
      <c r="AK414" t="s" s="15">
        <v>83</v>
      </c>
      <c r="AL414" t="s" s="15">
        <v>293</v>
      </c>
      <c r="AM414" t="s" s="15">
        <v>294</v>
      </c>
      <c r="AN414" t="s" s="15">
        <v>1418</v>
      </c>
      <c r="AO414" s="17">
        <v>4</v>
      </c>
      <c r="AP414" s="17">
        <v>8192</v>
      </c>
      <c r="AQ414" s="17">
        <v>562132</v>
      </c>
      <c r="AR414" s="17">
        <v>393158</v>
      </c>
      <c r="AS414" t="s" s="15">
        <v>1477</v>
      </c>
      <c r="AT414" t="s" s="15">
        <v>301</v>
      </c>
      <c r="AU414" s="14"/>
      <c r="AV414" s="14"/>
      <c r="AW414" s="14"/>
      <c r="AX414" s="14"/>
      <c r="AY414" s="14"/>
      <c r="AZ414" s="14"/>
      <c r="BA414" s="14"/>
      <c r="BB414" s="14"/>
      <c r="BC414" s="14"/>
      <c r="BD414" t="s" s="15">
        <v>310</v>
      </c>
      <c r="BE414" t="s" s="15">
        <v>356</v>
      </c>
      <c r="BF414" s="17">
        <v>4</v>
      </c>
      <c r="BG414" s="17">
        <v>8</v>
      </c>
      <c r="BH414" s="14"/>
      <c r="BI414" s="14"/>
      <c r="BJ414" s="14"/>
      <c r="BK414" s="14"/>
      <c r="BL414" s="14"/>
      <c r="BM414" s="14"/>
      <c r="BN414" t="s" s="15">
        <v>78</v>
      </c>
      <c r="BO414" s="16"/>
      <c r="BP414" s="8"/>
    </row>
    <row r="415" ht="15" customHeight="1" hidden="1">
      <c r="A415" t="s" s="9">
        <v>1478</v>
      </c>
      <c r="B415" s="11"/>
      <c r="C415" t="str" s="11" cm="1">
        <f t="array" ref="C415">_xlfn.IFERROR((VLOOKUP(A415,#REF!,2,FALSE)),"")</f>
      </c>
      <c r="D415" s="11"/>
      <c r="E415" t="s" s="10">
        <v>1472</v>
      </c>
      <c r="F415" s="11"/>
      <c r="G415" t="s" s="10">
        <v>1479</v>
      </c>
      <c r="H415" t="s" s="10">
        <v>1474</v>
      </c>
      <c r="I415" t="s" s="10">
        <v>111</v>
      </c>
      <c r="J415" t="s" s="10">
        <v>112</v>
      </c>
      <c r="K415" t="s" s="10">
        <v>113</v>
      </c>
      <c r="L415" t="s" s="10">
        <v>1465</v>
      </c>
      <c r="M415" t="s" s="10">
        <v>1479</v>
      </c>
      <c r="N415" t="s" s="10">
        <v>1479</v>
      </c>
      <c r="O415" t="s" s="10">
        <v>346</v>
      </c>
      <c r="P415" t="s" s="10">
        <v>112</v>
      </c>
      <c r="Q415" t="s" s="10">
        <v>69</v>
      </c>
      <c r="R415" t="s" s="10">
        <v>83</v>
      </c>
      <c r="S415" s="11"/>
      <c r="T415" s="11"/>
      <c r="U415" s="11"/>
      <c r="V415" t="s" s="10">
        <v>69</v>
      </c>
      <c r="W415" s="11"/>
      <c r="X415" t="s" s="10">
        <v>69</v>
      </c>
      <c r="Y415" s="11"/>
      <c r="Z415" t="s" s="10">
        <v>1467</v>
      </c>
      <c r="AA415" s="11"/>
      <c r="AB415" t="s" s="10">
        <v>1468</v>
      </c>
      <c r="AC415" t="s" s="10">
        <v>1478</v>
      </c>
      <c r="AD415" t="s" s="10">
        <v>1480</v>
      </c>
      <c r="AE415" s="11"/>
      <c r="AF415" t="s" s="10">
        <v>1476</v>
      </c>
      <c r="AG415" t="s" s="10">
        <v>299</v>
      </c>
      <c r="AH415" t="s" s="10">
        <v>114</v>
      </c>
      <c r="AI415" t="s" s="10">
        <v>332</v>
      </c>
      <c r="AJ415" t="s" s="10">
        <v>405</v>
      </c>
      <c r="AK415" t="s" s="10">
        <v>83</v>
      </c>
      <c r="AL415" t="s" s="10">
        <v>293</v>
      </c>
      <c r="AM415" t="s" s="10">
        <v>294</v>
      </c>
      <c r="AN415" t="s" s="10">
        <v>1418</v>
      </c>
      <c r="AO415" s="18">
        <v>4</v>
      </c>
      <c r="AP415" s="18">
        <v>32768</v>
      </c>
      <c r="AQ415" s="18">
        <v>399649</v>
      </c>
      <c r="AR415" s="18">
        <v>241257</v>
      </c>
      <c r="AS415" t="s" s="10">
        <v>1481</v>
      </c>
      <c r="AT415" t="s" s="10">
        <v>301</v>
      </c>
      <c r="AU415" s="11"/>
      <c r="AV415" s="11"/>
      <c r="AW415" s="11"/>
      <c r="AX415" s="11"/>
      <c r="AY415" s="11"/>
      <c r="AZ415" s="11"/>
      <c r="BA415" s="11"/>
      <c r="BB415" s="11"/>
      <c r="BC415" s="11"/>
      <c r="BD415" t="s" s="10">
        <v>428</v>
      </c>
      <c r="BE415" t="s" s="10">
        <v>1482</v>
      </c>
      <c r="BF415" s="18">
        <v>4</v>
      </c>
      <c r="BG415" s="18">
        <v>32</v>
      </c>
      <c r="BH415" s="11"/>
      <c r="BI415" s="11"/>
      <c r="BJ415" s="11"/>
      <c r="BK415" s="11"/>
      <c r="BL415" s="11"/>
      <c r="BM415" s="11"/>
      <c r="BN415" t="s" s="10">
        <v>78</v>
      </c>
      <c r="BO415" s="12"/>
      <c r="BP415" s="8"/>
    </row>
    <row r="416" ht="15" customHeight="1" hidden="1">
      <c r="A416" t="s" s="13">
        <v>1483</v>
      </c>
      <c r="B416" s="14"/>
      <c r="C416" t="str" s="14" cm="1">
        <f t="array" ref="C416">_xlfn.IFERROR((VLOOKUP(A416,#REF!,2,FALSE)),"")</f>
      </c>
      <c r="D416" t="s" s="15">
        <v>70</v>
      </c>
      <c r="E416" t="s" s="15">
        <v>1484</v>
      </c>
      <c r="F416" s="14"/>
      <c r="G416" t="s" s="15">
        <v>1485</v>
      </c>
      <c r="H416" t="s" s="15">
        <v>1486</v>
      </c>
      <c r="I416" t="s" s="15">
        <v>111</v>
      </c>
      <c r="J416" t="s" s="15">
        <v>322</v>
      </c>
      <c r="K416" t="s" s="15">
        <v>113</v>
      </c>
      <c r="L416" t="s" s="15">
        <v>76</v>
      </c>
      <c r="M416" t="s" s="15">
        <v>1485</v>
      </c>
      <c r="N416" t="s" s="15">
        <v>1485</v>
      </c>
      <c r="O416" t="s" s="15">
        <v>322</v>
      </c>
      <c r="P416" t="s" s="15">
        <v>322</v>
      </c>
      <c r="Q416" t="s" s="15">
        <v>78</v>
      </c>
      <c r="R416" t="s" s="15">
        <v>83</v>
      </c>
      <c r="S416" s="14"/>
      <c r="T416" s="14"/>
      <c r="U416" s="14"/>
      <c r="V416" t="s" s="15">
        <v>69</v>
      </c>
      <c r="W416" s="14"/>
      <c r="X416" t="s" s="15">
        <v>69</v>
      </c>
      <c r="Y416" s="14"/>
      <c r="Z416" t="s" s="15">
        <v>76</v>
      </c>
      <c r="AA416" s="14"/>
      <c r="AB416" t="s" s="15">
        <v>76</v>
      </c>
      <c r="AC416" s="14"/>
      <c r="AD416" s="14"/>
      <c r="AE416" s="14"/>
      <c r="AF416" s="14"/>
      <c r="AG416" t="s" s="15">
        <v>299</v>
      </c>
      <c r="AH416" t="s" s="15">
        <v>114</v>
      </c>
      <c r="AI416" t="s" s="15">
        <v>717</v>
      </c>
      <c r="AJ416" s="14"/>
      <c r="AK416" t="s" s="15">
        <v>292</v>
      </c>
      <c r="AL416" t="s" s="15">
        <v>293</v>
      </c>
      <c r="AM416" t="s" s="15">
        <v>294</v>
      </c>
      <c r="AN416" t="s" s="15">
        <v>1487</v>
      </c>
      <c r="AO416" s="17">
        <v>2</v>
      </c>
      <c r="AP416" s="17">
        <v>8192</v>
      </c>
      <c r="AQ416" s="17">
        <v>59547</v>
      </c>
      <c r="AR416" s="17">
        <v>59547</v>
      </c>
      <c r="AS416" t="s" s="15">
        <v>1488</v>
      </c>
      <c r="AT416" s="14"/>
      <c r="AU416" s="14"/>
      <c r="AV416" s="14"/>
      <c r="AW416" s="14"/>
      <c r="AX416" s="14"/>
      <c r="AY416" s="14"/>
      <c r="AZ416" s="14"/>
      <c r="BA416" s="14"/>
      <c r="BB416" s="14"/>
      <c r="BC416" s="14"/>
      <c r="BD416" t="s" s="15">
        <v>366</v>
      </c>
      <c r="BE416" t="s" s="15">
        <v>489</v>
      </c>
      <c r="BF416" s="17">
        <v>2</v>
      </c>
      <c r="BG416" s="17">
        <v>8</v>
      </c>
      <c r="BH416" s="14"/>
      <c r="BI416" s="14"/>
      <c r="BJ416" s="14"/>
      <c r="BK416" s="14"/>
      <c r="BL416" s="14"/>
      <c r="BM416" s="14"/>
      <c r="BN416" t="s" s="15">
        <v>78</v>
      </c>
      <c r="BO416" s="16"/>
      <c r="BP416" s="8"/>
    </row>
    <row r="417" ht="9" customHeight="1" hidden="1">
      <c r="A417" t="s" s="9">
        <v>1489</v>
      </c>
      <c r="B417" s="11"/>
      <c r="C417" t="str" s="11" cm="1">
        <f t="array" ref="C417">_xlfn.IFERROR((VLOOKUP(A417,#REF!,2,FALSE)),"")</f>
      </c>
      <c r="D417" t="s" s="10">
        <v>70</v>
      </c>
      <c r="E417" t="s" s="10">
        <v>1484</v>
      </c>
      <c r="F417" s="11"/>
      <c r="G417" t="s" s="10">
        <v>1490</v>
      </c>
      <c r="H417" t="s" s="10">
        <v>1486</v>
      </c>
      <c r="I417" t="s" s="10">
        <v>111</v>
      </c>
      <c r="J417" t="s" s="10">
        <v>322</v>
      </c>
      <c r="K417" t="s" s="10">
        <v>113</v>
      </c>
      <c r="L417" t="s" s="10">
        <v>76</v>
      </c>
      <c r="M417" t="s" s="10">
        <v>1490</v>
      </c>
      <c r="N417" t="s" s="10">
        <v>1490</v>
      </c>
      <c r="O417" t="s" s="10">
        <v>322</v>
      </c>
      <c r="P417" t="s" s="10">
        <v>322</v>
      </c>
      <c r="Q417" t="s" s="10">
        <v>78</v>
      </c>
      <c r="R417" t="s" s="10">
        <v>83</v>
      </c>
      <c r="S417" s="11"/>
      <c r="T417" s="11"/>
      <c r="U417" s="11"/>
      <c r="V417" t="s" s="10">
        <v>69</v>
      </c>
      <c r="W417" s="11"/>
      <c r="X417" t="s" s="10">
        <v>69</v>
      </c>
      <c r="Y417" s="11"/>
      <c r="Z417" t="s" s="10">
        <v>76</v>
      </c>
      <c r="AA417" s="11"/>
      <c r="AB417" t="s" s="10">
        <v>76</v>
      </c>
      <c r="AC417" s="11"/>
      <c r="AD417" s="11"/>
      <c r="AE417" s="11"/>
      <c r="AF417" s="11"/>
      <c r="AG417" t="s" s="10">
        <v>299</v>
      </c>
      <c r="AH417" t="s" s="10">
        <v>114</v>
      </c>
      <c r="AI417" t="s" s="10">
        <v>717</v>
      </c>
      <c r="AJ417" s="11"/>
      <c r="AK417" t="s" s="10">
        <v>292</v>
      </c>
      <c r="AL417" t="s" s="10">
        <v>293</v>
      </c>
      <c r="AM417" t="s" s="10">
        <v>294</v>
      </c>
      <c r="AN417" t="s" s="10">
        <v>1491</v>
      </c>
      <c r="AO417" s="18">
        <v>4</v>
      </c>
      <c r="AP417" s="18">
        <v>16384</v>
      </c>
      <c r="AQ417" s="18">
        <v>88296</v>
      </c>
      <c r="AR417" s="18">
        <v>88296</v>
      </c>
      <c r="AS417" t="s" s="10">
        <v>1492</v>
      </c>
      <c r="AT417" s="11"/>
      <c r="AU417" s="11"/>
      <c r="AV417" s="11"/>
      <c r="AW417" s="11"/>
      <c r="AX417" s="11"/>
      <c r="AY417" s="11"/>
      <c r="AZ417" s="11"/>
      <c r="BA417" s="11"/>
      <c r="BB417" s="11"/>
      <c r="BC417" s="11"/>
      <c r="BD417" t="s" s="10">
        <v>366</v>
      </c>
      <c r="BE417" t="s" s="10">
        <v>394</v>
      </c>
      <c r="BF417" s="18">
        <v>4</v>
      </c>
      <c r="BG417" s="18">
        <v>16</v>
      </c>
      <c r="BH417" s="11"/>
      <c r="BI417" s="11"/>
      <c r="BJ417" s="11"/>
      <c r="BK417" s="11"/>
      <c r="BL417" s="11"/>
      <c r="BM417" s="11"/>
      <c r="BN417" t="s" s="10">
        <v>78</v>
      </c>
      <c r="BO417" s="12"/>
      <c r="BP417" s="8"/>
    </row>
    <row r="418" ht="9" customHeight="1" hidden="1">
      <c r="A418" t="s" s="13">
        <v>1493</v>
      </c>
      <c r="B418" s="14"/>
      <c r="C418" t="str" s="14" cm="1">
        <f t="array" ref="C418">_xlfn.IFERROR((VLOOKUP(A418,#REF!,2,FALSE)),"")</f>
      </c>
      <c r="D418" t="s" s="15">
        <v>70</v>
      </c>
      <c r="E418" t="s" s="15">
        <v>1484</v>
      </c>
      <c r="F418" s="14"/>
      <c r="G418" t="s" s="15">
        <v>1494</v>
      </c>
      <c r="H418" t="s" s="15">
        <v>1486</v>
      </c>
      <c r="I418" t="s" s="15">
        <v>111</v>
      </c>
      <c r="J418" t="s" s="15">
        <v>322</v>
      </c>
      <c r="K418" t="s" s="15">
        <v>113</v>
      </c>
      <c r="L418" t="s" s="15">
        <v>76</v>
      </c>
      <c r="M418" t="s" s="15">
        <v>1494</v>
      </c>
      <c r="N418" t="s" s="15">
        <v>1494</v>
      </c>
      <c r="O418" t="s" s="15">
        <v>322</v>
      </c>
      <c r="P418" t="s" s="15">
        <v>322</v>
      </c>
      <c r="Q418" t="s" s="15">
        <v>78</v>
      </c>
      <c r="R418" t="s" s="15">
        <v>83</v>
      </c>
      <c r="S418" s="14"/>
      <c r="T418" s="14"/>
      <c r="U418" s="14"/>
      <c r="V418" t="s" s="15">
        <v>69</v>
      </c>
      <c r="W418" s="14"/>
      <c r="X418" t="s" s="15">
        <v>69</v>
      </c>
      <c r="Y418" s="14"/>
      <c r="Z418" t="s" s="15">
        <v>76</v>
      </c>
      <c r="AA418" s="14"/>
      <c r="AB418" t="s" s="15">
        <v>76</v>
      </c>
      <c r="AC418" s="14"/>
      <c r="AD418" s="14"/>
      <c r="AE418" s="14"/>
      <c r="AF418" s="14"/>
      <c r="AG418" t="s" s="15">
        <v>299</v>
      </c>
      <c r="AH418" t="s" s="15">
        <v>114</v>
      </c>
      <c r="AI418" t="s" s="15">
        <v>717</v>
      </c>
      <c r="AJ418" s="14"/>
      <c r="AK418" t="s" s="15">
        <v>292</v>
      </c>
      <c r="AL418" t="s" s="15">
        <v>293</v>
      </c>
      <c r="AM418" t="s" s="15">
        <v>294</v>
      </c>
      <c r="AN418" t="s" s="15">
        <v>1495</v>
      </c>
      <c r="AO418" s="17">
        <v>4</v>
      </c>
      <c r="AP418" s="17">
        <v>16384</v>
      </c>
      <c r="AQ418" s="17">
        <v>88272</v>
      </c>
      <c r="AR418" s="17">
        <v>88272</v>
      </c>
      <c r="AS418" t="s" s="15">
        <v>1496</v>
      </c>
      <c r="AT418" s="14"/>
      <c r="AU418" s="14"/>
      <c r="AV418" s="14"/>
      <c r="AW418" s="14"/>
      <c r="AX418" s="14"/>
      <c r="AY418" s="14"/>
      <c r="AZ418" s="14"/>
      <c r="BA418" s="14"/>
      <c r="BB418" s="14"/>
      <c r="BC418" s="14"/>
      <c r="BD418" t="s" s="15">
        <v>366</v>
      </c>
      <c r="BE418" t="s" s="15">
        <v>394</v>
      </c>
      <c r="BF418" s="17">
        <v>4</v>
      </c>
      <c r="BG418" s="17">
        <v>16</v>
      </c>
      <c r="BH418" s="14"/>
      <c r="BI418" s="14"/>
      <c r="BJ418" s="14"/>
      <c r="BK418" s="14"/>
      <c r="BL418" s="14"/>
      <c r="BM418" s="14"/>
      <c r="BN418" t="s" s="15">
        <v>78</v>
      </c>
      <c r="BO418" s="16"/>
      <c r="BP418" s="8"/>
    </row>
    <row r="419" ht="9" customHeight="1" hidden="1">
      <c r="A419" t="s" s="9">
        <v>1497</v>
      </c>
      <c r="B419" s="11"/>
      <c r="C419" t="str" s="11" cm="1">
        <f t="array" ref="C419">_xlfn.IFERROR((VLOOKUP(A419,#REF!,2,FALSE)),"")</f>
      </c>
      <c r="D419" t="s" s="10">
        <v>70</v>
      </c>
      <c r="E419" t="s" s="10">
        <v>1484</v>
      </c>
      <c r="F419" s="11"/>
      <c r="G419" t="s" s="10">
        <v>1498</v>
      </c>
      <c r="H419" t="s" s="10">
        <v>1486</v>
      </c>
      <c r="I419" t="s" s="10">
        <v>111</v>
      </c>
      <c r="J419" t="s" s="10">
        <v>322</v>
      </c>
      <c r="K419" t="s" s="10">
        <v>113</v>
      </c>
      <c r="L419" t="s" s="10">
        <v>76</v>
      </c>
      <c r="M419" t="s" s="10">
        <v>1498</v>
      </c>
      <c r="N419" t="s" s="10">
        <v>1498</v>
      </c>
      <c r="O419" t="s" s="10">
        <v>322</v>
      </c>
      <c r="P419" t="s" s="10">
        <v>322</v>
      </c>
      <c r="Q419" t="s" s="10">
        <v>78</v>
      </c>
      <c r="R419" t="s" s="10">
        <v>83</v>
      </c>
      <c r="S419" s="11"/>
      <c r="T419" s="11"/>
      <c r="U419" s="11"/>
      <c r="V419" t="s" s="10">
        <v>69</v>
      </c>
      <c r="W419" s="11"/>
      <c r="X419" t="s" s="10">
        <v>69</v>
      </c>
      <c r="Y419" s="11"/>
      <c r="Z419" t="s" s="10">
        <v>76</v>
      </c>
      <c r="AA419" s="11"/>
      <c r="AB419" t="s" s="10">
        <v>76</v>
      </c>
      <c r="AC419" s="11"/>
      <c r="AD419" s="11"/>
      <c r="AE419" s="11"/>
      <c r="AF419" s="11"/>
      <c r="AG419" t="s" s="10">
        <v>299</v>
      </c>
      <c r="AH419" t="s" s="10">
        <v>114</v>
      </c>
      <c r="AI419" t="s" s="10">
        <v>717</v>
      </c>
      <c r="AJ419" s="11"/>
      <c r="AK419" t="s" s="10">
        <v>292</v>
      </c>
      <c r="AL419" t="s" s="10">
        <v>293</v>
      </c>
      <c r="AM419" t="s" s="10">
        <v>294</v>
      </c>
      <c r="AN419" t="s" s="10">
        <v>1495</v>
      </c>
      <c r="AO419" s="18">
        <v>4</v>
      </c>
      <c r="AP419" s="18">
        <v>16384</v>
      </c>
      <c r="AQ419" s="18">
        <v>88273</v>
      </c>
      <c r="AR419" s="18">
        <v>88273</v>
      </c>
      <c r="AS419" t="s" s="10">
        <v>1499</v>
      </c>
      <c r="AT419" s="11"/>
      <c r="AU419" s="11"/>
      <c r="AV419" s="11"/>
      <c r="AW419" s="11"/>
      <c r="AX419" s="11"/>
      <c r="AY419" s="11"/>
      <c r="AZ419" s="11"/>
      <c r="BA419" s="11"/>
      <c r="BB419" s="11"/>
      <c r="BC419" s="11"/>
      <c r="BD419" t="s" s="10">
        <v>366</v>
      </c>
      <c r="BE419" t="s" s="10">
        <v>394</v>
      </c>
      <c r="BF419" s="18">
        <v>4</v>
      </c>
      <c r="BG419" s="18">
        <v>16</v>
      </c>
      <c r="BH419" s="11"/>
      <c r="BI419" s="11"/>
      <c r="BJ419" s="11"/>
      <c r="BK419" s="11"/>
      <c r="BL419" s="11"/>
      <c r="BM419" s="11"/>
      <c r="BN419" t="s" s="10">
        <v>78</v>
      </c>
      <c r="BO419" s="12"/>
      <c r="BP419" s="8"/>
    </row>
    <row r="420" ht="9" customHeight="1" hidden="1">
      <c r="A420" t="s" s="13">
        <v>1500</v>
      </c>
      <c r="B420" s="14"/>
      <c r="C420" t="str" s="14" cm="1">
        <f t="array" ref="C420">_xlfn.IFERROR((VLOOKUP(A420,#REF!,2,FALSE)),"")</f>
      </c>
      <c r="D420" t="s" s="15">
        <v>70</v>
      </c>
      <c r="E420" t="s" s="15">
        <v>1484</v>
      </c>
      <c r="F420" s="14"/>
      <c r="G420" t="s" s="15">
        <v>1501</v>
      </c>
      <c r="H420" t="s" s="15">
        <v>1486</v>
      </c>
      <c r="I420" t="s" s="15">
        <v>111</v>
      </c>
      <c r="J420" t="s" s="15">
        <v>322</v>
      </c>
      <c r="K420" t="s" s="15">
        <v>113</v>
      </c>
      <c r="L420" t="s" s="15">
        <v>76</v>
      </c>
      <c r="M420" t="s" s="15">
        <v>1501</v>
      </c>
      <c r="N420" t="s" s="15">
        <v>1501</v>
      </c>
      <c r="O420" t="s" s="15">
        <v>322</v>
      </c>
      <c r="P420" t="s" s="15">
        <v>322</v>
      </c>
      <c r="Q420" t="s" s="15">
        <v>78</v>
      </c>
      <c r="R420" t="s" s="15">
        <v>83</v>
      </c>
      <c r="S420" s="14"/>
      <c r="T420" s="14"/>
      <c r="U420" s="14"/>
      <c r="V420" t="s" s="15">
        <v>69</v>
      </c>
      <c r="W420" s="14"/>
      <c r="X420" t="s" s="15">
        <v>69</v>
      </c>
      <c r="Y420" s="14"/>
      <c r="Z420" t="s" s="15">
        <v>76</v>
      </c>
      <c r="AA420" s="14"/>
      <c r="AB420" t="s" s="15">
        <v>76</v>
      </c>
      <c r="AC420" s="14"/>
      <c r="AD420" s="14"/>
      <c r="AE420" s="14"/>
      <c r="AF420" s="14"/>
      <c r="AG420" t="s" s="15">
        <v>299</v>
      </c>
      <c r="AH420" t="s" s="15">
        <v>114</v>
      </c>
      <c r="AI420" t="s" s="15">
        <v>717</v>
      </c>
      <c r="AJ420" s="14"/>
      <c r="AK420" t="s" s="15">
        <v>292</v>
      </c>
      <c r="AL420" t="s" s="15">
        <v>293</v>
      </c>
      <c r="AM420" t="s" s="15">
        <v>294</v>
      </c>
      <c r="AN420" t="s" s="15">
        <v>1502</v>
      </c>
      <c r="AO420" s="17">
        <v>4</v>
      </c>
      <c r="AP420" s="17">
        <v>16384</v>
      </c>
      <c r="AQ420" s="17">
        <v>88282</v>
      </c>
      <c r="AR420" s="17">
        <v>88282</v>
      </c>
      <c r="AS420" t="s" s="15">
        <v>1503</v>
      </c>
      <c r="AT420" s="14"/>
      <c r="AU420" s="14"/>
      <c r="AV420" s="14"/>
      <c r="AW420" s="14"/>
      <c r="AX420" s="14"/>
      <c r="AY420" s="14"/>
      <c r="AZ420" s="14"/>
      <c r="BA420" s="14"/>
      <c r="BB420" s="14"/>
      <c r="BC420" s="14"/>
      <c r="BD420" t="s" s="15">
        <v>366</v>
      </c>
      <c r="BE420" t="s" s="15">
        <v>394</v>
      </c>
      <c r="BF420" s="17">
        <v>4</v>
      </c>
      <c r="BG420" s="17">
        <v>16</v>
      </c>
      <c r="BH420" s="14"/>
      <c r="BI420" s="14"/>
      <c r="BJ420" s="14"/>
      <c r="BK420" s="14"/>
      <c r="BL420" s="14"/>
      <c r="BM420" s="14"/>
      <c r="BN420" t="s" s="15">
        <v>78</v>
      </c>
      <c r="BO420" s="16"/>
      <c r="BP420" s="8"/>
    </row>
    <row r="421" ht="9" customHeight="1" hidden="1">
      <c r="A421" t="s" s="9">
        <v>1504</v>
      </c>
      <c r="B421" s="11"/>
      <c r="C421" t="str" s="11" cm="1">
        <f t="array" ref="C421">_xlfn.IFERROR((VLOOKUP(A421,#REF!,2,FALSE)),"")</f>
      </c>
      <c r="D421" t="s" s="10">
        <v>70</v>
      </c>
      <c r="E421" t="s" s="10">
        <v>1484</v>
      </c>
      <c r="F421" s="11"/>
      <c r="G421" t="s" s="10">
        <v>1505</v>
      </c>
      <c r="H421" t="s" s="10">
        <v>1486</v>
      </c>
      <c r="I421" t="s" s="10">
        <v>111</v>
      </c>
      <c r="J421" t="s" s="10">
        <v>322</v>
      </c>
      <c r="K421" t="s" s="10">
        <v>113</v>
      </c>
      <c r="L421" t="s" s="10">
        <v>76</v>
      </c>
      <c r="M421" t="s" s="10">
        <v>1505</v>
      </c>
      <c r="N421" t="s" s="10">
        <v>1505</v>
      </c>
      <c r="O421" t="s" s="10">
        <v>322</v>
      </c>
      <c r="P421" t="s" s="10">
        <v>322</v>
      </c>
      <c r="Q421" t="s" s="10">
        <v>78</v>
      </c>
      <c r="R421" t="s" s="10">
        <v>83</v>
      </c>
      <c r="S421" s="11"/>
      <c r="T421" s="11"/>
      <c r="U421" s="11"/>
      <c r="V421" t="s" s="10">
        <v>69</v>
      </c>
      <c r="W421" s="11"/>
      <c r="X421" t="s" s="10">
        <v>69</v>
      </c>
      <c r="Y421" s="11"/>
      <c r="Z421" t="s" s="10">
        <v>76</v>
      </c>
      <c r="AA421" s="11"/>
      <c r="AB421" t="s" s="10">
        <v>76</v>
      </c>
      <c r="AC421" s="11"/>
      <c r="AD421" s="11"/>
      <c r="AE421" s="11"/>
      <c r="AF421" s="11"/>
      <c r="AG421" t="s" s="10">
        <v>299</v>
      </c>
      <c r="AH421" t="s" s="10">
        <v>114</v>
      </c>
      <c r="AI421" t="s" s="10">
        <v>717</v>
      </c>
      <c r="AJ421" s="11"/>
      <c r="AK421" t="s" s="10">
        <v>292</v>
      </c>
      <c r="AL421" t="s" s="10">
        <v>293</v>
      </c>
      <c r="AM421" t="s" s="10">
        <v>294</v>
      </c>
      <c r="AN421" t="s" s="10">
        <v>1506</v>
      </c>
      <c r="AO421" s="18">
        <v>2</v>
      </c>
      <c r="AP421" s="18">
        <v>8192</v>
      </c>
      <c r="AQ421" s="18">
        <v>100471</v>
      </c>
      <c r="AR421" s="18">
        <v>100471</v>
      </c>
      <c r="AS421" t="s" s="10">
        <v>1507</v>
      </c>
      <c r="AT421" s="11"/>
      <c r="AU421" s="11"/>
      <c r="AV421" s="11"/>
      <c r="AW421" s="11"/>
      <c r="AX421" s="11"/>
      <c r="AY421" s="11"/>
      <c r="AZ421" s="11"/>
      <c r="BA421" s="11"/>
      <c r="BB421" s="11"/>
      <c r="BC421" s="11"/>
      <c r="BD421" t="s" s="10">
        <v>366</v>
      </c>
      <c r="BE421" t="s" s="10">
        <v>489</v>
      </c>
      <c r="BF421" s="18">
        <v>2</v>
      </c>
      <c r="BG421" s="18">
        <v>8</v>
      </c>
      <c r="BH421" s="11"/>
      <c r="BI421" s="11"/>
      <c r="BJ421" s="11"/>
      <c r="BK421" s="11"/>
      <c r="BL421" s="11"/>
      <c r="BM421" s="11"/>
      <c r="BN421" t="s" s="10">
        <v>78</v>
      </c>
      <c r="BO421" s="12"/>
      <c r="BP421" s="8"/>
    </row>
    <row r="422" ht="9" customHeight="1" hidden="1">
      <c r="A422" t="s" s="13">
        <v>1508</v>
      </c>
      <c r="B422" s="14"/>
      <c r="C422" t="str" s="14" cm="1">
        <f t="array" ref="C422">_xlfn.IFERROR((VLOOKUP(A422,#REF!,2,FALSE)),"")</f>
      </c>
      <c r="D422" t="s" s="15">
        <v>70</v>
      </c>
      <c r="E422" t="s" s="15">
        <v>1484</v>
      </c>
      <c r="F422" s="14"/>
      <c r="G422" t="s" s="15">
        <v>1509</v>
      </c>
      <c r="H422" t="s" s="15">
        <v>1486</v>
      </c>
      <c r="I422" t="s" s="15">
        <v>111</v>
      </c>
      <c r="J422" t="s" s="15">
        <v>322</v>
      </c>
      <c r="K422" t="s" s="15">
        <v>113</v>
      </c>
      <c r="L422" t="s" s="15">
        <v>76</v>
      </c>
      <c r="M422" t="s" s="15">
        <v>1509</v>
      </c>
      <c r="N422" t="s" s="15">
        <v>1509</v>
      </c>
      <c r="O422" t="s" s="15">
        <v>322</v>
      </c>
      <c r="P422" t="s" s="15">
        <v>322</v>
      </c>
      <c r="Q422" t="s" s="15">
        <v>78</v>
      </c>
      <c r="R422" t="s" s="15">
        <v>83</v>
      </c>
      <c r="S422" s="14"/>
      <c r="T422" s="14"/>
      <c r="U422" s="14"/>
      <c r="V422" t="s" s="15">
        <v>69</v>
      </c>
      <c r="W422" s="14"/>
      <c r="X422" t="s" s="15">
        <v>69</v>
      </c>
      <c r="Y422" s="14"/>
      <c r="Z422" t="s" s="15">
        <v>76</v>
      </c>
      <c r="AA422" s="14"/>
      <c r="AB422" t="s" s="15">
        <v>76</v>
      </c>
      <c r="AC422" s="14"/>
      <c r="AD422" s="14"/>
      <c r="AE422" s="14"/>
      <c r="AF422" s="14"/>
      <c r="AG422" t="s" s="15">
        <v>299</v>
      </c>
      <c r="AH422" t="s" s="15">
        <v>114</v>
      </c>
      <c r="AI422" t="s" s="15">
        <v>717</v>
      </c>
      <c r="AJ422" s="14"/>
      <c r="AK422" t="s" s="15">
        <v>292</v>
      </c>
      <c r="AL422" t="s" s="15">
        <v>293</v>
      </c>
      <c r="AM422" t="s" s="15">
        <v>294</v>
      </c>
      <c r="AN422" t="s" s="15">
        <v>1510</v>
      </c>
      <c r="AO422" s="17">
        <v>2</v>
      </c>
      <c r="AP422" s="17">
        <v>4096</v>
      </c>
      <c r="AQ422" s="17">
        <v>55396</v>
      </c>
      <c r="AR422" s="17">
        <v>55396</v>
      </c>
      <c r="AS422" t="s" s="15">
        <v>1511</v>
      </c>
      <c r="AT422" s="14"/>
      <c r="AU422" s="14"/>
      <c r="AV422" s="14"/>
      <c r="AW422" s="14"/>
      <c r="AX422" s="14"/>
      <c r="AY422" s="14"/>
      <c r="AZ422" s="14"/>
      <c r="BA422" s="14"/>
      <c r="BB422" s="14"/>
      <c r="BC422" s="14"/>
      <c r="BD422" t="s" s="15">
        <v>310</v>
      </c>
      <c r="BE422" t="s" s="15">
        <v>419</v>
      </c>
      <c r="BF422" s="17">
        <v>2</v>
      </c>
      <c r="BG422" s="17">
        <v>4</v>
      </c>
      <c r="BH422" s="14"/>
      <c r="BI422" s="14"/>
      <c r="BJ422" s="14"/>
      <c r="BK422" s="14"/>
      <c r="BL422" s="14"/>
      <c r="BM422" s="14"/>
      <c r="BN422" t="s" s="15">
        <v>78</v>
      </c>
      <c r="BO422" s="16"/>
      <c r="BP422" s="8"/>
    </row>
    <row r="423" ht="13.55" customHeight="1">
      <c r="A423" t="s" s="9">
        <v>1512</v>
      </c>
      <c r="B423" s="11"/>
      <c r="C423" t="str" s="11" cm="1">
        <f t="array" ref="C423">_xlfn.IFERROR((VLOOKUP(A423,#REF!,2,FALSE)),"")</f>
      </c>
      <c r="D423" t="s" s="10">
        <v>70</v>
      </c>
      <c r="E423" s="11"/>
      <c r="F423" s="11"/>
      <c r="G423" t="s" s="10">
        <v>1513</v>
      </c>
      <c r="H423" t="s" s="10">
        <v>1486</v>
      </c>
      <c r="I423" t="s" s="10">
        <v>111</v>
      </c>
      <c r="J423" t="s" s="10">
        <v>122</v>
      </c>
      <c r="K423" t="s" s="10">
        <v>113</v>
      </c>
      <c r="L423" t="s" s="10">
        <v>76</v>
      </c>
      <c r="M423" t="s" s="10">
        <v>1513</v>
      </c>
      <c r="N423" t="s" s="10">
        <v>1513</v>
      </c>
      <c r="O423" s="11"/>
      <c r="P423" t="s" s="10">
        <v>122</v>
      </c>
      <c r="Q423" t="s" s="10">
        <v>78</v>
      </c>
      <c r="R423" t="s" s="10">
        <v>83</v>
      </c>
      <c r="S423" s="11"/>
      <c r="T423" t="s" s="10">
        <v>69</v>
      </c>
      <c r="U423" s="11"/>
      <c r="V423" t="s" s="10">
        <v>69</v>
      </c>
      <c r="W423" s="11"/>
      <c r="X423" t="s" s="10">
        <v>69</v>
      </c>
      <c r="Y423" s="11"/>
      <c r="Z423" t="s" s="10">
        <v>76</v>
      </c>
      <c r="AA423" s="11"/>
      <c r="AB423" t="s" s="10">
        <v>76</v>
      </c>
      <c r="AC423" s="11"/>
      <c r="AD423" s="11"/>
      <c r="AE423" t="s" s="10">
        <v>1512</v>
      </c>
      <c r="AF423" s="11"/>
      <c r="AG423" t="s" s="10">
        <v>299</v>
      </c>
      <c r="AH423" t="s" s="10">
        <v>114</v>
      </c>
      <c r="AI423" t="s" s="10">
        <v>717</v>
      </c>
      <c r="AJ423" s="11"/>
      <c r="AK423" t="s" s="10">
        <v>524</v>
      </c>
      <c r="AL423" t="s" s="10">
        <v>293</v>
      </c>
      <c r="AM423" t="s" s="10">
        <v>294</v>
      </c>
      <c r="AN423" t="s" s="10">
        <v>1514</v>
      </c>
      <c r="AO423" s="18">
        <v>6</v>
      </c>
      <c r="AP423" s="18">
        <v>8192</v>
      </c>
      <c r="AQ423" s="18">
        <v>90239</v>
      </c>
      <c r="AR423" s="18">
        <v>90239</v>
      </c>
      <c r="AS423" t="s" s="10">
        <v>1515</v>
      </c>
      <c r="AT423" s="11"/>
      <c r="AU423" s="11"/>
      <c r="AV423" s="11"/>
      <c r="AW423" s="11"/>
      <c r="AX423" s="11"/>
      <c r="AY423" s="11"/>
      <c r="AZ423" s="11"/>
      <c r="BA423" s="11"/>
      <c r="BB423" s="11"/>
      <c r="BC423" s="11"/>
      <c r="BD423" t="s" s="10">
        <v>310</v>
      </c>
      <c r="BE423" t="s" s="10">
        <v>311</v>
      </c>
      <c r="BF423" s="18">
        <v>8</v>
      </c>
      <c r="BG423" s="18">
        <v>16</v>
      </c>
      <c r="BH423" s="11"/>
      <c r="BI423" s="11"/>
      <c r="BJ423" s="11"/>
      <c r="BK423" s="11"/>
      <c r="BL423" s="11"/>
      <c r="BM423" s="11"/>
      <c r="BN423" t="s" s="10">
        <v>69</v>
      </c>
      <c r="BO423" s="12"/>
      <c r="BP423" s="8"/>
    </row>
    <row r="424" ht="15" customHeight="1">
      <c r="A424" t="s" s="13">
        <v>1516</v>
      </c>
      <c r="B424" s="14"/>
      <c r="C424" t="str" s="14" cm="1">
        <f t="array" ref="C424">_xlfn.IFERROR((VLOOKUP(A424,#REF!,2,FALSE)),"")</f>
      </c>
      <c r="D424" t="s" s="15">
        <v>70</v>
      </c>
      <c r="E424" t="s" s="15">
        <v>1484</v>
      </c>
      <c r="F424" s="14"/>
      <c r="G424" t="s" s="15">
        <v>1517</v>
      </c>
      <c r="H424" t="s" s="15">
        <v>1486</v>
      </c>
      <c r="I424" t="s" s="15">
        <v>111</v>
      </c>
      <c r="J424" t="s" s="15">
        <v>122</v>
      </c>
      <c r="K424" t="s" s="15">
        <v>113</v>
      </c>
      <c r="L424" t="s" s="15">
        <v>76</v>
      </c>
      <c r="M424" t="s" s="15">
        <v>1517</v>
      </c>
      <c r="N424" t="s" s="15">
        <v>1517</v>
      </c>
      <c r="O424" s="14"/>
      <c r="P424" t="s" s="15">
        <v>122</v>
      </c>
      <c r="Q424" t="s" s="15">
        <v>78</v>
      </c>
      <c r="R424" t="s" s="15">
        <v>83</v>
      </c>
      <c r="S424" s="14"/>
      <c r="T424" t="s" s="15">
        <v>69</v>
      </c>
      <c r="U424" s="14"/>
      <c r="V424" t="s" s="15">
        <v>69</v>
      </c>
      <c r="W424" s="14"/>
      <c r="X424" t="s" s="15">
        <v>69</v>
      </c>
      <c r="Y424" s="14"/>
      <c r="Z424" t="s" s="15">
        <v>76</v>
      </c>
      <c r="AA424" s="14"/>
      <c r="AB424" t="s" s="15">
        <v>76</v>
      </c>
      <c r="AC424" s="14"/>
      <c r="AD424" s="14"/>
      <c r="AE424" t="s" s="15">
        <v>1516</v>
      </c>
      <c r="AF424" s="14"/>
      <c r="AG424" t="s" s="15">
        <v>299</v>
      </c>
      <c r="AH424" t="s" s="15">
        <v>114</v>
      </c>
      <c r="AI424" t="s" s="15">
        <v>717</v>
      </c>
      <c r="AJ424" s="14"/>
      <c r="AK424" t="s" s="15">
        <v>524</v>
      </c>
      <c r="AL424" t="s" s="15">
        <v>293</v>
      </c>
      <c r="AM424" t="s" s="15">
        <v>294</v>
      </c>
      <c r="AN424" t="s" s="15">
        <v>1514</v>
      </c>
      <c r="AO424" s="17">
        <v>4</v>
      </c>
      <c r="AP424" s="17">
        <v>65536</v>
      </c>
      <c r="AQ424" s="17">
        <v>157953</v>
      </c>
      <c r="AR424" s="17">
        <v>157953</v>
      </c>
      <c r="AS424" t="s" s="15">
        <v>1518</v>
      </c>
      <c r="AT424" s="14"/>
      <c r="AU424" s="14"/>
      <c r="AV424" s="14"/>
      <c r="AW424" s="14"/>
      <c r="AX424" s="14"/>
      <c r="AY424" s="14"/>
      <c r="AZ424" s="14"/>
      <c r="BA424" s="14"/>
      <c r="BB424" s="14"/>
      <c r="BC424" s="14"/>
      <c r="BD424" t="s" s="15">
        <v>428</v>
      </c>
      <c r="BE424" t="s" s="15">
        <v>1519</v>
      </c>
      <c r="BF424" s="17">
        <v>4</v>
      </c>
      <c r="BG424" s="17">
        <v>64</v>
      </c>
      <c r="BH424" s="14"/>
      <c r="BI424" s="14"/>
      <c r="BJ424" s="14"/>
      <c r="BK424" s="14"/>
      <c r="BL424" s="14"/>
      <c r="BM424" s="14"/>
      <c r="BN424" t="s" s="15">
        <v>69</v>
      </c>
      <c r="BO424" s="16"/>
      <c r="BP424" s="8"/>
    </row>
    <row r="425" ht="13.55" customHeight="1">
      <c r="A425" t="s" s="9">
        <v>1520</v>
      </c>
      <c r="B425" s="11"/>
      <c r="C425" t="str" s="11" cm="1">
        <f t="array" ref="C425">_xlfn.IFERROR((VLOOKUP(A425,#REF!,2,FALSE)),"")</f>
      </c>
      <c r="D425" t="s" s="10">
        <v>70</v>
      </c>
      <c r="E425" t="s" s="10">
        <v>1484</v>
      </c>
      <c r="F425" s="11"/>
      <c r="G425" t="s" s="10">
        <v>1521</v>
      </c>
      <c r="H425" t="s" s="10">
        <v>1486</v>
      </c>
      <c r="I425" t="s" s="10">
        <v>111</v>
      </c>
      <c r="J425" t="s" s="10">
        <v>122</v>
      </c>
      <c r="K425" t="s" s="10">
        <v>113</v>
      </c>
      <c r="L425" t="s" s="10">
        <v>76</v>
      </c>
      <c r="M425" t="s" s="10">
        <v>1521</v>
      </c>
      <c r="N425" t="s" s="10">
        <v>1521</v>
      </c>
      <c r="O425" s="11"/>
      <c r="P425" t="s" s="10">
        <v>122</v>
      </c>
      <c r="Q425" t="s" s="10">
        <v>78</v>
      </c>
      <c r="R425" t="s" s="10">
        <v>83</v>
      </c>
      <c r="S425" s="11"/>
      <c r="T425" t="s" s="10">
        <v>69</v>
      </c>
      <c r="U425" s="11"/>
      <c r="V425" t="s" s="10">
        <v>69</v>
      </c>
      <c r="W425" s="11"/>
      <c r="X425" t="s" s="10">
        <v>69</v>
      </c>
      <c r="Y425" s="11"/>
      <c r="Z425" t="s" s="10">
        <v>76</v>
      </c>
      <c r="AA425" s="11"/>
      <c r="AB425" t="s" s="10">
        <v>76</v>
      </c>
      <c r="AC425" s="11"/>
      <c r="AD425" s="11"/>
      <c r="AE425" t="s" s="10">
        <v>1520</v>
      </c>
      <c r="AF425" s="11"/>
      <c r="AG425" t="s" s="10">
        <v>299</v>
      </c>
      <c r="AH425" t="s" s="10">
        <v>114</v>
      </c>
      <c r="AI425" t="s" s="10">
        <v>717</v>
      </c>
      <c r="AJ425" s="11"/>
      <c r="AK425" t="s" s="10">
        <v>524</v>
      </c>
      <c r="AL425" t="s" s="10">
        <v>293</v>
      </c>
      <c r="AM425" t="s" s="10">
        <v>294</v>
      </c>
      <c r="AN425" t="s" s="10">
        <v>1522</v>
      </c>
      <c r="AO425" s="18">
        <v>4</v>
      </c>
      <c r="AP425" s="18">
        <v>65536</v>
      </c>
      <c r="AQ425" s="18">
        <v>158462</v>
      </c>
      <c r="AR425" s="18">
        <v>158462</v>
      </c>
      <c r="AS425" t="s" s="10">
        <v>1523</v>
      </c>
      <c r="AT425" s="11"/>
      <c r="AU425" s="11"/>
      <c r="AV425" s="11"/>
      <c r="AW425" s="11"/>
      <c r="AX425" s="11"/>
      <c r="AY425" s="11"/>
      <c r="AZ425" s="11"/>
      <c r="BA425" s="11"/>
      <c r="BB425" s="11"/>
      <c r="BC425" s="11"/>
      <c r="BD425" t="s" s="10">
        <v>428</v>
      </c>
      <c r="BE425" t="s" s="10">
        <v>1519</v>
      </c>
      <c r="BF425" s="18">
        <v>4</v>
      </c>
      <c r="BG425" s="18">
        <v>64</v>
      </c>
      <c r="BH425" s="11"/>
      <c r="BI425" s="11"/>
      <c r="BJ425" s="11"/>
      <c r="BK425" s="11"/>
      <c r="BL425" s="11"/>
      <c r="BM425" s="11"/>
      <c r="BN425" t="s" s="10">
        <v>69</v>
      </c>
      <c r="BO425" s="12"/>
      <c r="BP425" s="8"/>
    </row>
    <row r="426" ht="13.55" customHeight="1">
      <c r="A426" t="s" s="13">
        <v>1524</v>
      </c>
      <c r="B426" s="14"/>
      <c r="C426" t="str" s="14" cm="1">
        <f t="array" ref="C426">_xlfn.IFERROR((VLOOKUP(A426,#REF!,2,FALSE)),"")</f>
      </c>
      <c r="D426" t="s" s="15">
        <v>70</v>
      </c>
      <c r="E426" t="s" s="15">
        <v>1484</v>
      </c>
      <c r="F426" s="14"/>
      <c r="G426" t="s" s="15">
        <v>1525</v>
      </c>
      <c r="H426" t="s" s="15">
        <v>1486</v>
      </c>
      <c r="I426" t="s" s="15">
        <v>111</v>
      </c>
      <c r="J426" t="s" s="15">
        <v>122</v>
      </c>
      <c r="K426" t="s" s="15">
        <v>113</v>
      </c>
      <c r="L426" t="s" s="15">
        <v>76</v>
      </c>
      <c r="M426" t="s" s="15">
        <v>1525</v>
      </c>
      <c r="N426" t="s" s="15">
        <v>1525</v>
      </c>
      <c r="O426" s="14"/>
      <c r="P426" t="s" s="15">
        <v>122</v>
      </c>
      <c r="Q426" t="s" s="15">
        <v>78</v>
      </c>
      <c r="R426" t="s" s="15">
        <v>83</v>
      </c>
      <c r="S426" s="14"/>
      <c r="T426" t="s" s="15">
        <v>69</v>
      </c>
      <c r="U426" s="14"/>
      <c r="V426" t="s" s="15">
        <v>69</v>
      </c>
      <c r="W426" s="14"/>
      <c r="X426" t="s" s="15">
        <v>69</v>
      </c>
      <c r="Y426" s="14"/>
      <c r="Z426" t="s" s="15">
        <v>76</v>
      </c>
      <c r="AA426" s="14"/>
      <c r="AB426" t="s" s="15">
        <v>76</v>
      </c>
      <c r="AC426" s="14"/>
      <c r="AD426" s="14"/>
      <c r="AE426" t="s" s="15">
        <v>1524</v>
      </c>
      <c r="AF426" s="14"/>
      <c r="AG426" t="s" s="15">
        <v>299</v>
      </c>
      <c r="AH426" t="s" s="15">
        <v>114</v>
      </c>
      <c r="AI426" t="s" s="15">
        <v>717</v>
      </c>
      <c r="AJ426" s="14"/>
      <c r="AK426" t="s" s="15">
        <v>524</v>
      </c>
      <c r="AL426" t="s" s="15">
        <v>293</v>
      </c>
      <c r="AM426" t="s" s="15">
        <v>294</v>
      </c>
      <c r="AN426" t="s" s="15">
        <v>1526</v>
      </c>
      <c r="AO426" s="17">
        <v>4</v>
      </c>
      <c r="AP426" s="17">
        <v>65536</v>
      </c>
      <c r="AQ426" s="17">
        <v>158367</v>
      </c>
      <c r="AR426" s="17">
        <v>158367</v>
      </c>
      <c r="AS426" t="s" s="15">
        <v>1527</v>
      </c>
      <c r="AT426" s="14"/>
      <c r="AU426" s="14"/>
      <c r="AV426" s="14"/>
      <c r="AW426" s="14"/>
      <c r="AX426" s="14"/>
      <c r="AY426" s="14"/>
      <c r="AZ426" s="14"/>
      <c r="BA426" s="14"/>
      <c r="BB426" s="14"/>
      <c r="BC426" s="14"/>
      <c r="BD426" t="s" s="15">
        <v>428</v>
      </c>
      <c r="BE426" t="s" s="15">
        <v>1519</v>
      </c>
      <c r="BF426" s="17">
        <v>4</v>
      </c>
      <c r="BG426" s="17">
        <v>64</v>
      </c>
      <c r="BH426" s="14"/>
      <c r="BI426" s="14"/>
      <c r="BJ426" s="14"/>
      <c r="BK426" s="14"/>
      <c r="BL426" s="14"/>
      <c r="BM426" s="14"/>
      <c r="BN426" t="s" s="15">
        <v>69</v>
      </c>
      <c r="BO426" s="16"/>
      <c r="BP426" s="8"/>
    </row>
    <row r="427" ht="13.55" customHeight="1">
      <c r="A427" t="s" s="9">
        <v>1528</v>
      </c>
      <c r="B427" s="11"/>
      <c r="C427" t="str" s="11" cm="1">
        <f t="array" ref="C427">_xlfn.IFERROR((VLOOKUP(A427,#REF!,2,FALSE)),"")</f>
      </c>
      <c r="D427" t="s" s="10">
        <v>70</v>
      </c>
      <c r="E427" t="s" s="10">
        <v>1484</v>
      </c>
      <c r="F427" s="11"/>
      <c r="G427" t="s" s="10">
        <v>1529</v>
      </c>
      <c r="H427" t="s" s="10">
        <v>1486</v>
      </c>
      <c r="I427" t="s" s="10">
        <v>111</v>
      </c>
      <c r="J427" t="s" s="10">
        <v>122</v>
      </c>
      <c r="K427" t="s" s="10">
        <v>113</v>
      </c>
      <c r="L427" t="s" s="10">
        <v>76</v>
      </c>
      <c r="M427" t="s" s="10">
        <v>1529</v>
      </c>
      <c r="N427" t="s" s="10">
        <v>1529</v>
      </c>
      <c r="O427" s="11"/>
      <c r="P427" t="s" s="10">
        <v>122</v>
      </c>
      <c r="Q427" t="s" s="10">
        <v>78</v>
      </c>
      <c r="R427" t="s" s="10">
        <v>83</v>
      </c>
      <c r="S427" s="11"/>
      <c r="T427" t="s" s="10">
        <v>69</v>
      </c>
      <c r="U427" s="11"/>
      <c r="V427" t="s" s="10">
        <v>69</v>
      </c>
      <c r="W427" s="11"/>
      <c r="X427" t="s" s="10">
        <v>69</v>
      </c>
      <c r="Y427" s="11"/>
      <c r="Z427" t="s" s="10">
        <v>76</v>
      </c>
      <c r="AA427" s="11"/>
      <c r="AB427" t="s" s="10">
        <v>76</v>
      </c>
      <c r="AC427" s="11"/>
      <c r="AD427" s="11"/>
      <c r="AE427" t="s" s="10">
        <v>1528</v>
      </c>
      <c r="AF427" s="11"/>
      <c r="AG427" t="s" s="10">
        <v>299</v>
      </c>
      <c r="AH427" t="s" s="10">
        <v>114</v>
      </c>
      <c r="AI427" t="s" s="10">
        <v>717</v>
      </c>
      <c r="AJ427" s="11"/>
      <c r="AK427" t="s" s="10">
        <v>524</v>
      </c>
      <c r="AL427" t="s" s="10">
        <v>293</v>
      </c>
      <c r="AM427" t="s" s="10">
        <v>294</v>
      </c>
      <c r="AN427" t="s" s="10">
        <v>1526</v>
      </c>
      <c r="AO427" s="18">
        <v>4</v>
      </c>
      <c r="AP427" s="18">
        <v>65536</v>
      </c>
      <c r="AQ427" s="18">
        <v>158481</v>
      </c>
      <c r="AR427" s="18">
        <v>158481</v>
      </c>
      <c r="AS427" t="s" s="10">
        <v>1530</v>
      </c>
      <c r="AT427" s="11"/>
      <c r="AU427" s="11"/>
      <c r="AV427" s="11"/>
      <c r="AW427" s="11"/>
      <c r="AX427" s="11"/>
      <c r="AY427" s="11"/>
      <c r="AZ427" s="11"/>
      <c r="BA427" s="11"/>
      <c r="BB427" s="11"/>
      <c r="BC427" s="11"/>
      <c r="BD427" t="s" s="10">
        <v>428</v>
      </c>
      <c r="BE427" t="s" s="10">
        <v>1519</v>
      </c>
      <c r="BF427" s="18">
        <v>4</v>
      </c>
      <c r="BG427" s="18">
        <v>64</v>
      </c>
      <c r="BH427" s="11"/>
      <c r="BI427" s="11"/>
      <c r="BJ427" s="11"/>
      <c r="BK427" s="11"/>
      <c r="BL427" s="11"/>
      <c r="BM427" s="11"/>
      <c r="BN427" t="s" s="10">
        <v>69</v>
      </c>
      <c r="BO427" s="12"/>
      <c r="BP427" s="8"/>
    </row>
    <row r="428" ht="13.55" customHeight="1">
      <c r="A428" t="s" s="13">
        <v>1531</v>
      </c>
      <c r="B428" s="14"/>
      <c r="C428" t="str" s="14" cm="1">
        <f t="array" ref="C428">_xlfn.IFERROR((VLOOKUP(A428,#REF!,2,FALSE)),"")</f>
      </c>
      <c r="D428" t="s" s="15">
        <v>70</v>
      </c>
      <c r="E428" t="s" s="15">
        <v>1484</v>
      </c>
      <c r="F428" s="14"/>
      <c r="G428" t="s" s="15">
        <v>1532</v>
      </c>
      <c r="H428" t="s" s="15">
        <v>1486</v>
      </c>
      <c r="I428" t="s" s="15">
        <v>111</v>
      </c>
      <c r="J428" t="s" s="15">
        <v>122</v>
      </c>
      <c r="K428" t="s" s="15">
        <v>113</v>
      </c>
      <c r="L428" t="s" s="15">
        <v>76</v>
      </c>
      <c r="M428" t="s" s="15">
        <v>1532</v>
      </c>
      <c r="N428" t="s" s="15">
        <v>1532</v>
      </c>
      <c r="O428" s="14"/>
      <c r="P428" t="s" s="15">
        <v>122</v>
      </c>
      <c r="Q428" t="s" s="15">
        <v>78</v>
      </c>
      <c r="R428" t="s" s="15">
        <v>83</v>
      </c>
      <c r="S428" s="14"/>
      <c r="T428" t="s" s="15">
        <v>69</v>
      </c>
      <c r="U428" s="14"/>
      <c r="V428" t="s" s="15">
        <v>69</v>
      </c>
      <c r="W428" s="14"/>
      <c r="X428" t="s" s="15">
        <v>69</v>
      </c>
      <c r="Y428" s="14"/>
      <c r="Z428" t="s" s="15">
        <v>76</v>
      </c>
      <c r="AA428" s="14"/>
      <c r="AB428" t="s" s="15">
        <v>76</v>
      </c>
      <c r="AC428" s="14"/>
      <c r="AD428" s="14"/>
      <c r="AE428" t="s" s="15">
        <v>1531</v>
      </c>
      <c r="AF428" s="14"/>
      <c r="AG428" t="s" s="15">
        <v>299</v>
      </c>
      <c r="AH428" t="s" s="15">
        <v>114</v>
      </c>
      <c r="AI428" t="s" s="15">
        <v>717</v>
      </c>
      <c r="AJ428" s="14"/>
      <c r="AK428" t="s" s="15">
        <v>524</v>
      </c>
      <c r="AL428" t="s" s="15">
        <v>293</v>
      </c>
      <c r="AM428" t="s" s="15">
        <v>294</v>
      </c>
      <c r="AN428" t="s" s="15">
        <v>1514</v>
      </c>
      <c r="AO428" s="17">
        <v>4</v>
      </c>
      <c r="AP428" s="17">
        <v>65536</v>
      </c>
      <c r="AQ428" s="17">
        <v>209651</v>
      </c>
      <c r="AR428" s="17">
        <v>164818</v>
      </c>
      <c r="AS428" t="s" s="15">
        <v>1533</v>
      </c>
      <c r="AT428" s="14"/>
      <c r="AU428" s="14"/>
      <c r="AV428" s="14"/>
      <c r="AW428" s="14"/>
      <c r="AX428" s="14"/>
      <c r="AY428" s="14"/>
      <c r="AZ428" s="14"/>
      <c r="BA428" s="14"/>
      <c r="BB428" s="14"/>
      <c r="BC428" s="14"/>
      <c r="BD428" t="s" s="15">
        <v>428</v>
      </c>
      <c r="BE428" t="s" s="15">
        <v>1519</v>
      </c>
      <c r="BF428" s="17">
        <v>4</v>
      </c>
      <c r="BG428" s="17">
        <v>64</v>
      </c>
      <c r="BH428" s="14"/>
      <c r="BI428" s="14"/>
      <c r="BJ428" s="14"/>
      <c r="BK428" s="14"/>
      <c r="BL428" s="14"/>
      <c r="BM428" s="14"/>
      <c r="BN428" t="s" s="15">
        <v>69</v>
      </c>
      <c r="BO428" s="16"/>
      <c r="BP428" s="8"/>
    </row>
    <row r="429" ht="15" customHeight="1">
      <c r="A429" t="s" s="9">
        <v>1534</v>
      </c>
      <c r="B429" s="11"/>
      <c r="C429" t="str" s="11" cm="1">
        <f t="array" ref="C429">_xlfn.IFERROR((VLOOKUP(A429,#REF!,2,FALSE)),"")</f>
      </c>
      <c r="D429" t="s" s="10">
        <v>70</v>
      </c>
      <c r="E429" t="s" s="10">
        <v>1484</v>
      </c>
      <c r="F429" s="11"/>
      <c r="G429" t="s" s="10">
        <v>1535</v>
      </c>
      <c r="H429" t="s" s="10">
        <v>1486</v>
      </c>
      <c r="I429" t="s" s="10">
        <v>111</v>
      </c>
      <c r="J429" t="s" s="10">
        <v>122</v>
      </c>
      <c r="K429" t="s" s="10">
        <v>113</v>
      </c>
      <c r="L429" t="s" s="10">
        <v>76</v>
      </c>
      <c r="M429" t="s" s="10">
        <v>1535</v>
      </c>
      <c r="N429" t="s" s="10">
        <v>1535</v>
      </c>
      <c r="O429" s="11"/>
      <c r="P429" t="s" s="10">
        <v>122</v>
      </c>
      <c r="Q429" t="s" s="10">
        <v>78</v>
      </c>
      <c r="R429" t="s" s="10">
        <v>83</v>
      </c>
      <c r="S429" s="11"/>
      <c r="T429" t="s" s="10">
        <v>69</v>
      </c>
      <c r="U429" s="11"/>
      <c r="V429" t="s" s="10">
        <v>69</v>
      </c>
      <c r="W429" s="11"/>
      <c r="X429" t="s" s="10">
        <v>69</v>
      </c>
      <c r="Y429" s="11"/>
      <c r="Z429" t="s" s="10">
        <v>76</v>
      </c>
      <c r="AA429" s="11"/>
      <c r="AB429" t="s" s="10">
        <v>76</v>
      </c>
      <c r="AC429" s="11"/>
      <c r="AD429" s="11"/>
      <c r="AE429" t="s" s="10">
        <v>1534</v>
      </c>
      <c r="AF429" s="11"/>
      <c r="AG429" t="s" s="10">
        <v>299</v>
      </c>
      <c r="AH429" t="s" s="10">
        <v>114</v>
      </c>
      <c r="AI429" t="s" s="10">
        <v>717</v>
      </c>
      <c r="AJ429" s="11"/>
      <c r="AK429" t="s" s="10">
        <v>524</v>
      </c>
      <c r="AL429" t="s" s="10">
        <v>293</v>
      </c>
      <c r="AM429" t="s" s="10">
        <v>294</v>
      </c>
      <c r="AN429" t="s" s="10">
        <v>1536</v>
      </c>
      <c r="AO429" s="18">
        <v>4</v>
      </c>
      <c r="AP429" s="18">
        <v>65536</v>
      </c>
      <c r="AQ429" s="18">
        <v>218013</v>
      </c>
      <c r="AR429" s="18">
        <v>169032</v>
      </c>
      <c r="AS429" t="s" s="10">
        <v>1537</v>
      </c>
      <c r="AT429" s="11"/>
      <c r="AU429" s="11"/>
      <c r="AV429" s="11"/>
      <c r="AW429" s="11"/>
      <c r="AX429" s="11"/>
      <c r="AY429" s="11"/>
      <c r="AZ429" s="11"/>
      <c r="BA429" s="11"/>
      <c r="BB429" s="11"/>
      <c r="BC429" s="11"/>
      <c r="BD429" t="s" s="10">
        <v>428</v>
      </c>
      <c r="BE429" t="s" s="10">
        <v>1519</v>
      </c>
      <c r="BF429" s="18">
        <v>4</v>
      </c>
      <c r="BG429" s="18">
        <v>64</v>
      </c>
      <c r="BH429" s="11"/>
      <c r="BI429" s="11"/>
      <c r="BJ429" s="11"/>
      <c r="BK429" s="11"/>
      <c r="BL429" s="11"/>
      <c r="BM429" s="11"/>
      <c r="BN429" t="s" s="10">
        <v>69</v>
      </c>
      <c r="BO429" s="12"/>
      <c r="BP429" s="8"/>
    </row>
    <row r="430" ht="15" customHeight="1">
      <c r="A430" t="s" s="13">
        <v>1538</v>
      </c>
      <c r="B430" s="14"/>
      <c r="C430" t="str" s="14" cm="1">
        <f t="array" ref="C430">_xlfn.IFERROR((VLOOKUP(A430,#REF!,2,FALSE)),"")</f>
      </c>
      <c r="D430" t="s" s="15">
        <v>70</v>
      </c>
      <c r="E430" t="s" s="15">
        <v>1484</v>
      </c>
      <c r="F430" s="14"/>
      <c r="G430" t="s" s="15">
        <v>1539</v>
      </c>
      <c r="H430" t="s" s="15">
        <v>1486</v>
      </c>
      <c r="I430" t="s" s="15">
        <v>111</v>
      </c>
      <c r="J430" t="s" s="15">
        <v>122</v>
      </c>
      <c r="K430" t="s" s="15">
        <v>113</v>
      </c>
      <c r="L430" t="s" s="15">
        <v>76</v>
      </c>
      <c r="M430" t="s" s="15">
        <v>1539</v>
      </c>
      <c r="N430" t="s" s="15">
        <v>1539</v>
      </c>
      <c r="O430" s="14"/>
      <c r="P430" t="s" s="15">
        <v>122</v>
      </c>
      <c r="Q430" t="s" s="15">
        <v>78</v>
      </c>
      <c r="R430" t="s" s="15">
        <v>83</v>
      </c>
      <c r="S430" s="14"/>
      <c r="T430" t="s" s="15">
        <v>69</v>
      </c>
      <c r="U430" s="14"/>
      <c r="V430" t="s" s="15">
        <v>69</v>
      </c>
      <c r="W430" s="14"/>
      <c r="X430" t="s" s="15">
        <v>69</v>
      </c>
      <c r="Y430" s="14"/>
      <c r="Z430" t="s" s="15">
        <v>76</v>
      </c>
      <c r="AA430" s="14"/>
      <c r="AB430" t="s" s="15">
        <v>76</v>
      </c>
      <c r="AC430" s="14"/>
      <c r="AD430" s="14"/>
      <c r="AE430" t="s" s="15">
        <v>1538</v>
      </c>
      <c r="AF430" s="14"/>
      <c r="AG430" t="s" s="15">
        <v>299</v>
      </c>
      <c r="AH430" t="s" s="15">
        <v>114</v>
      </c>
      <c r="AI430" t="s" s="15">
        <v>717</v>
      </c>
      <c r="AJ430" s="14"/>
      <c r="AK430" t="s" s="15">
        <v>524</v>
      </c>
      <c r="AL430" t="s" s="15">
        <v>293</v>
      </c>
      <c r="AM430" t="s" s="15">
        <v>294</v>
      </c>
      <c r="AN430" t="s" s="15">
        <v>1526</v>
      </c>
      <c r="AO430" s="17">
        <v>4</v>
      </c>
      <c r="AP430" s="17">
        <v>16384</v>
      </c>
      <c r="AQ430" s="17">
        <v>139533</v>
      </c>
      <c r="AR430" s="17">
        <v>139533</v>
      </c>
      <c r="AS430" t="s" s="15">
        <v>1540</v>
      </c>
      <c r="AT430" s="14"/>
      <c r="AU430" s="14"/>
      <c r="AV430" s="14"/>
      <c r="AW430" s="14"/>
      <c r="AX430" s="14"/>
      <c r="AY430" s="14"/>
      <c r="AZ430" s="14"/>
      <c r="BA430" s="14"/>
      <c r="BB430" s="14"/>
      <c r="BC430" s="14"/>
      <c r="BD430" t="s" s="15">
        <v>366</v>
      </c>
      <c r="BE430" t="s" s="15">
        <v>394</v>
      </c>
      <c r="BF430" s="17">
        <v>4</v>
      </c>
      <c r="BG430" s="17">
        <v>16</v>
      </c>
      <c r="BH430" s="14"/>
      <c r="BI430" s="14"/>
      <c r="BJ430" s="14"/>
      <c r="BK430" s="14"/>
      <c r="BL430" s="14"/>
      <c r="BM430" s="14"/>
      <c r="BN430" t="s" s="15">
        <v>69</v>
      </c>
      <c r="BO430" s="16"/>
      <c r="BP430" s="8"/>
    </row>
    <row r="431" ht="15" customHeight="1">
      <c r="A431" t="s" s="9">
        <v>1541</v>
      </c>
      <c r="B431" s="11"/>
      <c r="C431" t="str" s="11" cm="1">
        <f t="array" ref="C431">_xlfn.IFERROR((VLOOKUP(A431,#REF!,2,FALSE)),"")</f>
      </c>
      <c r="D431" t="s" s="10">
        <v>70</v>
      </c>
      <c r="E431" t="s" s="10">
        <v>1484</v>
      </c>
      <c r="F431" s="11"/>
      <c r="G431" t="s" s="10">
        <v>1542</v>
      </c>
      <c r="H431" t="s" s="10">
        <v>1486</v>
      </c>
      <c r="I431" t="s" s="10">
        <v>111</v>
      </c>
      <c r="J431" t="s" s="10">
        <v>122</v>
      </c>
      <c r="K431" t="s" s="10">
        <v>113</v>
      </c>
      <c r="L431" t="s" s="10">
        <v>76</v>
      </c>
      <c r="M431" t="s" s="10">
        <v>1542</v>
      </c>
      <c r="N431" t="s" s="10">
        <v>1542</v>
      </c>
      <c r="O431" s="11"/>
      <c r="P431" t="s" s="10">
        <v>122</v>
      </c>
      <c r="Q431" t="s" s="10">
        <v>78</v>
      </c>
      <c r="R431" t="s" s="10">
        <v>83</v>
      </c>
      <c r="S431" s="11"/>
      <c r="T431" t="s" s="10">
        <v>69</v>
      </c>
      <c r="U431" s="11"/>
      <c r="V431" t="s" s="10">
        <v>69</v>
      </c>
      <c r="W431" s="11"/>
      <c r="X431" t="s" s="10">
        <v>69</v>
      </c>
      <c r="Y431" s="11"/>
      <c r="Z431" t="s" s="10">
        <v>76</v>
      </c>
      <c r="AA431" s="11"/>
      <c r="AB431" t="s" s="10">
        <v>76</v>
      </c>
      <c r="AC431" s="11"/>
      <c r="AD431" s="11"/>
      <c r="AE431" t="s" s="10">
        <v>1541</v>
      </c>
      <c r="AF431" s="11"/>
      <c r="AG431" t="s" s="10">
        <v>299</v>
      </c>
      <c r="AH431" t="s" s="10">
        <v>114</v>
      </c>
      <c r="AI431" t="s" s="10">
        <v>717</v>
      </c>
      <c r="AJ431" s="11"/>
      <c r="AK431" t="s" s="10">
        <v>524</v>
      </c>
      <c r="AL431" t="s" s="10">
        <v>293</v>
      </c>
      <c r="AM431" t="s" s="10">
        <v>294</v>
      </c>
      <c r="AN431" t="s" s="10">
        <v>1514</v>
      </c>
      <c r="AO431" s="18">
        <v>4</v>
      </c>
      <c r="AP431" s="18">
        <v>8192</v>
      </c>
      <c r="AQ431" s="18">
        <v>39067</v>
      </c>
      <c r="AR431" s="18">
        <v>39067</v>
      </c>
      <c r="AS431" t="s" s="10">
        <v>1543</v>
      </c>
      <c r="AT431" s="11"/>
      <c r="AU431" s="11"/>
      <c r="AV431" s="11"/>
      <c r="AW431" s="11"/>
      <c r="AX431" s="11"/>
      <c r="AY431" s="11"/>
      <c r="AZ431" s="11"/>
      <c r="BA431" s="11"/>
      <c r="BB431" s="11"/>
      <c r="BC431" s="11"/>
      <c r="BD431" t="s" s="10">
        <v>310</v>
      </c>
      <c r="BE431" t="s" s="10">
        <v>356</v>
      </c>
      <c r="BF431" s="18">
        <v>4</v>
      </c>
      <c r="BG431" s="18">
        <v>8</v>
      </c>
      <c r="BH431" s="11"/>
      <c r="BI431" s="11"/>
      <c r="BJ431" s="11"/>
      <c r="BK431" s="11"/>
      <c r="BL431" s="11"/>
      <c r="BM431" s="11"/>
      <c r="BN431" t="s" s="10">
        <v>69</v>
      </c>
      <c r="BO431" s="12"/>
      <c r="BP431" s="8"/>
    </row>
    <row r="432" ht="15" customHeight="1">
      <c r="A432" t="s" s="13">
        <v>1544</v>
      </c>
      <c r="B432" s="14"/>
      <c r="C432" t="str" s="14" cm="1">
        <f t="array" ref="C432">_xlfn.IFERROR((VLOOKUP(A432,#REF!,2,FALSE)),"")</f>
      </c>
      <c r="D432" s="14"/>
      <c r="E432" t="s" s="15">
        <v>1545</v>
      </c>
      <c r="F432" s="14"/>
      <c r="G432" t="s" s="15">
        <v>1546</v>
      </c>
      <c r="H432" t="s" s="15">
        <v>1464</v>
      </c>
      <c r="I432" t="s" s="15">
        <v>111</v>
      </c>
      <c r="J432" t="s" s="15">
        <v>122</v>
      </c>
      <c r="K432" t="s" s="15">
        <v>113</v>
      </c>
      <c r="L432" t="s" s="15">
        <v>1465</v>
      </c>
      <c r="M432" t="s" s="15">
        <v>1547</v>
      </c>
      <c r="N432" t="s" s="15">
        <v>1547</v>
      </c>
      <c r="O432" s="14"/>
      <c r="P432" t="s" s="15">
        <v>122</v>
      </c>
      <c r="Q432" t="s" s="15">
        <v>69</v>
      </c>
      <c r="R432" t="s" s="15">
        <v>323</v>
      </c>
      <c r="S432" t="s" s="15">
        <v>69</v>
      </c>
      <c r="T432" s="14"/>
      <c r="U432" s="14"/>
      <c r="V432" t="s" s="15">
        <v>69</v>
      </c>
      <c r="W432" s="14"/>
      <c r="X432" t="s" s="15">
        <v>69</v>
      </c>
      <c r="Y432" s="14"/>
      <c r="Z432" t="s" s="15">
        <v>1467</v>
      </c>
      <c r="AA432" s="14"/>
      <c r="AB432" t="s" s="15">
        <v>1468</v>
      </c>
      <c r="AC432" t="s" s="15">
        <v>1544</v>
      </c>
      <c r="AD432" s="14"/>
      <c r="AE432" t="s" s="15">
        <v>1548</v>
      </c>
      <c r="AF432" s="14"/>
      <c r="AG432" t="s" s="15">
        <v>299</v>
      </c>
      <c r="AH432" t="s" s="15">
        <v>114</v>
      </c>
      <c r="AI432" t="s" s="15">
        <v>440</v>
      </c>
      <c r="AJ432" s="14"/>
      <c r="AK432" t="s" s="15">
        <v>83</v>
      </c>
      <c r="AL432" t="s" s="15">
        <v>293</v>
      </c>
      <c r="AM432" t="s" s="15">
        <v>294</v>
      </c>
      <c r="AN432" t="s" s="15">
        <v>187</v>
      </c>
      <c r="AO432" s="17">
        <v>8</v>
      </c>
      <c r="AP432" s="17">
        <v>32768</v>
      </c>
      <c r="AQ432" s="17">
        <v>470983</v>
      </c>
      <c r="AR432" s="17">
        <v>237095</v>
      </c>
      <c r="AS432" t="s" s="15">
        <v>1549</v>
      </c>
      <c r="AT432" s="14"/>
      <c r="AU432" s="14"/>
      <c r="AV432" s="14"/>
      <c r="AW432" s="14"/>
      <c r="AX432" s="14"/>
      <c r="AY432" s="14"/>
      <c r="AZ432" s="14"/>
      <c r="BA432" s="14"/>
      <c r="BB432" s="14"/>
      <c r="BC432" s="14"/>
      <c r="BD432" t="s" s="15">
        <v>366</v>
      </c>
      <c r="BE432" t="s" s="15">
        <v>367</v>
      </c>
      <c r="BF432" s="17">
        <v>8</v>
      </c>
      <c r="BG432" s="17">
        <v>32</v>
      </c>
      <c r="BH432" s="14"/>
      <c r="BI432" s="14"/>
      <c r="BJ432" s="14"/>
      <c r="BK432" s="14"/>
      <c r="BL432" s="14"/>
      <c r="BM432" s="14"/>
      <c r="BN432" t="s" s="15">
        <v>69</v>
      </c>
      <c r="BO432" s="16"/>
      <c r="BP432" s="8"/>
    </row>
    <row r="433" ht="15" customHeight="1" hidden="1">
      <c r="A433" t="s" s="9">
        <v>1548</v>
      </c>
      <c r="B433" s="11"/>
      <c r="C433" t="str" s="11" cm="1">
        <f t="array" ref="C433">_xlfn.IFERROR((VLOOKUP(A433,#REF!,2,FALSE)),"")</f>
      </c>
      <c r="D433" s="11"/>
      <c r="E433" s="11"/>
      <c r="F433" s="11"/>
      <c r="G433" t="s" s="10">
        <v>1550</v>
      </c>
      <c r="H433" t="s" s="10">
        <v>524</v>
      </c>
      <c r="I433" t="s" s="10">
        <v>111</v>
      </c>
      <c r="J433" t="s" s="10">
        <v>517</v>
      </c>
      <c r="K433" t="s" s="10">
        <v>113</v>
      </c>
      <c r="L433" t="s" s="10">
        <v>518</v>
      </c>
      <c r="M433" t="s" s="10">
        <v>1550</v>
      </c>
      <c r="N433" t="s" s="10">
        <v>1550</v>
      </c>
      <c r="O433" s="11"/>
      <c r="P433" t="s" s="10">
        <v>517</v>
      </c>
      <c r="Q433" t="s" s="10">
        <v>78</v>
      </c>
      <c r="R433" t="s" s="10">
        <v>339</v>
      </c>
      <c r="S433" s="11"/>
      <c r="T433" t="s" s="10">
        <v>69</v>
      </c>
      <c r="U433" s="11"/>
      <c r="V433" t="s" s="10">
        <v>69</v>
      </c>
      <c r="W433" s="11"/>
      <c r="X433" t="s" s="10">
        <v>69</v>
      </c>
      <c r="Y433" s="11"/>
      <c r="Z433" t="s" s="10">
        <v>552</v>
      </c>
      <c r="AA433" s="11"/>
      <c r="AB433" t="s" s="10">
        <v>1551</v>
      </c>
      <c r="AC433" s="11"/>
      <c r="AD433" s="11"/>
      <c r="AE433" t="s" s="10">
        <v>1548</v>
      </c>
      <c r="AF433" s="11"/>
      <c r="AG433" t="s" s="10">
        <v>299</v>
      </c>
      <c r="AH433" t="s" s="10">
        <v>289</v>
      </c>
      <c r="AI433" t="s" s="10">
        <v>440</v>
      </c>
      <c r="AJ433" s="11"/>
      <c r="AK433" t="s" s="10">
        <v>524</v>
      </c>
      <c r="AL433" t="s" s="10">
        <v>293</v>
      </c>
      <c r="AM433" t="s" s="10">
        <v>294</v>
      </c>
      <c r="AN433" t="s" s="10">
        <v>142</v>
      </c>
      <c r="AO433" s="18">
        <v>4</v>
      </c>
      <c r="AP433" s="18">
        <v>12288</v>
      </c>
      <c r="AQ433" s="18">
        <v>114880</v>
      </c>
      <c r="AR433" s="18">
        <v>114880</v>
      </c>
      <c r="AS433" t="s" s="10">
        <v>1552</v>
      </c>
      <c r="AT433" s="11"/>
      <c r="AU433" s="11"/>
      <c r="AV433" s="11"/>
      <c r="AW433" t="s" s="10">
        <v>1553</v>
      </c>
      <c r="AX433" s="11"/>
      <c r="AY433" s="11"/>
      <c r="AZ433" s="11"/>
      <c r="BA433" s="11"/>
      <c r="BB433" s="11"/>
      <c r="BC433" s="11"/>
      <c r="BD433" s="11"/>
      <c r="BE433" s="11"/>
      <c r="BF433" s="11"/>
      <c r="BG433" s="11"/>
      <c r="BH433" s="11"/>
      <c r="BI433" s="11"/>
      <c r="BJ433" s="11"/>
      <c r="BK433" s="11"/>
      <c r="BL433" s="11"/>
      <c r="BM433" s="11"/>
      <c r="BN433" t="s" s="10">
        <v>78</v>
      </c>
      <c r="BO433" s="12"/>
      <c r="BP433" s="8"/>
    </row>
    <row r="434" ht="15" customHeight="1" hidden="1">
      <c r="A434" t="s" s="13">
        <v>1554</v>
      </c>
      <c r="B434" s="14"/>
      <c r="C434" t="str" s="14" cm="1">
        <f t="array" ref="C434">_xlfn.IFERROR((VLOOKUP(A434,#REF!,2,FALSE)),"")</f>
      </c>
      <c r="D434" s="14"/>
      <c r="E434" s="14"/>
      <c r="F434" s="14"/>
      <c r="G434" t="s" s="15">
        <v>1555</v>
      </c>
      <c r="H434" t="s" s="15">
        <v>524</v>
      </c>
      <c r="I434" t="s" s="15">
        <v>111</v>
      </c>
      <c r="J434" t="s" s="15">
        <v>517</v>
      </c>
      <c r="K434" t="s" s="15">
        <v>113</v>
      </c>
      <c r="L434" t="s" s="15">
        <v>518</v>
      </c>
      <c r="M434" t="s" s="15">
        <v>1555</v>
      </c>
      <c r="N434" t="s" s="15">
        <v>1555</v>
      </c>
      <c r="O434" s="14"/>
      <c r="P434" t="s" s="15">
        <v>517</v>
      </c>
      <c r="Q434" t="s" s="15">
        <v>78</v>
      </c>
      <c r="R434" t="s" s="15">
        <v>339</v>
      </c>
      <c r="S434" s="14"/>
      <c r="T434" t="s" s="15">
        <v>69</v>
      </c>
      <c r="U434" s="14"/>
      <c r="V434" t="s" s="15">
        <v>69</v>
      </c>
      <c r="W434" s="14"/>
      <c r="X434" t="s" s="15">
        <v>69</v>
      </c>
      <c r="Y434" s="14"/>
      <c r="Z434" t="s" s="15">
        <v>552</v>
      </c>
      <c r="AA434" s="14"/>
      <c r="AB434" t="s" s="15">
        <v>1551</v>
      </c>
      <c r="AC434" s="14"/>
      <c r="AD434" s="14"/>
      <c r="AE434" t="s" s="15">
        <v>1554</v>
      </c>
      <c r="AF434" s="14"/>
      <c r="AG434" t="s" s="15">
        <v>299</v>
      </c>
      <c r="AH434" t="s" s="15">
        <v>289</v>
      </c>
      <c r="AI434" t="s" s="15">
        <v>76</v>
      </c>
      <c r="AJ434" t="s" s="15">
        <v>76</v>
      </c>
      <c r="AK434" t="s" s="15">
        <v>524</v>
      </c>
      <c r="AL434" t="s" s="15">
        <v>293</v>
      </c>
      <c r="AM434" t="s" s="15">
        <v>294</v>
      </c>
      <c r="AN434" t="s" s="15">
        <v>1556</v>
      </c>
      <c r="AO434" s="17">
        <v>4</v>
      </c>
      <c r="AP434" s="17">
        <v>8192</v>
      </c>
      <c r="AQ434" s="17">
        <v>110699</v>
      </c>
      <c r="AR434" s="17">
        <v>110699</v>
      </c>
      <c r="AS434" t="s" s="15">
        <v>1557</v>
      </c>
      <c r="AT434" s="14"/>
      <c r="AU434" s="14"/>
      <c r="AV434" s="14"/>
      <c r="AW434" t="s" s="15">
        <v>1558</v>
      </c>
      <c r="AX434" s="14"/>
      <c r="AY434" s="14"/>
      <c r="AZ434" s="14"/>
      <c r="BA434" s="14"/>
      <c r="BB434" s="14"/>
      <c r="BC434" s="14"/>
      <c r="BD434" s="14"/>
      <c r="BE434" s="14"/>
      <c r="BF434" s="14"/>
      <c r="BG434" s="14"/>
      <c r="BH434" s="14"/>
      <c r="BI434" s="14"/>
      <c r="BJ434" s="14"/>
      <c r="BK434" s="14"/>
      <c r="BL434" s="14"/>
      <c r="BM434" s="14"/>
      <c r="BN434" t="s" s="15">
        <v>78</v>
      </c>
      <c r="BO434" s="16"/>
      <c r="BP434" s="8"/>
    </row>
    <row r="435" ht="9" customHeight="1" hidden="1">
      <c r="A435" t="s" s="9">
        <v>1559</v>
      </c>
      <c r="B435" s="11"/>
      <c r="C435" t="str" s="11" cm="1">
        <f t="array" ref="C435">_xlfn.IFERROR((VLOOKUP(A435,#REF!,2,FALSE)),"")</f>
      </c>
      <c r="D435" s="11"/>
      <c r="E435" s="11"/>
      <c r="F435" s="11"/>
      <c r="G435" t="s" s="10">
        <v>1560</v>
      </c>
      <c r="H435" t="s" s="10">
        <v>516</v>
      </c>
      <c r="I435" t="s" s="10">
        <v>111</v>
      </c>
      <c r="J435" t="s" s="10">
        <v>517</v>
      </c>
      <c r="K435" t="s" s="10">
        <v>113</v>
      </c>
      <c r="L435" t="s" s="10">
        <v>518</v>
      </c>
      <c r="M435" t="s" s="10">
        <v>1560</v>
      </c>
      <c r="N435" t="s" s="10">
        <v>1560</v>
      </c>
      <c r="O435" s="11"/>
      <c r="P435" t="s" s="10">
        <v>517</v>
      </c>
      <c r="Q435" t="s" s="10">
        <v>78</v>
      </c>
      <c r="R435" t="s" s="10">
        <v>83</v>
      </c>
      <c r="S435" s="11"/>
      <c r="T435" t="s" s="10">
        <v>69</v>
      </c>
      <c r="U435" s="11"/>
      <c r="V435" t="s" s="10">
        <v>69</v>
      </c>
      <c r="W435" s="11"/>
      <c r="X435" t="s" s="10">
        <v>69</v>
      </c>
      <c r="Y435" s="11"/>
      <c r="Z435" t="s" s="10">
        <v>205</v>
      </c>
      <c r="AA435" s="11"/>
      <c r="AB435" t="s" s="10">
        <v>520</v>
      </c>
      <c r="AC435" s="11"/>
      <c r="AD435" s="11"/>
      <c r="AE435" t="s" s="10">
        <v>1559</v>
      </c>
      <c r="AF435" s="11"/>
      <c r="AG435" t="s" s="10">
        <v>299</v>
      </c>
      <c r="AH435" t="s" s="10">
        <v>289</v>
      </c>
      <c r="AI435" t="s" s="10">
        <v>440</v>
      </c>
      <c r="AJ435" s="11"/>
      <c r="AK435" t="s" s="10">
        <v>524</v>
      </c>
      <c r="AL435" t="s" s="10">
        <v>293</v>
      </c>
      <c r="AM435" t="s" s="10">
        <v>294</v>
      </c>
      <c r="AN435" t="s" s="10">
        <v>1561</v>
      </c>
      <c r="AO435" s="18">
        <v>4</v>
      </c>
      <c r="AP435" s="18">
        <v>8192</v>
      </c>
      <c r="AQ435" s="18">
        <v>254064</v>
      </c>
      <c r="AR435" s="18">
        <v>107487</v>
      </c>
      <c r="AS435" t="s" s="10">
        <v>1562</v>
      </c>
      <c r="AT435" s="11"/>
      <c r="AU435" s="11"/>
      <c r="AV435" s="11"/>
      <c r="AW435" t="s" s="10">
        <v>1563</v>
      </c>
      <c r="AX435" s="11"/>
      <c r="AY435" s="11"/>
      <c r="AZ435" s="11"/>
      <c r="BA435" s="11"/>
      <c r="BB435" s="11"/>
      <c r="BC435" s="11"/>
      <c r="BD435" s="11"/>
      <c r="BE435" s="11"/>
      <c r="BF435" s="11"/>
      <c r="BG435" s="11"/>
      <c r="BH435" s="11"/>
      <c r="BI435" s="11"/>
      <c r="BJ435" s="11"/>
      <c r="BK435" s="11"/>
      <c r="BL435" s="11"/>
      <c r="BM435" s="11"/>
      <c r="BN435" t="s" s="10">
        <v>78</v>
      </c>
      <c r="BO435" s="12"/>
      <c r="BP435" s="8"/>
    </row>
    <row r="436" ht="9" customHeight="1" hidden="1">
      <c r="A436" t="s" s="13">
        <v>1564</v>
      </c>
      <c r="B436" s="14"/>
      <c r="C436" t="str" s="14" cm="1">
        <f t="array" ref="C436">_xlfn.IFERROR((VLOOKUP(A436,#REF!,2,FALSE)),"")</f>
      </c>
      <c r="D436" s="14"/>
      <c r="E436" s="14"/>
      <c r="F436" s="14"/>
      <c r="G436" t="s" s="15">
        <v>1565</v>
      </c>
      <c r="H436" t="s" s="15">
        <v>1237</v>
      </c>
      <c r="I436" t="s" s="15">
        <v>111</v>
      </c>
      <c r="J436" t="s" s="15">
        <v>112</v>
      </c>
      <c r="K436" t="s" s="15">
        <v>113</v>
      </c>
      <c r="L436" t="s" s="15">
        <v>518</v>
      </c>
      <c r="M436" t="s" s="15">
        <v>1565</v>
      </c>
      <c r="N436" t="s" s="15">
        <v>1565</v>
      </c>
      <c r="O436" s="14"/>
      <c r="P436" t="s" s="15">
        <v>112</v>
      </c>
      <c r="Q436" t="s" s="15">
        <v>78</v>
      </c>
      <c r="R436" t="s" s="15">
        <v>83</v>
      </c>
      <c r="S436" s="14"/>
      <c r="T436" t="s" s="15">
        <v>69</v>
      </c>
      <c r="U436" s="14"/>
      <c r="V436" t="s" s="15">
        <v>69</v>
      </c>
      <c r="W436" s="14"/>
      <c r="X436" t="s" s="15">
        <v>69</v>
      </c>
      <c r="Y436" s="14"/>
      <c r="Z436" t="s" s="15">
        <v>205</v>
      </c>
      <c r="AA436" s="14"/>
      <c r="AB436" t="s" s="15">
        <v>520</v>
      </c>
      <c r="AC436" s="14"/>
      <c r="AD436" s="14"/>
      <c r="AE436" t="s" s="15">
        <v>1564</v>
      </c>
      <c r="AF436" s="14"/>
      <c r="AG436" t="s" s="15">
        <v>299</v>
      </c>
      <c r="AH436" t="s" s="15">
        <v>289</v>
      </c>
      <c r="AI436" t="s" s="15">
        <v>440</v>
      </c>
      <c r="AJ436" s="14"/>
      <c r="AK436" t="s" s="15">
        <v>524</v>
      </c>
      <c r="AL436" t="s" s="15">
        <v>293</v>
      </c>
      <c r="AM436" t="s" s="15">
        <v>294</v>
      </c>
      <c r="AN436" t="s" s="15">
        <v>1264</v>
      </c>
      <c r="AO436" s="17">
        <v>4</v>
      </c>
      <c r="AP436" s="17">
        <v>4096</v>
      </c>
      <c r="AQ436" s="17">
        <v>249960</v>
      </c>
      <c r="AR436" s="17">
        <v>120316</v>
      </c>
      <c r="AS436" t="s" s="15">
        <v>1566</v>
      </c>
      <c r="AT436" s="14"/>
      <c r="AU436" s="14"/>
      <c r="AV436" s="14"/>
      <c r="AW436" t="s" s="15">
        <v>1567</v>
      </c>
      <c r="AX436" s="14"/>
      <c r="AY436" s="14"/>
      <c r="AZ436" s="14"/>
      <c r="BA436" s="14"/>
      <c r="BB436" s="14"/>
      <c r="BC436" s="14"/>
      <c r="BD436" s="14"/>
      <c r="BE436" s="14"/>
      <c r="BF436" s="14"/>
      <c r="BG436" s="14"/>
      <c r="BH436" s="14"/>
      <c r="BI436" s="14"/>
      <c r="BJ436" s="14"/>
      <c r="BK436" s="14"/>
      <c r="BL436" s="14"/>
      <c r="BM436" s="14"/>
      <c r="BN436" t="s" s="15">
        <v>78</v>
      </c>
      <c r="BO436" s="16"/>
      <c r="BP436" s="8"/>
    </row>
    <row r="437" ht="15" customHeight="1" hidden="1">
      <c r="A437" t="s" s="9">
        <v>1568</v>
      </c>
      <c r="B437" s="11"/>
      <c r="C437" t="str" s="11" cm="1">
        <f t="array" ref="C437">_xlfn.IFERROR((VLOOKUP(A437,#REF!,2,FALSE)),"")</f>
      </c>
      <c r="D437" s="11"/>
      <c r="E437" s="11"/>
      <c r="F437" s="11"/>
      <c r="G437" t="s" s="10">
        <v>1569</v>
      </c>
      <c r="H437" t="s" s="10">
        <v>516</v>
      </c>
      <c r="I437" t="s" s="10">
        <v>111</v>
      </c>
      <c r="J437" t="s" s="10">
        <v>112</v>
      </c>
      <c r="K437" t="s" s="10">
        <v>113</v>
      </c>
      <c r="L437" t="s" s="10">
        <v>518</v>
      </c>
      <c r="M437" t="s" s="10">
        <v>1569</v>
      </c>
      <c r="N437" t="s" s="10">
        <v>1569</v>
      </c>
      <c r="O437" s="11"/>
      <c r="P437" t="s" s="10">
        <v>112</v>
      </c>
      <c r="Q437" t="s" s="10">
        <v>78</v>
      </c>
      <c r="R437" t="s" s="10">
        <v>83</v>
      </c>
      <c r="S437" s="11"/>
      <c r="T437" t="s" s="10">
        <v>69</v>
      </c>
      <c r="U437" s="11"/>
      <c r="V437" t="s" s="10">
        <v>69</v>
      </c>
      <c r="W437" s="11"/>
      <c r="X437" t="s" s="10">
        <v>69</v>
      </c>
      <c r="Y437" s="11"/>
      <c r="Z437" t="s" s="10">
        <v>205</v>
      </c>
      <c r="AA437" s="11"/>
      <c r="AB437" t="s" s="10">
        <v>520</v>
      </c>
      <c r="AC437" s="11"/>
      <c r="AD437" s="11"/>
      <c r="AE437" t="s" s="10">
        <v>1568</v>
      </c>
      <c r="AF437" s="11"/>
      <c r="AG437" t="s" s="10">
        <v>299</v>
      </c>
      <c r="AH437" t="s" s="10">
        <v>289</v>
      </c>
      <c r="AI437" t="s" s="10">
        <v>440</v>
      </c>
      <c r="AJ437" s="11"/>
      <c r="AK437" t="s" s="10">
        <v>524</v>
      </c>
      <c r="AL437" t="s" s="10">
        <v>293</v>
      </c>
      <c r="AM437" t="s" s="10">
        <v>294</v>
      </c>
      <c r="AN437" t="s" s="10">
        <v>1561</v>
      </c>
      <c r="AO437" s="18">
        <v>4</v>
      </c>
      <c r="AP437" s="18">
        <v>8192</v>
      </c>
      <c r="AQ437" s="18">
        <v>254096</v>
      </c>
      <c r="AR437" s="18">
        <v>106934</v>
      </c>
      <c r="AS437" t="s" s="10">
        <v>1570</v>
      </c>
      <c r="AT437" s="11"/>
      <c r="AU437" s="11"/>
      <c r="AV437" s="11"/>
      <c r="AW437" t="s" s="10">
        <v>1571</v>
      </c>
      <c r="AX437" s="11"/>
      <c r="AY437" s="11"/>
      <c r="AZ437" s="11"/>
      <c r="BA437" s="11"/>
      <c r="BB437" s="11"/>
      <c r="BC437" s="11"/>
      <c r="BD437" s="11"/>
      <c r="BE437" s="11"/>
      <c r="BF437" s="11"/>
      <c r="BG437" s="11"/>
      <c r="BH437" s="11"/>
      <c r="BI437" s="11"/>
      <c r="BJ437" s="11"/>
      <c r="BK437" s="11"/>
      <c r="BL437" s="11"/>
      <c r="BM437" s="11"/>
      <c r="BN437" t="s" s="10">
        <v>78</v>
      </c>
      <c r="BO437" s="12"/>
      <c r="BP437" s="8"/>
    </row>
    <row r="438" ht="9" customHeight="1" hidden="1">
      <c r="A438" t="s" s="13">
        <v>1572</v>
      </c>
      <c r="B438" s="14"/>
      <c r="C438" t="str" s="14" cm="1">
        <f t="array" ref="C438">_xlfn.IFERROR((VLOOKUP(A438,#REF!,2,FALSE)),"")</f>
      </c>
      <c r="D438" s="14"/>
      <c r="E438" s="14"/>
      <c r="F438" s="14"/>
      <c r="G438" t="s" s="15">
        <v>1573</v>
      </c>
      <c r="H438" t="s" s="15">
        <v>1486</v>
      </c>
      <c r="I438" t="s" s="15">
        <v>111</v>
      </c>
      <c r="J438" t="s" s="15">
        <v>112</v>
      </c>
      <c r="K438" t="s" s="15">
        <v>113</v>
      </c>
      <c r="L438" t="s" s="15">
        <v>76</v>
      </c>
      <c r="M438" t="s" s="15">
        <v>1573</v>
      </c>
      <c r="N438" t="s" s="15">
        <v>1573</v>
      </c>
      <c r="O438" s="14"/>
      <c r="P438" t="s" s="15">
        <v>112</v>
      </c>
      <c r="Q438" t="s" s="15">
        <v>78</v>
      </c>
      <c r="R438" t="s" s="15">
        <v>83</v>
      </c>
      <c r="S438" s="14"/>
      <c r="T438" t="s" s="15">
        <v>69</v>
      </c>
      <c r="U438" s="14"/>
      <c r="V438" t="s" s="15">
        <v>78</v>
      </c>
      <c r="W438" s="14"/>
      <c r="X438" t="s" s="15">
        <v>69</v>
      </c>
      <c r="Y438" s="14"/>
      <c r="Z438" t="s" s="15">
        <v>76</v>
      </c>
      <c r="AA438" s="14"/>
      <c r="AB438" t="s" s="15">
        <v>76</v>
      </c>
      <c r="AC438" s="14"/>
      <c r="AD438" s="14"/>
      <c r="AE438" t="s" s="15">
        <v>1572</v>
      </c>
      <c r="AF438" s="14"/>
      <c r="AG438" t="s" s="15">
        <v>299</v>
      </c>
      <c r="AH438" t="s" s="15">
        <v>114</v>
      </c>
      <c r="AI438" t="s" s="15">
        <v>717</v>
      </c>
      <c r="AJ438" s="14"/>
      <c r="AK438" t="s" s="15">
        <v>524</v>
      </c>
      <c r="AL438" t="s" s="15">
        <v>293</v>
      </c>
      <c r="AM438" t="s" s="15">
        <v>294</v>
      </c>
      <c r="AN438" s="14"/>
      <c r="AO438" s="17">
        <v>4</v>
      </c>
      <c r="AP438" s="17">
        <v>16384</v>
      </c>
      <c r="AQ438" s="17">
        <v>77961</v>
      </c>
      <c r="AR438" s="17">
        <v>77961</v>
      </c>
      <c r="AS438" t="s" s="15">
        <v>1574</v>
      </c>
      <c r="AT438" s="14"/>
      <c r="AU438" s="14"/>
      <c r="AV438" s="14"/>
      <c r="AW438" s="14"/>
      <c r="AX438" s="14"/>
      <c r="AY438" s="14"/>
      <c r="AZ438" s="14"/>
      <c r="BA438" s="14"/>
      <c r="BB438" s="14"/>
      <c r="BC438" s="14"/>
      <c r="BD438" t="s" s="15">
        <v>366</v>
      </c>
      <c r="BE438" t="s" s="15">
        <v>394</v>
      </c>
      <c r="BF438" s="17">
        <v>4</v>
      </c>
      <c r="BG438" s="17">
        <v>16</v>
      </c>
      <c r="BH438" s="14"/>
      <c r="BI438" s="14"/>
      <c r="BJ438" s="14"/>
      <c r="BK438" s="14"/>
      <c r="BL438" s="14"/>
      <c r="BM438" s="14"/>
      <c r="BN438" t="s" s="15">
        <v>78</v>
      </c>
      <c r="BO438" s="16"/>
      <c r="BP438" s="8"/>
    </row>
    <row r="439" ht="15" customHeight="1" hidden="1">
      <c r="A439" t="s" s="9">
        <v>1575</v>
      </c>
      <c r="B439" s="11"/>
      <c r="C439" t="str" s="11" cm="1">
        <f t="array" ref="C439">_xlfn.IFERROR((VLOOKUP(A439,#REF!,2,FALSE)),"")</f>
      </c>
      <c r="D439" s="11"/>
      <c r="E439" s="11"/>
      <c r="F439" s="11"/>
      <c r="G439" t="s" s="10">
        <v>1576</v>
      </c>
      <c r="H439" t="s" s="10">
        <v>1486</v>
      </c>
      <c r="I439" t="s" s="10">
        <v>111</v>
      </c>
      <c r="J439" t="s" s="10">
        <v>112</v>
      </c>
      <c r="K439" t="s" s="10">
        <v>113</v>
      </c>
      <c r="L439" t="s" s="10">
        <v>76</v>
      </c>
      <c r="M439" t="s" s="10">
        <v>1576</v>
      </c>
      <c r="N439" t="s" s="10">
        <v>1576</v>
      </c>
      <c r="O439" s="11"/>
      <c r="P439" t="s" s="10">
        <v>469</v>
      </c>
      <c r="Q439" t="s" s="10">
        <v>78</v>
      </c>
      <c r="R439" t="s" s="10">
        <v>83</v>
      </c>
      <c r="S439" s="11"/>
      <c r="T439" t="s" s="10">
        <v>69</v>
      </c>
      <c r="U439" s="11"/>
      <c r="V439" t="s" s="10">
        <v>69</v>
      </c>
      <c r="W439" s="11"/>
      <c r="X439" t="s" s="10">
        <v>69</v>
      </c>
      <c r="Y439" s="11"/>
      <c r="Z439" t="s" s="10">
        <v>76</v>
      </c>
      <c r="AA439" s="11"/>
      <c r="AB439" t="s" s="10">
        <v>76</v>
      </c>
      <c r="AC439" s="11"/>
      <c r="AD439" s="11"/>
      <c r="AE439" t="s" s="10">
        <v>1575</v>
      </c>
      <c r="AF439" s="11"/>
      <c r="AG439" t="s" s="10">
        <v>299</v>
      </c>
      <c r="AH439" t="s" s="10">
        <v>114</v>
      </c>
      <c r="AI439" t="s" s="10">
        <v>717</v>
      </c>
      <c r="AJ439" s="11"/>
      <c r="AK439" t="s" s="10">
        <v>524</v>
      </c>
      <c r="AL439" t="s" s="10">
        <v>293</v>
      </c>
      <c r="AM439" t="s" s="10">
        <v>294</v>
      </c>
      <c r="AN439" t="s" s="10">
        <v>1577</v>
      </c>
      <c r="AO439" s="18">
        <v>4</v>
      </c>
      <c r="AP439" s="18">
        <v>16384</v>
      </c>
      <c r="AQ439" s="18">
        <v>78056</v>
      </c>
      <c r="AR439" s="18">
        <v>78056</v>
      </c>
      <c r="AS439" t="s" s="10">
        <v>1578</v>
      </c>
      <c r="AT439" s="11"/>
      <c r="AU439" s="11"/>
      <c r="AV439" s="11"/>
      <c r="AW439" s="11"/>
      <c r="AX439" s="11"/>
      <c r="AY439" s="11"/>
      <c r="AZ439" s="11"/>
      <c r="BA439" s="11"/>
      <c r="BB439" s="11"/>
      <c r="BC439" s="11"/>
      <c r="BD439" t="s" s="10">
        <v>366</v>
      </c>
      <c r="BE439" t="s" s="10">
        <v>394</v>
      </c>
      <c r="BF439" s="18">
        <v>4</v>
      </c>
      <c r="BG439" s="18">
        <v>16</v>
      </c>
      <c r="BH439" s="11"/>
      <c r="BI439" s="11"/>
      <c r="BJ439" s="11"/>
      <c r="BK439" s="11"/>
      <c r="BL439" s="11"/>
      <c r="BM439" s="11"/>
      <c r="BN439" t="s" s="10">
        <v>78</v>
      </c>
      <c r="BO439" s="12"/>
      <c r="BP439" s="8"/>
    </row>
    <row r="440" ht="15" customHeight="1" hidden="1">
      <c r="A440" t="s" s="13">
        <v>1579</v>
      </c>
      <c r="B440" s="14"/>
      <c r="C440" t="str" s="14" cm="1">
        <f t="array" ref="C440">_xlfn.IFERROR((VLOOKUP(A440,#REF!,2,FALSE)),"")</f>
      </c>
      <c r="D440" s="14"/>
      <c r="E440" s="14"/>
      <c r="F440" s="14"/>
      <c r="G440" t="s" s="15">
        <v>1573</v>
      </c>
      <c r="H440" t="s" s="15">
        <v>1486</v>
      </c>
      <c r="I440" t="s" s="15">
        <v>111</v>
      </c>
      <c r="J440" t="s" s="15">
        <v>517</v>
      </c>
      <c r="K440" t="s" s="15">
        <v>113</v>
      </c>
      <c r="L440" t="s" s="15">
        <v>76</v>
      </c>
      <c r="M440" t="s" s="15">
        <v>1573</v>
      </c>
      <c r="N440" t="s" s="15">
        <v>1573</v>
      </c>
      <c r="O440" s="14"/>
      <c r="P440" t="s" s="15">
        <v>517</v>
      </c>
      <c r="Q440" t="s" s="15">
        <v>78</v>
      </c>
      <c r="R440" t="s" s="15">
        <v>83</v>
      </c>
      <c r="S440" s="14"/>
      <c r="T440" t="s" s="15">
        <v>69</v>
      </c>
      <c r="U440" s="14"/>
      <c r="V440" t="s" s="15">
        <v>69</v>
      </c>
      <c r="W440" s="14"/>
      <c r="X440" t="s" s="15">
        <v>69</v>
      </c>
      <c r="Y440" s="14"/>
      <c r="Z440" t="s" s="15">
        <v>76</v>
      </c>
      <c r="AA440" s="14"/>
      <c r="AB440" t="s" s="15">
        <v>76</v>
      </c>
      <c r="AC440" s="14"/>
      <c r="AD440" s="14"/>
      <c r="AE440" t="s" s="15">
        <v>1579</v>
      </c>
      <c r="AF440" s="14"/>
      <c r="AG440" t="s" s="15">
        <v>299</v>
      </c>
      <c r="AH440" t="s" s="15">
        <v>114</v>
      </c>
      <c r="AI440" t="s" s="15">
        <v>717</v>
      </c>
      <c r="AJ440" s="14"/>
      <c r="AK440" t="s" s="15">
        <v>524</v>
      </c>
      <c r="AL440" t="s" s="15">
        <v>293</v>
      </c>
      <c r="AM440" t="s" s="15">
        <v>294</v>
      </c>
      <c r="AN440" t="s" s="15">
        <v>1580</v>
      </c>
      <c r="AO440" s="17">
        <v>4</v>
      </c>
      <c r="AP440" s="17">
        <v>16384</v>
      </c>
      <c r="AQ440" s="17">
        <v>77967</v>
      </c>
      <c r="AR440" s="17">
        <v>77967</v>
      </c>
      <c r="AS440" t="s" s="15">
        <v>1581</v>
      </c>
      <c r="AT440" s="14"/>
      <c r="AU440" s="14"/>
      <c r="AV440" s="14"/>
      <c r="AW440" s="14"/>
      <c r="AX440" s="14"/>
      <c r="AY440" s="14"/>
      <c r="AZ440" s="14"/>
      <c r="BA440" s="14"/>
      <c r="BB440" s="14"/>
      <c r="BC440" s="14"/>
      <c r="BD440" t="s" s="15">
        <v>366</v>
      </c>
      <c r="BE440" t="s" s="15">
        <v>394</v>
      </c>
      <c r="BF440" s="17">
        <v>4</v>
      </c>
      <c r="BG440" s="17">
        <v>16</v>
      </c>
      <c r="BH440" s="14"/>
      <c r="BI440" s="14"/>
      <c r="BJ440" s="14"/>
      <c r="BK440" s="14"/>
      <c r="BL440" s="14"/>
      <c r="BM440" s="14"/>
      <c r="BN440" t="s" s="15">
        <v>78</v>
      </c>
      <c r="BO440" s="16"/>
      <c r="BP440" s="8"/>
    </row>
    <row r="441" ht="9" customHeight="1" hidden="1">
      <c r="A441" t="s" s="9">
        <v>1582</v>
      </c>
      <c r="B441" s="11"/>
      <c r="C441" t="str" s="11" cm="1">
        <f t="array" ref="C441">_xlfn.IFERROR((VLOOKUP(A441,#REF!,2,FALSE)),"")</f>
      </c>
      <c r="D441" s="11"/>
      <c r="E441" s="11"/>
      <c r="F441" s="11"/>
      <c r="G441" t="s" s="10">
        <v>1576</v>
      </c>
      <c r="H441" t="s" s="10">
        <v>1486</v>
      </c>
      <c r="I441" t="s" s="10">
        <v>111</v>
      </c>
      <c r="J441" t="s" s="10">
        <v>112</v>
      </c>
      <c r="K441" t="s" s="10">
        <v>113</v>
      </c>
      <c r="L441" t="s" s="10">
        <v>76</v>
      </c>
      <c r="M441" t="s" s="10">
        <v>1576</v>
      </c>
      <c r="N441" t="s" s="10">
        <v>1576</v>
      </c>
      <c r="O441" s="11"/>
      <c r="P441" t="s" s="10">
        <v>469</v>
      </c>
      <c r="Q441" t="s" s="10">
        <v>78</v>
      </c>
      <c r="R441" t="s" s="10">
        <v>83</v>
      </c>
      <c r="S441" s="11"/>
      <c r="T441" t="s" s="10">
        <v>69</v>
      </c>
      <c r="U441" s="11"/>
      <c r="V441" t="s" s="10">
        <v>69</v>
      </c>
      <c r="W441" s="11"/>
      <c r="X441" t="s" s="10">
        <v>69</v>
      </c>
      <c r="Y441" s="11"/>
      <c r="Z441" t="s" s="10">
        <v>76</v>
      </c>
      <c r="AA441" s="11"/>
      <c r="AB441" t="s" s="10">
        <v>76</v>
      </c>
      <c r="AC441" s="11"/>
      <c r="AD441" s="11"/>
      <c r="AE441" t="s" s="10">
        <v>1582</v>
      </c>
      <c r="AF441" s="11"/>
      <c r="AG441" t="s" s="10">
        <v>299</v>
      </c>
      <c r="AH441" t="s" s="10">
        <v>114</v>
      </c>
      <c r="AI441" t="s" s="10">
        <v>717</v>
      </c>
      <c r="AJ441" s="11"/>
      <c r="AK441" t="s" s="10">
        <v>524</v>
      </c>
      <c r="AL441" t="s" s="10">
        <v>293</v>
      </c>
      <c r="AM441" t="s" s="10">
        <v>294</v>
      </c>
      <c r="AN441" t="s" s="10">
        <v>1583</v>
      </c>
      <c r="AO441" s="18">
        <v>4</v>
      </c>
      <c r="AP441" s="18">
        <v>16384</v>
      </c>
      <c r="AQ441" s="18">
        <v>78096</v>
      </c>
      <c r="AR441" s="18">
        <v>78096</v>
      </c>
      <c r="AS441" t="s" s="10">
        <v>1584</v>
      </c>
      <c r="AT441" s="11"/>
      <c r="AU441" s="11"/>
      <c r="AV441" s="11"/>
      <c r="AW441" s="11"/>
      <c r="AX441" s="11"/>
      <c r="AY441" s="11"/>
      <c r="AZ441" s="11"/>
      <c r="BA441" s="11"/>
      <c r="BB441" s="11"/>
      <c r="BC441" s="11"/>
      <c r="BD441" t="s" s="10">
        <v>366</v>
      </c>
      <c r="BE441" t="s" s="10">
        <v>394</v>
      </c>
      <c r="BF441" s="18">
        <v>4</v>
      </c>
      <c r="BG441" s="18">
        <v>16</v>
      </c>
      <c r="BH441" s="11"/>
      <c r="BI441" s="11"/>
      <c r="BJ441" s="11"/>
      <c r="BK441" s="11"/>
      <c r="BL441" s="11"/>
      <c r="BM441" s="11"/>
      <c r="BN441" t="s" s="10">
        <v>78</v>
      </c>
      <c r="BO441" s="12"/>
      <c r="BP441" s="8"/>
    </row>
    <row r="442" ht="9" customHeight="1" hidden="1">
      <c r="A442" t="s" s="13">
        <v>1585</v>
      </c>
      <c r="B442" s="14"/>
      <c r="C442" t="str" s="14" cm="1">
        <f t="array" ref="C442">_xlfn.IFERROR((VLOOKUP(A442,#REF!,2,FALSE)),"")</f>
      </c>
      <c r="D442" s="14"/>
      <c r="E442" s="14"/>
      <c r="F442" s="14"/>
      <c r="G442" t="s" s="15">
        <v>1586</v>
      </c>
      <c r="H442" t="s" s="15">
        <v>1587</v>
      </c>
      <c r="I442" t="s" s="15">
        <v>111</v>
      </c>
      <c r="J442" t="s" s="15">
        <v>322</v>
      </c>
      <c r="K442" t="s" s="15">
        <v>113</v>
      </c>
      <c r="L442" t="s" s="15">
        <v>76</v>
      </c>
      <c r="M442" t="s" s="15">
        <v>1586</v>
      </c>
      <c r="N442" t="s" s="15">
        <v>1586</v>
      </c>
      <c r="O442" s="14"/>
      <c r="P442" t="s" s="15">
        <v>322</v>
      </c>
      <c r="Q442" t="s" s="15">
        <v>69</v>
      </c>
      <c r="R442" t="s" s="15">
        <v>83</v>
      </c>
      <c r="S442" s="14"/>
      <c r="T442" t="s" s="15">
        <v>69</v>
      </c>
      <c r="U442" s="14"/>
      <c r="V442" t="s" s="15">
        <v>69</v>
      </c>
      <c r="W442" s="14"/>
      <c r="X442" t="s" s="15">
        <v>69</v>
      </c>
      <c r="Y442" s="14"/>
      <c r="Z442" t="s" s="15">
        <v>76</v>
      </c>
      <c r="AA442" s="14"/>
      <c r="AB442" t="s" s="15">
        <v>76</v>
      </c>
      <c r="AC442" t="s" s="15">
        <v>1585</v>
      </c>
      <c r="AD442" t="s" s="15">
        <v>1588</v>
      </c>
      <c r="AE442" t="s" s="15">
        <v>1585</v>
      </c>
      <c r="AF442" s="14"/>
      <c r="AG442" t="s" s="15">
        <v>299</v>
      </c>
      <c r="AH442" t="s" s="15">
        <v>289</v>
      </c>
      <c r="AI442" t="s" s="15">
        <v>76</v>
      </c>
      <c r="AJ442" t="s" s="15">
        <v>76</v>
      </c>
      <c r="AK442" t="s" s="15">
        <v>79</v>
      </c>
      <c r="AL442" t="s" s="15">
        <v>293</v>
      </c>
      <c r="AM442" t="s" s="15">
        <v>294</v>
      </c>
      <c r="AN442" t="s" s="15">
        <v>128</v>
      </c>
      <c r="AO442" s="17">
        <v>4</v>
      </c>
      <c r="AP442" s="17">
        <v>16384</v>
      </c>
      <c r="AQ442" s="17">
        <v>631005</v>
      </c>
      <c r="AR442" s="17">
        <v>94459</v>
      </c>
      <c r="AS442" t="s" s="15">
        <v>1589</v>
      </c>
      <c r="AT442" s="14"/>
      <c r="AU442" s="14"/>
      <c r="AV442" s="14"/>
      <c r="AW442" s="14"/>
      <c r="AX442" s="14"/>
      <c r="AY442" s="14"/>
      <c r="AZ442" s="14"/>
      <c r="BA442" s="14"/>
      <c r="BB442" s="14"/>
      <c r="BC442" s="14"/>
      <c r="BD442" s="14"/>
      <c r="BE442" s="14"/>
      <c r="BF442" s="14"/>
      <c r="BG442" s="14"/>
      <c r="BH442" s="14"/>
      <c r="BI442" s="14"/>
      <c r="BJ442" s="14"/>
      <c r="BK442" s="14"/>
      <c r="BL442" s="14"/>
      <c r="BM442" s="14"/>
      <c r="BN442" t="s" s="15">
        <v>78</v>
      </c>
      <c r="BO442" s="16"/>
      <c r="BP442" s="8"/>
    </row>
    <row r="443" ht="9" customHeight="1" hidden="1">
      <c r="A443" t="s" s="9">
        <v>1590</v>
      </c>
      <c r="B443" s="11"/>
      <c r="C443" t="str" s="11" cm="1">
        <f t="array" ref="C443">_xlfn.IFERROR((VLOOKUP(A443,#REF!,2,FALSE)),"")</f>
      </c>
      <c r="D443" s="11"/>
      <c r="E443" s="11"/>
      <c r="F443" s="11"/>
      <c r="G443" t="s" s="10">
        <v>1591</v>
      </c>
      <c r="H443" t="s" s="10">
        <v>524</v>
      </c>
      <c r="I443" t="s" s="10">
        <v>111</v>
      </c>
      <c r="J443" t="s" s="10">
        <v>517</v>
      </c>
      <c r="K443" t="s" s="10">
        <v>113</v>
      </c>
      <c r="L443" t="s" s="10">
        <v>518</v>
      </c>
      <c r="M443" t="s" s="10">
        <v>1591</v>
      </c>
      <c r="N443" t="s" s="10">
        <v>1591</v>
      </c>
      <c r="O443" s="11"/>
      <c r="P443" t="s" s="10">
        <v>517</v>
      </c>
      <c r="Q443" t="s" s="10">
        <v>78</v>
      </c>
      <c r="R443" t="s" s="10">
        <v>339</v>
      </c>
      <c r="S443" s="11"/>
      <c r="T443" t="s" s="10">
        <v>69</v>
      </c>
      <c r="U443" s="11"/>
      <c r="V443" t="s" s="10">
        <v>69</v>
      </c>
      <c r="W443" s="11"/>
      <c r="X443" t="s" s="10">
        <v>69</v>
      </c>
      <c r="Y443" s="11"/>
      <c r="Z443" t="s" s="10">
        <v>552</v>
      </c>
      <c r="AA443" s="11"/>
      <c r="AB443" t="s" s="10">
        <v>1551</v>
      </c>
      <c r="AC443" s="11"/>
      <c r="AD443" s="11"/>
      <c r="AE443" s="11"/>
      <c r="AF443" s="11"/>
      <c r="AG443" t="s" s="10">
        <v>299</v>
      </c>
      <c r="AH443" t="s" s="10">
        <v>289</v>
      </c>
      <c r="AI443" t="s" s="10">
        <v>76</v>
      </c>
      <c r="AJ443" t="s" s="10">
        <v>76</v>
      </c>
      <c r="AK443" t="s" s="10">
        <v>524</v>
      </c>
      <c r="AL443" t="s" s="10">
        <v>293</v>
      </c>
      <c r="AM443" t="s" s="10">
        <v>294</v>
      </c>
      <c r="AN443" t="s" s="10">
        <v>1556</v>
      </c>
      <c r="AO443" s="18">
        <v>4</v>
      </c>
      <c r="AP443" s="18">
        <v>8192</v>
      </c>
      <c r="AQ443" s="18">
        <v>110692</v>
      </c>
      <c r="AR443" s="18">
        <v>110692</v>
      </c>
      <c r="AS443" t="s" s="10">
        <v>1592</v>
      </c>
      <c r="AT443" s="11"/>
      <c r="AU443" s="11"/>
      <c r="AV443" s="11"/>
      <c r="AW443" t="s" s="10">
        <v>1593</v>
      </c>
      <c r="AX443" s="11"/>
      <c r="AY443" s="11"/>
      <c r="AZ443" s="11"/>
      <c r="BA443" s="11"/>
      <c r="BB443" s="11"/>
      <c r="BC443" s="11"/>
      <c r="BD443" s="11"/>
      <c r="BE443" s="11"/>
      <c r="BF443" s="11"/>
      <c r="BG443" s="11"/>
      <c r="BH443" s="11"/>
      <c r="BI443" s="11"/>
      <c r="BJ443" s="11"/>
      <c r="BK443" s="11"/>
      <c r="BL443" s="11"/>
      <c r="BM443" s="11"/>
      <c r="BN443" t="s" s="10">
        <v>78</v>
      </c>
      <c r="BO443" s="12"/>
      <c r="BP443" s="8"/>
    </row>
    <row r="444" ht="15" customHeight="1" hidden="1">
      <c r="A444" t="s" s="13">
        <v>1594</v>
      </c>
      <c r="B444" s="14"/>
      <c r="C444" t="str" s="14" cm="1">
        <f t="array" ref="C444">_xlfn.IFERROR((VLOOKUP(A444,#REF!,2,FALSE)),"")</f>
      </c>
      <c r="D444" s="14"/>
      <c r="E444" s="14"/>
      <c r="F444" s="14"/>
      <c r="G444" t="s" s="15">
        <v>1595</v>
      </c>
      <c r="H444" t="s" s="15">
        <v>524</v>
      </c>
      <c r="I444" t="s" s="15">
        <v>111</v>
      </c>
      <c r="J444" t="s" s="15">
        <v>517</v>
      </c>
      <c r="K444" t="s" s="15">
        <v>113</v>
      </c>
      <c r="L444" t="s" s="15">
        <v>518</v>
      </c>
      <c r="M444" t="s" s="15">
        <v>1595</v>
      </c>
      <c r="N444" t="s" s="15">
        <v>1595</v>
      </c>
      <c r="O444" s="14"/>
      <c r="P444" t="s" s="15">
        <v>517</v>
      </c>
      <c r="Q444" t="s" s="15">
        <v>78</v>
      </c>
      <c r="R444" t="s" s="15">
        <v>339</v>
      </c>
      <c r="S444" s="14"/>
      <c r="T444" t="s" s="15">
        <v>69</v>
      </c>
      <c r="U444" s="14"/>
      <c r="V444" t="s" s="15">
        <v>69</v>
      </c>
      <c r="W444" s="14"/>
      <c r="X444" t="s" s="15">
        <v>69</v>
      </c>
      <c r="Y444" s="14"/>
      <c r="Z444" t="s" s="15">
        <v>552</v>
      </c>
      <c r="AA444" s="14"/>
      <c r="AB444" t="s" s="15">
        <v>1551</v>
      </c>
      <c r="AC444" s="14"/>
      <c r="AD444" s="14"/>
      <c r="AE444" s="14"/>
      <c r="AF444" s="14"/>
      <c r="AG444" t="s" s="15">
        <v>299</v>
      </c>
      <c r="AH444" t="s" s="15">
        <v>289</v>
      </c>
      <c r="AI444" t="s" s="15">
        <v>440</v>
      </c>
      <c r="AJ444" s="14"/>
      <c r="AK444" t="s" s="15">
        <v>524</v>
      </c>
      <c r="AL444" t="s" s="15">
        <v>293</v>
      </c>
      <c r="AM444" t="s" s="15">
        <v>294</v>
      </c>
      <c r="AN444" t="s" s="15">
        <v>1556</v>
      </c>
      <c r="AO444" s="17">
        <v>4</v>
      </c>
      <c r="AP444" s="17">
        <v>12288</v>
      </c>
      <c r="AQ444" s="17">
        <v>114771</v>
      </c>
      <c r="AR444" s="17">
        <v>114771</v>
      </c>
      <c r="AS444" t="s" s="15">
        <v>1596</v>
      </c>
      <c r="AT444" s="14"/>
      <c r="AU444" s="14"/>
      <c r="AV444" s="14"/>
      <c r="AW444" t="s" s="15">
        <v>1597</v>
      </c>
      <c r="AX444" s="14"/>
      <c r="AY444" s="14"/>
      <c r="AZ444" s="14"/>
      <c r="BA444" s="14"/>
      <c r="BB444" s="14"/>
      <c r="BC444" s="14"/>
      <c r="BD444" s="14"/>
      <c r="BE444" s="14"/>
      <c r="BF444" s="14"/>
      <c r="BG444" s="14"/>
      <c r="BH444" s="14"/>
      <c r="BI444" s="14"/>
      <c r="BJ444" s="14"/>
      <c r="BK444" s="14"/>
      <c r="BL444" s="14"/>
      <c r="BM444" s="14"/>
      <c r="BN444" t="s" s="15">
        <v>78</v>
      </c>
      <c r="BO444" s="16"/>
      <c r="BP444" s="8"/>
    </row>
    <row r="445" ht="15" customHeight="1">
      <c r="A445" t="s" s="9">
        <v>1598</v>
      </c>
      <c r="B445" s="11"/>
      <c r="C445" t="str" s="11" cm="1">
        <f t="array" ref="C445">_xlfn.IFERROR((VLOOKUP(A445,#REF!,2,FALSE)),"")</f>
      </c>
      <c r="D445" s="11"/>
      <c r="E445" s="11"/>
      <c r="F445" s="11"/>
      <c r="G445" t="s" s="10">
        <v>1599</v>
      </c>
      <c r="H445" t="s" s="10">
        <v>714</v>
      </c>
      <c r="I445" t="s" s="10">
        <v>111</v>
      </c>
      <c r="J445" t="s" s="10">
        <v>122</v>
      </c>
      <c r="K445" t="s" s="10">
        <v>113</v>
      </c>
      <c r="L445" t="s" s="10">
        <v>76</v>
      </c>
      <c r="M445" t="s" s="10">
        <v>1600</v>
      </c>
      <c r="N445" t="s" s="10">
        <v>1599</v>
      </c>
      <c r="O445" s="11"/>
      <c r="P445" t="s" s="10">
        <v>122</v>
      </c>
      <c r="Q445" t="s" s="10">
        <v>69</v>
      </c>
      <c r="R445" t="s" s="10">
        <v>716</v>
      </c>
      <c r="S445" s="11"/>
      <c r="T445" t="s" s="10">
        <v>69</v>
      </c>
      <c r="U445" s="11"/>
      <c r="V445" t="s" s="10">
        <v>69</v>
      </c>
      <c r="W445" s="11"/>
      <c r="X445" t="s" s="10">
        <v>69</v>
      </c>
      <c r="Y445" s="11"/>
      <c r="Z445" t="s" s="10">
        <v>76</v>
      </c>
      <c r="AA445" s="11"/>
      <c r="AB445" t="s" s="10">
        <v>76</v>
      </c>
      <c r="AC445" t="s" s="10">
        <v>1598</v>
      </c>
      <c r="AD445" t="s" s="10">
        <v>1601</v>
      </c>
      <c r="AE445" s="11"/>
      <c r="AF445" s="11"/>
      <c r="AG445" t="s" s="10">
        <v>299</v>
      </c>
      <c r="AH445" t="s" s="10">
        <v>114</v>
      </c>
      <c r="AI445" t="s" s="10">
        <v>717</v>
      </c>
      <c r="AJ445" s="11"/>
      <c r="AK445" t="s" s="10">
        <v>83</v>
      </c>
      <c r="AL445" t="s" s="10">
        <v>293</v>
      </c>
      <c r="AM445" t="s" s="10">
        <v>294</v>
      </c>
      <c r="AN445" t="s" s="10">
        <v>187</v>
      </c>
      <c r="AO445" s="18">
        <v>4</v>
      </c>
      <c r="AP445" s="18">
        <v>16384</v>
      </c>
      <c r="AQ445" s="18">
        <v>221336</v>
      </c>
      <c r="AR445" s="18">
        <v>153206</v>
      </c>
      <c r="AS445" t="s" s="10">
        <v>1602</v>
      </c>
      <c r="AT445" s="11"/>
      <c r="AU445" s="11"/>
      <c r="AV445" s="11"/>
      <c r="AW445" s="11"/>
      <c r="AX445" s="11"/>
      <c r="AY445" s="11"/>
      <c r="AZ445" s="11"/>
      <c r="BA445" s="11"/>
      <c r="BB445" s="11"/>
      <c r="BC445" s="11"/>
      <c r="BD445" t="s" s="10">
        <v>366</v>
      </c>
      <c r="BE445" t="s" s="10">
        <v>394</v>
      </c>
      <c r="BF445" s="18">
        <v>4</v>
      </c>
      <c r="BG445" s="18">
        <v>16</v>
      </c>
      <c r="BH445" s="11"/>
      <c r="BI445" s="11"/>
      <c r="BJ445" s="11"/>
      <c r="BK445" s="11"/>
      <c r="BL445" s="11"/>
      <c r="BM445" s="11"/>
      <c r="BN445" t="s" s="10">
        <v>69</v>
      </c>
      <c r="BO445" s="12"/>
      <c r="BP445" s="8"/>
    </row>
    <row r="446" ht="13.55" customHeight="1">
      <c r="A446" t="s" s="13">
        <v>1603</v>
      </c>
      <c r="B446" s="14"/>
      <c r="C446" t="str" s="14" cm="1">
        <f t="array" ref="C446">_xlfn.IFERROR((VLOOKUP(A446,#REF!,2,FALSE)),"")</f>
      </c>
      <c r="D446" s="14"/>
      <c r="E446" s="14"/>
      <c r="F446" s="14"/>
      <c r="G446" t="s" s="15">
        <v>1604</v>
      </c>
      <c r="H446" t="s" s="15">
        <v>714</v>
      </c>
      <c r="I446" t="s" s="15">
        <v>111</v>
      </c>
      <c r="J446" t="s" s="15">
        <v>122</v>
      </c>
      <c r="K446" t="s" s="15">
        <v>113</v>
      </c>
      <c r="L446" t="s" s="15">
        <v>76</v>
      </c>
      <c r="M446" t="s" s="15">
        <v>1605</v>
      </c>
      <c r="N446" t="s" s="15">
        <v>1604</v>
      </c>
      <c r="O446" s="14"/>
      <c r="P446" t="s" s="15">
        <v>122</v>
      </c>
      <c r="Q446" t="s" s="15">
        <v>69</v>
      </c>
      <c r="R446" t="s" s="15">
        <v>716</v>
      </c>
      <c r="S446" s="14"/>
      <c r="T446" t="s" s="15">
        <v>69</v>
      </c>
      <c r="U446" s="14"/>
      <c r="V446" t="s" s="15">
        <v>69</v>
      </c>
      <c r="W446" s="14"/>
      <c r="X446" t="s" s="15">
        <v>69</v>
      </c>
      <c r="Y446" s="14"/>
      <c r="Z446" t="s" s="15">
        <v>76</v>
      </c>
      <c r="AA446" s="14"/>
      <c r="AB446" t="s" s="15">
        <v>76</v>
      </c>
      <c r="AC446" t="s" s="15">
        <v>1603</v>
      </c>
      <c r="AD446" t="s" s="15">
        <v>1606</v>
      </c>
      <c r="AE446" s="14"/>
      <c r="AF446" s="14"/>
      <c r="AG446" t="s" s="15">
        <v>299</v>
      </c>
      <c r="AH446" t="s" s="15">
        <v>114</v>
      </c>
      <c r="AI446" t="s" s="15">
        <v>717</v>
      </c>
      <c r="AJ446" s="14"/>
      <c r="AK446" t="s" s="15">
        <v>83</v>
      </c>
      <c r="AL446" t="s" s="15">
        <v>293</v>
      </c>
      <c r="AM446" t="s" s="15">
        <v>294</v>
      </c>
      <c r="AN446" t="s" s="15">
        <v>187</v>
      </c>
      <c r="AO446" s="17">
        <v>4</v>
      </c>
      <c r="AP446" s="17">
        <v>16384</v>
      </c>
      <c r="AQ446" s="17">
        <v>221346</v>
      </c>
      <c r="AR446" s="17">
        <v>145472</v>
      </c>
      <c r="AS446" t="s" s="15">
        <v>1607</v>
      </c>
      <c r="AT446" s="14"/>
      <c r="AU446" s="14"/>
      <c r="AV446" s="14"/>
      <c r="AW446" s="14"/>
      <c r="AX446" s="14"/>
      <c r="AY446" s="14"/>
      <c r="AZ446" s="14"/>
      <c r="BA446" s="14"/>
      <c r="BB446" s="14"/>
      <c r="BC446" s="14"/>
      <c r="BD446" t="s" s="15">
        <v>366</v>
      </c>
      <c r="BE446" t="s" s="15">
        <v>394</v>
      </c>
      <c r="BF446" s="17">
        <v>4</v>
      </c>
      <c r="BG446" s="17">
        <v>16</v>
      </c>
      <c r="BH446" s="14"/>
      <c r="BI446" s="14"/>
      <c r="BJ446" s="14"/>
      <c r="BK446" s="14"/>
      <c r="BL446" s="14"/>
      <c r="BM446" s="14"/>
      <c r="BN446" t="s" s="15">
        <v>69</v>
      </c>
      <c r="BO446" s="16"/>
      <c r="BP446" s="8"/>
    </row>
    <row r="447" ht="13.55" customHeight="1">
      <c r="A447" t="s" s="9">
        <v>1608</v>
      </c>
      <c r="B447" s="11"/>
      <c r="C447" t="str" s="11" cm="1">
        <f t="array" ref="C447">_xlfn.IFERROR((VLOOKUP(A447,#REF!,2,FALSE)),"")</f>
      </c>
      <c r="D447" s="11"/>
      <c r="E447" s="11"/>
      <c r="F447" s="11"/>
      <c r="G447" t="s" s="10">
        <v>1609</v>
      </c>
      <c r="H447" t="s" s="10">
        <v>714</v>
      </c>
      <c r="I447" t="s" s="10">
        <v>111</v>
      </c>
      <c r="J447" t="s" s="10">
        <v>122</v>
      </c>
      <c r="K447" t="s" s="10">
        <v>113</v>
      </c>
      <c r="L447" t="s" s="10">
        <v>76</v>
      </c>
      <c r="M447" t="s" s="10">
        <v>1610</v>
      </c>
      <c r="N447" t="s" s="10">
        <v>1609</v>
      </c>
      <c r="O447" s="11"/>
      <c r="P447" t="s" s="10">
        <v>122</v>
      </c>
      <c r="Q447" t="s" s="10">
        <v>69</v>
      </c>
      <c r="R447" t="s" s="10">
        <v>716</v>
      </c>
      <c r="S447" s="11"/>
      <c r="T447" t="s" s="10">
        <v>69</v>
      </c>
      <c r="U447" s="11"/>
      <c r="V447" t="s" s="10">
        <v>69</v>
      </c>
      <c r="W447" s="11"/>
      <c r="X447" t="s" s="10">
        <v>69</v>
      </c>
      <c r="Y447" s="11"/>
      <c r="Z447" t="s" s="10">
        <v>76</v>
      </c>
      <c r="AA447" s="11"/>
      <c r="AB447" t="s" s="10">
        <v>76</v>
      </c>
      <c r="AC447" t="s" s="10">
        <v>1608</v>
      </c>
      <c r="AD447" t="s" s="10">
        <v>1611</v>
      </c>
      <c r="AE447" s="11"/>
      <c r="AF447" s="11"/>
      <c r="AG447" t="s" s="10">
        <v>299</v>
      </c>
      <c r="AH447" t="s" s="10">
        <v>114</v>
      </c>
      <c r="AI447" t="s" s="10">
        <v>717</v>
      </c>
      <c r="AJ447" s="11"/>
      <c r="AK447" t="s" s="10">
        <v>83</v>
      </c>
      <c r="AL447" t="s" s="10">
        <v>293</v>
      </c>
      <c r="AM447" t="s" s="10">
        <v>294</v>
      </c>
      <c r="AN447" t="s" s="10">
        <v>187</v>
      </c>
      <c r="AO447" s="18">
        <v>4</v>
      </c>
      <c r="AP447" s="18">
        <v>16384</v>
      </c>
      <c r="AQ447" s="18">
        <v>351135</v>
      </c>
      <c r="AR447" s="18">
        <v>163285</v>
      </c>
      <c r="AS447" t="s" s="10">
        <v>1612</v>
      </c>
      <c r="AT447" s="11"/>
      <c r="AU447" s="11"/>
      <c r="AV447" s="11"/>
      <c r="AW447" s="11"/>
      <c r="AX447" s="11"/>
      <c r="AY447" s="11"/>
      <c r="AZ447" s="11"/>
      <c r="BA447" s="11"/>
      <c r="BB447" s="11"/>
      <c r="BC447" s="11"/>
      <c r="BD447" t="s" s="10">
        <v>366</v>
      </c>
      <c r="BE447" t="s" s="10">
        <v>394</v>
      </c>
      <c r="BF447" s="18">
        <v>4</v>
      </c>
      <c r="BG447" s="18">
        <v>16</v>
      </c>
      <c r="BH447" s="11"/>
      <c r="BI447" s="11"/>
      <c r="BJ447" s="11"/>
      <c r="BK447" s="11"/>
      <c r="BL447" s="11"/>
      <c r="BM447" s="11"/>
      <c r="BN447" t="s" s="10">
        <v>69</v>
      </c>
      <c r="BO447" s="12"/>
      <c r="BP447" s="8"/>
    </row>
    <row r="448" ht="9" customHeight="1" hidden="1">
      <c r="A448" t="s" s="13">
        <v>1613</v>
      </c>
      <c r="B448" s="14"/>
      <c r="C448" t="str" s="14" cm="1">
        <f t="array" ref="C448">_xlfn.IFERROR((VLOOKUP(A448,#REF!,2,FALSE)),"")</f>
      </c>
      <c r="D448" s="14"/>
      <c r="E448" s="14"/>
      <c r="F448" s="14"/>
      <c r="G448" t="s" s="15">
        <v>1614</v>
      </c>
      <c r="H448" t="s" s="15">
        <v>516</v>
      </c>
      <c r="I448" t="s" s="15">
        <v>111</v>
      </c>
      <c r="J448" t="s" s="15">
        <v>517</v>
      </c>
      <c r="K448" t="s" s="15">
        <v>113</v>
      </c>
      <c r="L448" t="s" s="15">
        <v>518</v>
      </c>
      <c r="M448" t="s" s="15">
        <v>1614</v>
      </c>
      <c r="N448" t="s" s="15">
        <v>1614</v>
      </c>
      <c r="O448" s="14"/>
      <c r="P448" t="s" s="15">
        <v>517</v>
      </c>
      <c r="Q448" t="s" s="15">
        <v>78</v>
      </c>
      <c r="R448" t="s" s="15">
        <v>83</v>
      </c>
      <c r="S448" s="14"/>
      <c r="T448" t="s" s="15">
        <v>69</v>
      </c>
      <c r="U448" s="14"/>
      <c r="V448" t="s" s="15">
        <v>69</v>
      </c>
      <c r="W448" s="14"/>
      <c r="X448" t="s" s="15">
        <v>69</v>
      </c>
      <c r="Y448" s="14"/>
      <c r="Z448" t="s" s="15">
        <v>205</v>
      </c>
      <c r="AA448" s="14"/>
      <c r="AB448" t="s" s="15">
        <v>520</v>
      </c>
      <c r="AC448" s="14"/>
      <c r="AD448" s="14"/>
      <c r="AE448" s="14"/>
      <c r="AF448" s="14"/>
      <c r="AG448" t="s" s="15">
        <v>299</v>
      </c>
      <c r="AH448" t="s" s="15">
        <v>289</v>
      </c>
      <c r="AI448" t="s" s="15">
        <v>440</v>
      </c>
      <c r="AJ448" s="14"/>
      <c r="AK448" t="s" s="15">
        <v>524</v>
      </c>
      <c r="AL448" t="s" s="15">
        <v>293</v>
      </c>
      <c r="AM448" t="s" s="15">
        <v>294</v>
      </c>
      <c r="AN448" t="s" s="15">
        <v>1615</v>
      </c>
      <c r="AO448" s="17">
        <v>2</v>
      </c>
      <c r="AP448" s="17">
        <v>8192</v>
      </c>
      <c r="AQ448" s="17">
        <v>254094</v>
      </c>
      <c r="AR448" s="17">
        <v>106704</v>
      </c>
      <c r="AS448" t="s" s="15">
        <v>1616</v>
      </c>
      <c r="AT448" s="14"/>
      <c r="AU448" s="14"/>
      <c r="AV448" s="14"/>
      <c r="AW448" t="s" s="15">
        <v>1617</v>
      </c>
      <c r="AX448" s="14"/>
      <c r="AY448" s="14"/>
      <c r="AZ448" s="14"/>
      <c r="BA448" s="14"/>
      <c r="BB448" s="14"/>
      <c r="BC448" s="14"/>
      <c r="BD448" s="14"/>
      <c r="BE448" s="14"/>
      <c r="BF448" s="14"/>
      <c r="BG448" s="14"/>
      <c r="BH448" s="14"/>
      <c r="BI448" s="14"/>
      <c r="BJ448" s="14"/>
      <c r="BK448" s="14"/>
      <c r="BL448" s="14"/>
      <c r="BM448" s="14"/>
      <c r="BN448" t="s" s="15">
        <v>78</v>
      </c>
      <c r="BO448" s="16"/>
      <c r="BP448" s="8"/>
    </row>
    <row r="449" ht="15" customHeight="1" hidden="1">
      <c r="A449" t="s" s="9">
        <v>1618</v>
      </c>
      <c r="B449" s="11"/>
      <c r="C449" t="str" s="11" cm="1">
        <f t="array" ref="C449">_xlfn.IFERROR((VLOOKUP(A449,#REF!,2,FALSE)),"")</f>
      </c>
      <c r="D449" s="11"/>
      <c r="E449" s="11"/>
      <c r="F449" s="11"/>
      <c r="G449" t="s" s="10">
        <v>1619</v>
      </c>
      <c r="H449" t="s" s="10">
        <v>1486</v>
      </c>
      <c r="I449" t="s" s="10">
        <v>111</v>
      </c>
      <c r="J449" t="s" s="10">
        <v>112</v>
      </c>
      <c r="K449" t="s" s="10">
        <v>113</v>
      </c>
      <c r="L449" t="s" s="10">
        <v>76</v>
      </c>
      <c r="M449" t="s" s="10">
        <v>1619</v>
      </c>
      <c r="N449" t="s" s="10">
        <v>1619</v>
      </c>
      <c r="O449" s="11"/>
      <c r="P449" t="s" s="10">
        <v>112</v>
      </c>
      <c r="Q449" t="s" s="10">
        <v>78</v>
      </c>
      <c r="R449" t="s" s="10">
        <v>83</v>
      </c>
      <c r="S449" s="11"/>
      <c r="T449" t="s" s="10">
        <v>69</v>
      </c>
      <c r="U449" s="11"/>
      <c r="V449" t="s" s="10">
        <v>69</v>
      </c>
      <c r="W449" s="11"/>
      <c r="X449" t="s" s="10">
        <v>69</v>
      </c>
      <c r="Y449" s="11"/>
      <c r="Z449" t="s" s="10">
        <v>76</v>
      </c>
      <c r="AA449" s="11"/>
      <c r="AB449" t="s" s="10">
        <v>76</v>
      </c>
      <c r="AC449" s="11"/>
      <c r="AD449" s="11"/>
      <c r="AE449" t="s" s="10">
        <v>1618</v>
      </c>
      <c r="AF449" s="11"/>
      <c r="AG449" t="s" s="10">
        <v>299</v>
      </c>
      <c r="AH449" t="s" s="10">
        <v>114</v>
      </c>
      <c r="AI449" t="s" s="10">
        <v>717</v>
      </c>
      <c r="AJ449" s="11"/>
      <c r="AK449" t="s" s="10">
        <v>524</v>
      </c>
      <c r="AL449" t="s" s="10">
        <v>293</v>
      </c>
      <c r="AM449" t="s" s="10">
        <v>294</v>
      </c>
      <c r="AN449" t="s" s="10">
        <v>1620</v>
      </c>
      <c r="AO449" s="18">
        <v>4</v>
      </c>
      <c r="AP449" s="18">
        <v>16384</v>
      </c>
      <c r="AQ449" s="18">
        <v>78007</v>
      </c>
      <c r="AR449" s="18">
        <v>78007</v>
      </c>
      <c r="AS449" t="s" s="10">
        <v>1621</v>
      </c>
      <c r="AT449" s="11"/>
      <c r="AU449" s="11"/>
      <c r="AV449" s="11"/>
      <c r="AW449" s="11"/>
      <c r="AX449" s="11"/>
      <c r="AY449" s="11"/>
      <c r="AZ449" s="11"/>
      <c r="BA449" s="11"/>
      <c r="BB449" s="11"/>
      <c r="BC449" s="11"/>
      <c r="BD449" t="s" s="10">
        <v>366</v>
      </c>
      <c r="BE449" t="s" s="10">
        <v>394</v>
      </c>
      <c r="BF449" s="18">
        <v>4</v>
      </c>
      <c r="BG449" s="18">
        <v>16</v>
      </c>
      <c r="BH449" s="11"/>
      <c r="BI449" s="11"/>
      <c r="BJ449" s="11"/>
      <c r="BK449" s="11"/>
      <c r="BL449" s="11"/>
      <c r="BM449" s="11"/>
      <c r="BN449" t="s" s="10">
        <v>78</v>
      </c>
      <c r="BO449" s="12"/>
      <c r="BP449" s="8"/>
    </row>
    <row r="450" ht="15" customHeight="1">
      <c r="A450" t="s" s="13">
        <v>1622</v>
      </c>
      <c r="B450" s="14"/>
      <c r="C450" t="str" s="14" cm="1">
        <f t="array" ref="C450">_xlfn.IFERROR((VLOOKUP(A450,#REF!,2,FALSE)),"")</f>
      </c>
      <c r="D450" s="14"/>
      <c r="E450" s="14"/>
      <c r="F450" s="14"/>
      <c r="G450" t="s" s="15">
        <v>1623</v>
      </c>
      <c r="H450" t="s" s="15">
        <v>1624</v>
      </c>
      <c r="I450" t="s" s="15">
        <v>111</v>
      </c>
      <c r="J450" t="s" s="15">
        <v>122</v>
      </c>
      <c r="K450" t="s" s="15">
        <v>113</v>
      </c>
      <c r="L450" t="s" s="15">
        <v>1625</v>
      </c>
      <c r="M450" t="s" s="15">
        <v>1623</v>
      </c>
      <c r="N450" t="s" s="15">
        <v>1623</v>
      </c>
      <c r="O450" s="14"/>
      <c r="P450" t="s" s="15">
        <v>122</v>
      </c>
      <c r="Q450" t="s" s="15">
        <v>69</v>
      </c>
      <c r="R450" t="s" s="15">
        <v>323</v>
      </c>
      <c r="S450" s="14"/>
      <c r="T450" s="14"/>
      <c r="U450" s="14"/>
      <c r="V450" t="s" s="15">
        <v>69</v>
      </c>
      <c r="W450" s="14"/>
      <c r="X450" t="s" s="15">
        <v>69</v>
      </c>
      <c r="Y450" s="14"/>
      <c r="Z450" t="s" s="15">
        <v>1626</v>
      </c>
      <c r="AA450" s="14"/>
      <c r="AB450" t="s" s="15">
        <v>1627</v>
      </c>
      <c r="AC450" s="14"/>
      <c r="AD450" s="14"/>
      <c r="AE450" s="14"/>
      <c r="AF450" t="s" s="15">
        <v>1624</v>
      </c>
      <c r="AG450" t="s" s="15">
        <v>299</v>
      </c>
      <c r="AH450" t="s" s="15">
        <v>114</v>
      </c>
      <c r="AI450" t="s" s="15">
        <v>332</v>
      </c>
      <c r="AJ450" t="s" s="15">
        <v>405</v>
      </c>
      <c r="AK450" t="s" s="15">
        <v>83</v>
      </c>
      <c r="AL450" t="s" s="15">
        <v>293</v>
      </c>
      <c r="AM450" t="s" s="15">
        <v>294</v>
      </c>
      <c r="AN450" t="s" s="15">
        <v>116</v>
      </c>
      <c r="AO450" s="17">
        <v>4</v>
      </c>
      <c r="AP450" s="17">
        <v>16384</v>
      </c>
      <c r="AQ450" s="17">
        <v>1218657</v>
      </c>
      <c r="AR450" s="17">
        <v>1218657</v>
      </c>
      <c r="AS450" t="s" s="15">
        <v>1628</v>
      </c>
      <c r="AT450" s="14"/>
      <c r="AU450" s="14"/>
      <c r="AV450" s="14"/>
      <c r="AW450" s="14"/>
      <c r="AX450" s="14"/>
      <c r="AY450" s="14"/>
      <c r="AZ450" s="14"/>
      <c r="BA450" s="14"/>
      <c r="BB450" s="14"/>
      <c r="BC450" s="14"/>
      <c r="BD450" t="s" s="15">
        <v>366</v>
      </c>
      <c r="BE450" t="s" s="15">
        <v>394</v>
      </c>
      <c r="BF450" s="17">
        <v>4</v>
      </c>
      <c r="BG450" s="17">
        <v>16</v>
      </c>
      <c r="BH450" s="14"/>
      <c r="BI450" s="14"/>
      <c r="BJ450" s="14"/>
      <c r="BK450" s="14"/>
      <c r="BL450" s="14"/>
      <c r="BM450" s="14"/>
      <c r="BN450" t="s" s="15">
        <v>69</v>
      </c>
      <c r="BO450" s="16"/>
      <c r="BP450" s="8"/>
    </row>
    <row r="451" ht="9" customHeight="1" hidden="1">
      <c r="A451" t="s" s="9">
        <v>1629</v>
      </c>
      <c r="B451" s="11"/>
      <c r="C451" t="str" s="11" cm="1">
        <f t="array" ref="C451">_xlfn.IFERROR((VLOOKUP(A451,#REF!,2,FALSE)),"")</f>
      </c>
      <c r="D451" s="11"/>
      <c r="E451" t="s" s="10">
        <v>1630</v>
      </c>
      <c r="F451" s="11"/>
      <c r="G451" t="s" s="10">
        <v>1631</v>
      </c>
      <c r="H451" t="s" s="10">
        <v>434</v>
      </c>
      <c r="I451" t="s" s="10">
        <v>111</v>
      </c>
      <c r="J451" t="s" s="10">
        <v>112</v>
      </c>
      <c r="K451" t="s" s="10">
        <v>113</v>
      </c>
      <c r="L451" t="s" s="10">
        <v>435</v>
      </c>
      <c r="M451" t="s" s="10">
        <v>1632</v>
      </c>
      <c r="N451" t="s" s="10">
        <v>1632</v>
      </c>
      <c r="O451" s="11"/>
      <c r="P451" t="s" s="10">
        <v>112</v>
      </c>
      <c r="Q451" t="s" s="10">
        <v>69</v>
      </c>
      <c r="R451" t="s" s="10">
        <v>83</v>
      </c>
      <c r="S451" s="11"/>
      <c r="T451" s="11"/>
      <c r="U451" s="11"/>
      <c r="V451" t="s" s="10">
        <v>69</v>
      </c>
      <c r="W451" s="11"/>
      <c r="X451" t="s" s="10">
        <v>69</v>
      </c>
      <c r="Y451" s="11"/>
      <c r="Z451" t="s" s="10">
        <v>436</v>
      </c>
      <c r="AA451" s="11"/>
      <c r="AB451" t="s" s="10">
        <v>437</v>
      </c>
      <c r="AC451" t="s" s="10">
        <v>1629</v>
      </c>
      <c r="AD451" t="s" s="10">
        <v>1633</v>
      </c>
      <c r="AE451" s="11"/>
      <c r="AF451" s="11"/>
      <c r="AG451" t="s" s="10">
        <v>299</v>
      </c>
      <c r="AH451" t="s" s="10">
        <v>289</v>
      </c>
      <c r="AI451" t="s" s="10">
        <v>76</v>
      </c>
      <c r="AJ451" t="s" s="10">
        <v>76</v>
      </c>
      <c r="AK451" t="s" s="10">
        <v>79</v>
      </c>
      <c r="AL451" t="s" s="10">
        <v>293</v>
      </c>
      <c r="AM451" t="s" s="10">
        <v>294</v>
      </c>
      <c r="AN451" t="s" s="10">
        <v>128</v>
      </c>
      <c r="AO451" s="18">
        <v>4</v>
      </c>
      <c r="AP451" s="18">
        <v>16384</v>
      </c>
      <c r="AQ451" s="18">
        <v>334217</v>
      </c>
      <c r="AR451" s="18">
        <v>147010</v>
      </c>
      <c r="AS451" t="s" s="10">
        <v>1634</v>
      </c>
      <c r="AT451" t="s" s="10">
        <v>301</v>
      </c>
      <c r="AU451" s="11"/>
      <c r="AV451" s="11"/>
      <c r="AW451" s="11"/>
      <c r="AX451" s="11"/>
      <c r="AY451" s="11"/>
      <c r="AZ451" s="11"/>
      <c r="BA451" s="11"/>
      <c r="BB451" s="11"/>
      <c r="BC451" s="11"/>
      <c r="BD451" s="11"/>
      <c r="BE451" s="11"/>
      <c r="BF451" s="11"/>
      <c r="BG451" s="11"/>
      <c r="BH451" s="11"/>
      <c r="BI451" s="11"/>
      <c r="BJ451" s="11"/>
      <c r="BK451" s="11"/>
      <c r="BL451" s="11"/>
      <c r="BM451" s="11"/>
      <c r="BN451" t="s" s="10">
        <v>78</v>
      </c>
      <c r="BO451" s="12"/>
      <c r="BP451" s="8"/>
    </row>
    <row r="452" ht="9" customHeight="1" hidden="1">
      <c r="A452" t="s" s="13">
        <v>1635</v>
      </c>
      <c r="B452" s="14"/>
      <c r="C452" t="str" s="14" cm="1">
        <f t="array" ref="C452">_xlfn.IFERROR((VLOOKUP(A452,#REF!,2,FALSE)),"")</f>
      </c>
      <c r="D452" t="s" s="15">
        <v>70</v>
      </c>
      <c r="E452" t="s" s="15">
        <v>1636</v>
      </c>
      <c r="F452" s="14"/>
      <c r="G452" t="s" s="15">
        <v>1637</v>
      </c>
      <c r="H452" t="s" s="15">
        <v>1637</v>
      </c>
      <c r="I452" t="s" s="15">
        <v>111</v>
      </c>
      <c r="J452" t="s" s="15">
        <v>122</v>
      </c>
      <c r="K452" t="s" s="15">
        <v>113</v>
      </c>
      <c r="L452" t="s" s="15">
        <v>1638</v>
      </c>
      <c r="M452" t="s" s="15">
        <v>1637</v>
      </c>
      <c r="N452" t="s" s="15">
        <v>1637</v>
      </c>
      <c r="O452" s="14"/>
      <c r="P452" t="s" s="15">
        <v>122</v>
      </c>
      <c r="Q452" t="s" s="15">
        <v>69</v>
      </c>
      <c r="R452" t="s" s="15">
        <v>323</v>
      </c>
      <c r="S452" s="14"/>
      <c r="T452" s="14"/>
      <c r="U452" s="14"/>
      <c r="V452" t="s" s="15">
        <v>69</v>
      </c>
      <c r="W452" s="14"/>
      <c r="X452" t="s" s="15">
        <v>69</v>
      </c>
      <c r="Y452" s="14"/>
      <c r="Z452" t="s" s="15">
        <v>1639</v>
      </c>
      <c r="AA452" s="14"/>
      <c r="AB452" t="s" s="15">
        <v>76</v>
      </c>
      <c r="AC452" s="14"/>
      <c r="AD452" s="14"/>
      <c r="AE452" s="14"/>
      <c r="AF452" s="14"/>
      <c r="AG452" t="s" s="15">
        <v>299</v>
      </c>
      <c r="AH452" t="s" s="15">
        <v>106</v>
      </c>
      <c r="AI452" t="s" s="15">
        <v>76</v>
      </c>
      <c r="AJ452" t="s" s="15">
        <v>76</v>
      </c>
      <c r="AK452" t="s" s="15">
        <v>79</v>
      </c>
      <c r="AL452" t="s" s="15">
        <v>293</v>
      </c>
      <c r="AM452" t="s" s="15">
        <v>294</v>
      </c>
      <c r="AN452" t="s" s="15">
        <v>1640</v>
      </c>
      <c r="AO452" s="17">
        <v>4</v>
      </c>
      <c r="AP452" s="17">
        <v>16384</v>
      </c>
      <c r="AQ452" s="17">
        <v>979072</v>
      </c>
      <c r="AR452" s="17">
        <v>930904</v>
      </c>
      <c r="AS452" t="s" s="15">
        <v>1641</v>
      </c>
      <c r="AT452" t="s" s="15">
        <v>301</v>
      </c>
      <c r="AU452" s="14"/>
      <c r="AV452" s="14"/>
      <c r="AW452" s="14"/>
      <c r="AX452" s="14"/>
      <c r="AY452" s="14"/>
      <c r="AZ452" s="14"/>
      <c r="BA452" s="14"/>
      <c r="BB452" s="14"/>
      <c r="BC452" s="14"/>
      <c r="BD452" s="14"/>
      <c r="BE452" s="14"/>
      <c r="BF452" s="14"/>
      <c r="BG452" s="14"/>
      <c r="BH452" s="14"/>
      <c r="BI452" s="14"/>
      <c r="BJ452" s="14"/>
      <c r="BK452" s="14"/>
      <c r="BL452" s="14"/>
      <c r="BM452" s="14"/>
      <c r="BN452" t="s" s="15">
        <v>78</v>
      </c>
      <c r="BO452" s="16"/>
      <c r="BP452" s="8"/>
    </row>
    <row r="453" ht="9" customHeight="1" hidden="1">
      <c r="A453" t="s" s="9">
        <v>1642</v>
      </c>
      <c r="B453" s="11"/>
      <c r="C453" t="str" s="11" cm="1">
        <f t="array" ref="C453">_xlfn.IFERROR((VLOOKUP(A453,#REF!,2,FALSE)),"")</f>
      </c>
      <c r="D453" t="s" s="10">
        <v>70</v>
      </c>
      <c r="E453" t="s" s="10">
        <v>1636</v>
      </c>
      <c r="F453" s="11"/>
      <c r="G453" t="s" s="10">
        <v>1643</v>
      </c>
      <c r="H453" t="s" s="10">
        <v>1643</v>
      </c>
      <c r="I453" t="s" s="10">
        <v>111</v>
      </c>
      <c r="J453" t="s" s="10">
        <v>122</v>
      </c>
      <c r="K453" t="s" s="10">
        <v>113</v>
      </c>
      <c r="L453" t="s" s="10">
        <v>76</v>
      </c>
      <c r="M453" t="s" s="10">
        <v>1643</v>
      </c>
      <c r="N453" t="s" s="10">
        <v>1643</v>
      </c>
      <c r="O453" s="11"/>
      <c r="P453" t="s" s="10">
        <v>122</v>
      </c>
      <c r="Q453" t="s" s="10">
        <v>69</v>
      </c>
      <c r="R453" t="s" s="10">
        <v>83</v>
      </c>
      <c r="S453" s="11"/>
      <c r="T453" s="11"/>
      <c r="U453" s="11"/>
      <c r="V453" t="s" s="10">
        <v>69</v>
      </c>
      <c r="W453" s="11"/>
      <c r="X453" t="s" s="10">
        <v>69</v>
      </c>
      <c r="Y453" s="11"/>
      <c r="Z453" t="s" s="10">
        <v>76</v>
      </c>
      <c r="AA453" s="11"/>
      <c r="AB453" t="s" s="10">
        <v>76</v>
      </c>
      <c r="AC453" t="s" s="10">
        <v>1642</v>
      </c>
      <c r="AD453" t="s" s="10">
        <v>1644</v>
      </c>
      <c r="AE453" s="11"/>
      <c r="AF453" s="11"/>
      <c r="AG453" t="s" s="10">
        <v>299</v>
      </c>
      <c r="AH453" t="s" s="10">
        <v>106</v>
      </c>
      <c r="AI453" t="s" s="10">
        <v>76</v>
      </c>
      <c r="AJ453" t="s" s="10">
        <v>76</v>
      </c>
      <c r="AK453" t="s" s="10">
        <v>79</v>
      </c>
      <c r="AL453" t="s" s="10">
        <v>293</v>
      </c>
      <c r="AM453" t="s" s="10">
        <v>294</v>
      </c>
      <c r="AN453" t="s" s="10">
        <v>116</v>
      </c>
      <c r="AO453" s="18">
        <v>8</v>
      </c>
      <c r="AP453" s="18">
        <v>32768</v>
      </c>
      <c r="AQ453" s="18">
        <v>135435</v>
      </c>
      <c r="AR453" s="18">
        <v>135435</v>
      </c>
      <c r="AS453" t="s" s="10">
        <v>1645</v>
      </c>
      <c r="AT453" t="s" s="10">
        <v>301</v>
      </c>
      <c r="AU453" s="11"/>
      <c r="AV453" s="11"/>
      <c r="AW453" s="11"/>
      <c r="AX453" s="11"/>
      <c r="AY453" s="11"/>
      <c r="AZ453" s="11"/>
      <c r="BA453" s="11"/>
      <c r="BB453" s="11"/>
      <c r="BC453" s="11"/>
      <c r="BD453" s="11"/>
      <c r="BE453" s="11"/>
      <c r="BF453" s="11"/>
      <c r="BG453" s="11"/>
      <c r="BH453" s="11"/>
      <c r="BI453" s="11"/>
      <c r="BJ453" s="11"/>
      <c r="BK453" s="11"/>
      <c r="BL453" s="11"/>
      <c r="BM453" s="11"/>
      <c r="BN453" t="s" s="10">
        <v>78</v>
      </c>
      <c r="BO453" s="12"/>
      <c r="BP453" s="8"/>
    </row>
    <row r="454" ht="15" customHeight="1" hidden="1">
      <c r="A454" t="s" s="13">
        <v>1646</v>
      </c>
      <c r="B454" s="14"/>
      <c r="C454" t="str" s="14" cm="1">
        <f t="array" ref="C454">_xlfn.IFERROR((VLOOKUP(A454,#REF!,2,FALSE)),"")</f>
      </c>
      <c r="D454" s="14"/>
      <c r="E454" s="14"/>
      <c r="F454" s="14"/>
      <c r="G454" t="s" s="15">
        <v>1647</v>
      </c>
      <c r="H454" t="s" s="15">
        <v>524</v>
      </c>
      <c r="I454" t="s" s="15">
        <v>111</v>
      </c>
      <c r="J454" t="s" s="15">
        <v>122</v>
      </c>
      <c r="K454" t="s" s="15">
        <v>113</v>
      </c>
      <c r="L454" t="s" s="15">
        <v>518</v>
      </c>
      <c r="M454" t="s" s="15">
        <v>1647</v>
      </c>
      <c r="N454" t="s" s="15">
        <v>1647</v>
      </c>
      <c r="O454" s="14"/>
      <c r="P454" t="s" s="15">
        <v>122</v>
      </c>
      <c r="Q454" t="s" s="15">
        <v>78</v>
      </c>
      <c r="R454" t="s" s="15">
        <v>323</v>
      </c>
      <c r="S454" s="14"/>
      <c r="T454" t="s" s="15">
        <v>69</v>
      </c>
      <c r="U454" s="14"/>
      <c r="V454" t="s" s="15">
        <v>69</v>
      </c>
      <c r="W454" s="14"/>
      <c r="X454" t="s" s="15">
        <v>69</v>
      </c>
      <c r="Y454" s="14"/>
      <c r="Z454" t="s" s="15">
        <v>552</v>
      </c>
      <c r="AA454" s="14"/>
      <c r="AB454" t="s" s="15">
        <v>1551</v>
      </c>
      <c r="AC454" s="14"/>
      <c r="AD454" s="14"/>
      <c r="AE454" s="14"/>
      <c r="AF454" s="14"/>
      <c r="AG454" t="s" s="15">
        <v>299</v>
      </c>
      <c r="AH454" t="s" s="15">
        <v>289</v>
      </c>
      <c r="AI454" t="s" s="15">
        <v>76</v>
      </c>
      <c r="AJ454" t="s" s="15">
        <v>76</v>
      </c>
      <c r="AK454" t="s" s="15">
        <v>524</v>
      </c>
      <c r="AL454" t="s" s="15">
        <v>293</v>
      </c>
      <c r="AM454" t="s" s="15">
        <v>294</v>
      </c>
      <c r="AN454" t="s" s="15">
        <v>133</v>
      </c>
      <c r="AO454" s="17">
        <v>4</v>
      </c>
      <c r="AP454" s="17">
        <v>12288</v>
      </c>
      <c r="AQ454" s="17">
        <v>191788</v>
      </c>
      <c r="AR454" s="17">
        <v>191788</v>
      </c>
      <c r="AS454" t="s" s="15">
        <v>1648</v>
      </c>
      <c r="AT454" s="14"/>
      <c r="AU454" s="14"/>
      <c r="AV454" s="14"/>
      <c r="AW454" t="s" s="15">
        <v>1649</v>
      </c>
      <c r="AX454" s="14"/>
      <c r="AY454" s="14"/>
      <c r="AZ454" s="14"/>
      <c r="BA454" s="14"/>
      <c r="BB454" s="14"/>
      <c r="BC454" s="14"/>
      <c r="BD454" s="14"/>
      <c r="BE454" s="14"/>
      <c r="BF454" s="14"/>
      <c r="BG454" s="14"/>
      <c r="BH454" s="14"/>
      <c r="BI454" s="14"/>
      <c r="BJ454" s="14"/>
      <c r="BK454" s="14"/>
      <c r="BL454" s="14"/>
      <c r="BM454" s="14"/>
      <c r="BN454" t="s" s="15">
        <v>78</v>
      </c>
      <c r="BO454" s="16"/>
      <c r="BP454" s="8"/>
    </row>
    <row r="455" ht="9" customHeight="1" hidden="1">
      <c r="A455" t="s" s="9">
        <v>1650</v>
      </c>
      <c r="B455" s="11"/>
      <c r="C455" t="str" s="11" cm="1">
        <f t="array" ref="C455">_xlfn.IFERROR((VLOOKUP(A455,#REF!,2,FALSE)),"")</f>
      </c>
      <c r="D455" t="s" s="10">
        <v>70</v>
      </c>
      <c r="E455" t="s" s="10">
        <v>71</v>
      </c>
      <c r="F455" s="11"/>
      <c r="G455" s="11"/>
      <c r="H455" s="11"/>
      <c r="I455" t="s" s="10">
        <v>82</v>
      </c>
      <c r="J455" t="s" s="10">
        <v>82</v>
      </c>
      <c r="K455" t="s" s="10">
        <v>82</v>
      </c>
      <c r="L455" t="s" s="10">
        <v>76</v>
      </c>
      <c r="M455" t="s" s="10">
        <v>77</v>
      </c>
      <c r="N455" s="11"/>
      <c r="O455" t="s" s="10">
        <v>71</v>
      </c>
      <c r="P455" s="11"/>
      <c r="Q455" t="s" s="10">
        <v>78</v>
      </c>
      <c r="R455" t="s" s="10">
        <v>83</v>
      </c>
      <c r="S455" s="11"/>
      <c r="T455" s="11"/>
      <c r="U455" s="11"/>
      <c r="V455" t="s" s="10">
        <v>69</v>
      </c>
      <c r="W455" s="11"/>
      <c r="X455" t="s" s="10">
        <v>78</v>
      </c>
      <c r="Y455" s="11"/>
      <c r="Z455" t="s" s="10">
        <v>76</v>
      </c>
      <c r="AA455" s="11"/>
      <c r="AB455" t="s" s="10">
        <v>76</v>
      </c>
      <c r="AC455" s="11"/>
      <c r="AD455" s="11"/>
      <c r="AE455" s="11"/>
      <c r="AF455" s="11"/>
      <c r="AG455" s="11"/>
      <c r="AH455" s="11"/>
      <c r="AI455" t="s" s="10">
        <v>76</v>
      </c>
      <c r="AJ455" t="s" s="10">
        <v>76</v>
      </c>
      <c r="AK455" t="s" s="10">
        <v>79</v>
      </c>
      <c r="AL455" s="11"/>
      <c r="AM455" s="11"/>
      <c r="AN455" t="s" s="10">
        <v>1651</v>
      </c>
      <c r="AO455" s="11"/>
      <c r="AP455" s="11"/>
      <c r="AQ455" s="11"/>
      <c r="AR455" s="11"/>
      <c r="AS455" t="s" s="10">
        <v>1652</v>
      </c>
      <c r="AT455" s="11"/>
      <c r="AU455" s="11"/>
      <c r="AV455" s="11"/>
      <c r="AW455" s="11"/>
      <c r="AX455" s="11"/>
      <c r="AY455" s="11"/>
      <c r="AZ455" s="11"/>
      <c r="BA455" s="11"/>
      <c r="BB455" s="11"/>
      <c r="BC455" s="11"/>
      <c r="BD455" s="11"/>
      <c r="BE455" s="11"/>
      <c r="BF455" s="11"/>
      <c r="BG455" s="11"/>
      <c r="BH455" s="11"/>
      <c r="BI455" s="11"/>
      <c r="BJ455" s="11"/>
      <c r="BK455" s="11"/>
      <c r="BL455" s="11"/>
      <c r="BM455" s="11"/>
      <c r="BN455" s="11"/>
      <c r="BO455" s="12"/>
      <c r="BP455" s="8"/>
    </row>
    <row r="456" ht="15" customHeight="1" hidden="1">
      <c r="A456" t="s" s="13">
        <v>1653</v>
      </c>
      <c r="B456" s="14"/>
      <c r="C456" t="str" s="14" cm="1">
        <f t="array" ref="C456">_xlfn.IFERROR((VLOOKUP(A456,#REF!,2,FALSE)),"")</f>
      </c>
      <c r="D456" s="14"/>
      <c r="E456" s="14"/>
      <c r="F456" s="14"/>
      <c r="G456" t="s" s="15">
        <v>1654</v>
      </c>
      <c r="H456" t="s" s="15">
        <v>524</v>
      </c>
      <c r="I456" t="s" s="15">
        <v>111</v>
      </c>
      <c r="J456" t="s" s="15">
        <v>122</v>
      </c>
      <c r="K456" t="s" s="15">
        <v>113</v>
      </c>
      <c r="L456" t="s" s="15">
        <v>518</v>
      </c>
      <c r="M456" t="s" s="15">
        <v>1654</v>
      </c>
      <c r="N456" t="s" s="15">
        <v>1654</v>
      </c>
      <c r="O456" s="14"/>
      <c r="P456" t="s" s="15">
        <v>122</v>
      </c>
      <c r="Q456" t="s" s="15">
        <v>78</v>
      </c>
      <c r="R456" t="s" s="15">
        <v>323</v>
      </c>
      <c r="S456" s="14"/>
      <c r="T456" t="s" s="15">
        <v>69</v>
      </c>
      <c r="U456" s="14"/>
      <c r="V456" t="s" s="15">
        <v>69</v>
      </c>
      <c r="W456" s="14"/>
      <c r="X456" t="s" s="15">
        <v>69</v>
      </c>
      <c r="Y456" s="14"/>
      <c r="Z456" t="s" s="15">
        <v>552</v>
      </c>
      <c r="AA456" s="14"/>
      <c r="AB456" t="s" s="15">
        <v>1551</v>
      </c>
      <c r="AC456" s="14"/>
      <c r="AD456" s="14"/>
      <c r="AE456" s="14"/>
      <c r="AF456" s="14"/>
      <c r="AG456" t="s" s="15">
        <v>299</v>
      </c>
      <c r="AH456" t="s" s="15">
        <v>289</v>
      </c>
      <c r="AI456" t="s" s="15">
        <v>76</v>
      </c>
      <c r="AJ456" t="s" s="15">
        <v>76</v>
      </c>
      <c r="AK456" t="s" s="15">
        <v>524</v>
      </c>
      <c r="AL456" t="s" s="15">
        <v>293</v>
      </c>
      <c r="AM456" t="s" s="15">
        <v>294</v>
      </c>
      <c r="AN456" t="s" s="15">
        <v>133</v>
      </c>
      <c r="AO456" s="17">
        <v>4</v>
      </c>
      <c r="AP456" s="17">
        <v>12288</v>
      </c>
      <c r="AQ456" s="17">
        <v>191719</v>
      </c>
      <c r="AR456" s="17">
        <v>191719</v>
      </c>
      <c r="AS456" t="s" s="15">
        <v>1655</v>
      </c>
      <c r="AT456" s="14"/>
      <c r="AU456" s="14"/>
      <c r="AV456" s="14"/>
      <c r="AW456" t="s" s="15">
        <v>1656</v>
      </c>
      <c r="AX456" s="14"/>
      <c r="AY456" s="14"/>
      <c r="AZ456" s="14"/>
      <c r="BA456" s="14"/>
      <c r="BB456" s="14"/>
      <c r="BC456" s="14"/>
      <c r="BD456" s="14"/>
      <c r="BE456" s="14"/>
      <c r="BF456" s="14"/>
      <c r="BG456" s="14"/>
      <c r="BH456" s="14"/>
      <c r="BI456" s="14"/>
      <c r="BJ456" s="14"/>
      <c r="BK456" s="14"/>
      <c r="BL456" s="14"/>
      <c r="BM456" s="14"/>
      <c r="BN456" t="s" s="15">
        <v>78</v>
      </c>
      <c r="BO456" s="16"/>
      <c r="BP456" s="8"/>
    </row>
    <row r="457" ht="15" customHeight="1" hidden="1">
      <c r="A457" t="s" s="9">
        <v>1657</v>
      </c>
      <c r="B457" s="11"/>
      <c r="C457" t="str" s="11" cm="1">
        <f t="array" ref="C457">_xlfn.IFERROR((VLOOKUP(A457,#REF!,2,FALSE)),"")</f>
      </c>
      <c r="D457" s="11"/>
      <c r="E457" s="11"/>
      <c r="F457" s="11"/>
      <c r="G457" t="s" s="10">
        <v>1658</v>
      </c>
      <c r="H457" t="s" s="10">
        <v>524</v>
      </c>
      <c r="I457" t="s" s="10">
        <v>111</v>
      </c>
      <c r="J457" t="s" s="10">
        <v>122</v>
      </c>
      <c r="K457" t="s" s="10">
        <v>113</v>
      </c>
      <c r="L457" t="s" s="10">
        <v>518</v>
      </c>
      <c r="M457" t="s" s="10">
        <v>1658</v>
      </c>
      <c r="N457" t="s" s="10">
        <v>1658</v>
      </c>
      <c r="O457" s="11"/>
      <c r="P457" t="s" s="10">
        <v>122</v>
      </c>
      <c r="Q457" t="s" s="10">
        <v>78</v>
      </c>
      <c r="R457" t="s" s="10">
        <v>323</v>
      </c>
      <c r="S457" s="11"/>
      <c r="T457" t="s" s="10">
        <v>69</v>
      </c>
      <c r="U457" s="11"/>
      <c r="V457" t="s" s="10">
        <v>69</v>
      </c>
      <c r="W457" s="11"/>
      <c r="X457" t="s" s="10">
        <v>69</v>
      </c>
      <c r="Y457" s="11"/>
      <c r="Z457" t="s" s="10">
        <v>552</v>
      </c>
      <c r="AA457" s="11"/>
      <c r="AB457" t="s" s="10">
        <v>1551</v>
      </c>
      <c r="AC457" s="11"/>
      <c r="AD457" s="11"/>
      <c r="AE457" s="11"/>
      <c r="AF457" s="11"/>
      <c r="AG457" t="s" s="10">
        <v>299</v>
      </c>
      <c r="AH457" t="s" s="10">
        <v>289</v>
      </c>
      <c r="AI457" t="s" s="10">
        <v>76</v>
      </c>
      <c r="AJ457" t="s" s="10">
        <v>76</v>
      </c>
      <c r="AK457" t="s" s="10">
        <v>524</v>
      </c>
      <c r="AL457" t="s" s="10">
        <v>293</v>
      </c>
      <c r="AM457" t="s" s="10">
        <v>294</v>
      </c>
      <c r="AN457" t="s" s="10">
        <v>133</v>
      </c>
      <c r="AO457" s="18">
        <v>4</v>
      </c>
      <c r="AP457" s="18">
        <v>12288</v>
      </c>
      <c r="AQ457" s="18">
        <v>191688</v>
      </c>
      <c r="AR457" s="18">
        <v>191688</v>
      </c>
      <c r="AS457" t="s" s="10">
        <v>1659</v>
      </c>
      <c r="AT457" s="11"/>
      <c r="AU457" s="11"/>
      <c r="AV457" s="11"/>
      <c r="AW457" t="s" s="10">
        <v>1660</v>
      </c>
      <c r="AX457" s="11"/>
      <c r="AY457" s="11"/>
      <c r="AZ457" s="11"/>
      <c r="BA457" s="11"/>
      <c r="BB457" s="11"/>
      <c r="BC457" s="11"/>
      <c r="BD457" s="11"/>
      <c r="BE457" s="11"/>
      <c r="BF457" s="11"/>
      <c r="BG457" s="11"/>
      <c r="BH457" s="11"/>
      <c r="BI457" s="11"/>
      <c r="BJ457" s="11"/>
      <c r="BK457" s="11"/>
      <c r="BL457" s="11"/>
      <c r="BM457" s="11"/>
      <c r="BN457" t="s" s="10">
        <v>78</v>
      </c>
      <c r="BO457" s="12"/>
      <c r="BP457" s="8"/>
    </row>
    <row r="458" ht="15" customHeight="1" hidden="1">
      <c r="A458" t="s" s="13">
        <v>1661</v>
      </c>
      <c r="B458" s="14"/>
      <c r="C458" t="str" s="14" cm="1">
        <f t="array" ref="C458">_xlfn.IFERROR((VLOOKUP(A458,#REF!,2,FALSE)),"")</f>
      </c>
      <c r="D458" s="14"/>
      <c r="E458" s="14"/>
      <c r="F458" s="14"/>
      <c r="G458" t="s" s="15">
        <v>1662</v>
      </c>
      <c r="H458" t="s" s="15">
        <v>524</v>
      </c>
      <c r="I458" t="s" s="15">
        <v>111</v>
      </c>
      <c r="J458" t="s" s="15">
        <v>122</v>
      </c>
      <c r="K458" t="s" s="15">
        <v>113</v>
      </c>
      <c r="L458" t="s" s="15">
        <v>518</v>
      </c>
      <c r="M458" t="s" s="15">
        <v>1662</v>
      </c>
      <c r="N458" t="s" s="15">
        <v>1662</v>
      </c>
      <c r="O458" s="14"/>
      <c r="P458" t="s" s="15">
        <v>122</v>
      </c>
      <c r="Q458" t="s" s="15">
        <v>78</v>
      </c>
      <c r="R458" t="s" s="15">
        <v>323</v>
      </c>
      <c r="S458" s="14"/>
      <c r="T458" t="s" s="15">
        <v>69</v>
      </c>
      <c r="U458" s="14"/>
      <c r="V458" t="s" s="15">
        <v>69</v>
      </c>
      <c r="W458" s="14"/>
      <c r="X458" t="s" s="15">
        <v>69</v>
      </c>
      <c r="Y458" s="14"/>
      <c r="Z458" t="s" s="15">
        <v>552</v>
      </c>
      <c r="AA458" s="14"/>
      <c r="AB458" t="s" s="15">
        <v>1551</v>
      </c>
      <c r="AC458" s="14"/>
      <c r="AD458" s="14"/>
      <c r="AE458" s="14"/>
      <c r="AF458" s="14"/>
      <c r="AG458" t="s" s="15">
        <v>299</v>
      </c>
      <c r="AH458" t="s" s="15">
        <v>289</v>
      </c>
      <c r="AI458" t="s" s="15">
        <v>76</v>
      </c>
      <c r="AJ458" t="s" s="15">
        <v>76</v>
      </c>
      <c r="AK458" t="s" s="15">
        <v>524</v>
      </c>
      <c r="AL458" t="s" s="15">
        <v>293</v>
      </c>
      <c r="AM458" t="s" s="15">
        <v>294</v>
      </c>
      <c r="AN458" t="s" s="15">
        <v>142</v>
      </c>
      <c r="AO458" s="17">
        <v>4</v>
      </c>
      <c r="AP458" s="17">
        <v>12288</v>
      </c>
      <c r="AQ458" s="17">
        <v>217254</v>
      </c>
      <c r="AR458" s="17">
        <v>217254</v>
      </c>
      <c r="AS458" t="s" s="15">
        <v>1663</v>
      </c>
      <c r="AT458" s="14"/>
      <c r="AU458" s="14"/>
      <c r="AV458" s="14"/>
      <c r="AW458" t="s" s="15">
        <v>1664</v>
      </c>
      <c r="AX458" s="14"/>
      <c r="AY458" s="14"/>
      <c r="AZ458" s="14"/>
      <c r="BA458" s="14"/>
      <c r="BB458" s="14"/>
      <c r="BC458" s="14"/>
      <c r="BD458" s="14"/>
      <c r="BE458" s="14"/>
      <c r="BF458" s="14"/>
      <c r="BG458" s="14"/>
      <c r="BH458" s="14"/>
      <c r="BI458" s="14"/>
      <c r="BJ458" s="14"/>
      <c r="BK458" s="14"/>
      <c r="BL458" s="14"/>
      <c r="BM458" s="14"/>
      <c r="BN458" t="s" s="15">
        <v>78</v>
      </c>
      <c r="BO458" s="16"/>
      <c r="BP458" s="8"/>
    </row>
    <row r="459" ht="15" customHeight="1" hidden="1">
      <c r="A459" t="s" s="9">
        <v>1665</v>
      </c>
      <c r="B459" s="11"/>
      <c r="C459" t="str" s="11" cm="1">
        <f t="array" ref="C459">_xlfn.IFERROR((VLOOKUP(A459,#REF!,2,FALSE)),"")</f>
      </c>
      <c r="D459" s="11"/>
      <c r="E459" s="11"/>
      <c r="F459" s="11"/>
      <c r="G459" t="s" s="10">
        <v>1666</v>
      </c>
      <c r="H459" t="s" s="10">
        <v>524</v>
      </c>
      <c r="I459" t="s" s="10">
        <v>111</v>
      </c>
      <c r="J459" t="s" s="10">
        <v>122</v>
      </c>
      <c r="K459" t="s" s="10">
        <v>113</v>
      </c>
      <c r="L459" t="s" s="10">
        <v>518</v>
      </c>
      <c r="M459" t="s" s="10">
        <v>1666</v>
      </c>
      <c r="N459" t="s" s="10">
        <v>1666</v>
      </c>
      <c r="O459" s="11"/>
      <c r="P459" t="s" s="10">
        <v>122</v>
      </c>
      <c r="Q459" t="s" s="10">
        <v>78</v>
      </c>
      <c r="R459" t="s" s="10">
        <v>323</v>
      </c>
      <c r="S459" s="11"/>
      <c r="T459" t="s" s="10">
        <v>69</v>
      </c>
      <c r="U459" s="11"/>
      <c r="V459" t="s" s="10">
        <v>69</v>
      </c>
      <c r="W459" s="11"/>
      <c r="X459" t="s" s="10">
        <v>69</v>
      </c>
      <c r="Y459" s="11"/>
      <c r="Z459" t="s" s="10">
        <v>552</v>
      </c>
      <c r="AA459" s="11"/>
      <c r="AB459" t="s" s="10">
        <v>1551</v>
      </c>
      <c r="AC459" s="11"/>
      <c r="AD459" s="11"/>
      <c r="AE459" s="11"/>
      <c r="AF459" s="11"/>
      <c r="AG459" t="s" s="10">
        <v>299</v>
      </c>
      <c r="AH459" t="s" s="10">
        <v>289</v>
      </c>
      <c r="AI459" t="s" s="10">
        <v>76</v>
      </c>
      <c r="AJ459" t="s" s="10">
        <v>76</v>
      </c>
      <c r="AK459" t="s" s="10">
        <v>524</v>
      </c>
      <c r="AL459" t="s" s="10">
        <v>293</v>
      </c>
      <c r="AM459" t="s" s="10">
        <v>294</v>
      </c>
      <c r="AN459" t="s" s="10">
        <v>133</v>
      </c>
      <c r="AO459" s="18">
        <v>8</v>
      </c>
      <c r="AP459" s="18">
        <v>16384</v>
      </c>
      <c r="AQ459" s="18">
        <v>241955</v>
      </c>
      <c r="AR459" s="18">
        <v>241955</v>
      </c>
      <c r="AS459" t="s" s="10">
        <v>1667</v>
      </c>
      <c r="AT459" s="11"/>
      <c r="AU459" s="11"/>
      <c r="AV459" s="11"/>
      <c r="AW459" t="s" s="10">
        <v>1668</v>
      </c>
      <c r="AX459" s="11"/>
      <c r="AY459" s="11"/>
      <c r="AZ459" s="11"/>
      <c r="BA459" s="11"/>
      <c r="BB459" s="11"/>
      <c r="BC459" s="11"/>
      <c r="BD459" s="11"/>
      <c r="BE459" s="11"/>
      <c r="BF459" s="11"/>
      <c r="BG459" s="11"/>
      <c r="BH459" s="11"/>
      <c r="BI459" s="11"/>
      <c r="BJ459" s="11"/>
      <c r="BK459" s="11"/>
      <c r="BL459" s="11"/>
      <c r="BM459" s="11"/>
      <c r="BN459" t="s" s="10">
        <v>78</v>
      </c>
      <c r="BO459" s="12"/>
      <c r="BP459" s="8"/>
    </row>
    <row r="460" ht="15" customHeight="1" hidden="1">
      <c r="A460" t="s" s="13">
        <v>1669</v>
      </c>
      <c r="B460" s="14"/>
      <c r="C460" t="str" s="14" cm="1">
        <f t="array" ref="C460">_xlfn.IFERROR((VLOOKUP(A460,#REF!,2,FALSE)),"")</f>
      </c>
      <c r="D460" s="14"/>
      <c r="E460" s="14"/>
      <c r="F460" s="14"/>
      <c r="G460" t="s" s="15">
        <v>1670</v>
      </c>
      <c r="H460" t="s" s="15">
        <v>524</v>
      </c>
      <c r="I460" t="s" s="15">
        <v>111</v>
      </c>
      <c r="J460" t="s" s="15">
        <v>122</v>
      </c>
      <c r="K460" t="s" s="15">
        <v>113</v>
      </c>
      <c r="L460" t="s" s="15">
        <v>518</v>
      </c>
      <c r="M460" t="s" s="15">
        <v>1670</v>
      </c>
      <c r="N460" t="s" s="15">
        <v>1670</v>
      </c>
      <c r="O460" s="14"/>
      <c r="P460" t="s" s="15">
        <v>122</v>
      </c>
      <c r="Q460" t="s" s="15">
        <v>78</v>
      </c>
      <c r="R460" t="s" s="15">
        <v>323</v>
      </c>
      <c r="S460" s="14"/>
      <c r="T460" t="s" s="15">
        <v>69</v>
      </c>
      <c r="U460" s="14"/>
      <c r="V460" t="s" s="15">
        <v>69</v>
      </c>
      <c r="W460" s="14"/>
      <c r="X460" t="s" s="15">
        <v>69</v>
      </c>
      <c r="Y460" s="14"/>
      <c r="Z460" t="s" s="15">
        <v>552</v>
      </c>
      <c r="AA460" s="14"/>
      <c r="AB460" t="s" s="15">
        <v>1551</v>
      </c>
      <c r="AC460" s="14"/>
      <c r="AD460" s="14"/>
      <c r="AE460" s="14"/>
      <c r="AF460" s="14"/>
      <c r="AG460" t="s" s="15">
        <v>299</v>
      </c>
      <c r="AH460" t="s" s="15">
        <v>289</v>
      </c>
      <c r="AI460" t="s" s="15">
        <v>76</v>
      </c>
      <c r="AJ460" t="s" s="15">
        <v>76</v>
      </c>
      <c r="AK460" t="s" s="15">
        <v>524</v>
      </c>
      <c r="AL460" t="s" s="15">
        <v>293</v>
      </c>
      <c r="AM460" t="s" s="15">
        <v>294</v>
      </c>
      <c r="AN460" t="s" s="15">
        <v>133</v>
      </c>
      <c r="AO460" s="17">
        <v>8</v>
      </c>
      <c r="AP460" s="17">
        <v>16384</v>
      </c>
      <c r="AQ460" s="17">
        <v>190661</v>
      </c>
      <c r="AR460" s="17">
        <v>190661</v>
      </c>
      <c r="AS460" t="s" s="15">
        <v>1671</v>
      </c>
      <c r="AT460" s="14"/>
      <c r="AU460" s="14"/>
      <c r="AV460" s="14"/>
      <c r="AW460" t="s" s="15">
        <v>1672</v>
      </c>
      <c r="AX460" s="14"/>
      <c r="AY460" s="14"/>
      <c r="AZ460" s="14"/>
      <c r="BA460" s="14"/>
      <c r="BB460" s="14"/>
      <c r="BC460" s="14"/>
      <c r="BD460" s="14"/>
      <c r="BE460" s="14"/>
      <c r="BF460" s="14"/>
      <c r="BG460" s="14"/>
      <c r="BH460" s="14"/>
      <c r="BI460" s="14"/>
      <c r="BJ460" s="14"/>
      <c r="BK460" s="14"/>
      <c r="BL460" s="14"/>
      <c r="BM460" s="14"/>
      <c r="BN460" t="s" s="15">
        <v>78</v>
      </c>
      <c r="BO460" s="16"/>
      <c r="BP460" s="8"/>
    </row>
    <row r="461" ht="9" customHeight="1" hidden="1">
      <c r="A461" t="s" s="9">
        <v>1673</v>
      </c>
      <c r="B461" s="11"/>
      <c r="C461" t="str" s="11" cm="1">
        <f t="array" ref="C461">_xlfn.IFERROR((VLOOKUP(A461,#REF!,2,FALSE)),"")</f>
      </c>
      <c r="D461" t="s" s="10">
        <v>70</v>
      </c>
      <c r="E461" t="s" s="10">
        <v>71</v>
      </c>
      <c r="F461" s="11"/>
      <c r="G461" s="11"/>
      <c r="H461" s="11"/>
      <c r="I461" t="s" s="10">
        <v>82</v>
      </c>
      <c r="J461" t="s" s="10">
        <v>82</v>
      </c>
      <c r="K461" t="s" s="10">
        <v>82</v>
      </c>
      <c r="L461" t="s" s="10">
        <v>76</v>
      </c>
      <c r="M461" t="s" s="10">
        <v>77</v>
      </c>
      <c r="N461" s="11"/>
      <c r="O461" t="s" s="10">
        <v>71</v>
      </c>
      <c r="P461" s="11"/>
      <c r="Q461" t="s" s="10">
        <v>78</v>
      </c>
      <c r="R461" t="s" s="10">
        <v>83</v>
      </c>
      <c r="S461" s="11"/>
      <c r="T461" s="11"/>
      <c r="U461" s="11"/>
      <c r="V461" t="s" s="10">
        <v>69</v>
      </c>
      <c r="W461" s="11"/>
      <c r="X461" t="s" s="10">
        <v>78</v>
      </c>
      <c r="Y461" s="11"/>
      <c r="Z461" t="s" s="10">
        <v>76</v>
      </c>
      <c r="AA461" s="11"/>
      <c r="AB461" t="s" s="10">
        <v>76</v>
      </c>
      <c r="AC461" s="11"/>
      <c r="AD461" s="11"/>
      <c r="AE461" s="11"/>
      <c r="AF461" s="11"/>
      <c r="AG461" s="11"/>
      <c r="AH461" s="11"/>
      <c r="AI461" t="s" s="10">
        <v>76</v>
      </c>
      <c r="AJ461" t="s" s="10">
        <v>76</v>
      </c>
      <c r="AK461" t="s" s="10">
        <v>79</v>
      </c>
      <c r="AL461" s="11"/>
      <c r="AM461" t="s" s="10">
        <v>196</v>
      </c>
      <c r="AN461" t="s" s="10">
        <v>133</v>
      </c>
      <c r="AO461" s="18">
        <v>8</v>
      </c>
      <c r="AP461" s="18">
        <v>16384</v>
      </c>
      <c r="AQ461" s="18">
        <v>191058</v>
      </c>
      <c r="AR461" s="18">
        <v>86336</v>
      </c>
      <c r="AS461" t="s" s="10">
        <v>1674</v>
      </c>
      <c r="AT461" s="11"/>
      <c r="AU461" s="11"/>
      <c r="AV461" s="11"/>
      <c r="AW461" s="11"/>
      <c r="AX461" s="11"/>
      <c r="AY461" s="11"/>
      <c r="AZ461" s="11"/>
      <c r="BA461" s="11"/>
      <c r="BB461" s="11"/>
      <c r="BC461" s="11"/>
      <c r="BD461" s="11"/>
      <c r="BE461" s="11"/>
      <c r="BF461" s="11"/>
      <c r="BG461" s="11"/>
      <c r="BH461" s="11"/>
      <c r="BI461" s="11"/>
      <c r="BJ461" s="11"/>
      <c r="BK461" s="11"/>
      <c r="BL461" s="11"/>
      <c r="BM461" s="11"/>
      <c r="BN461" s="11"/>
      <c r="BO461" s="12"/>
      <c r="BP461" s="8"/>
    </row>
    <row r="462" ht="15" customHeight="1" hidden="1">
      <c r="A462" t="s" s="13">
        <v>1675</v>
      </c>
      <c r="B462" s="14"/>
      <c r="C462" t="str" s="14" cm="1">
        <f t="array" ref="C462">_xlfn.IFERROR((VLOOKUP(A462,#REF!,2,FALSE)),"")</f>
      </c>
      <c r="D462" s="14"/>
      <c r="E462" s="14"/>
      <c r="F462" s="14"/>
      <c r="G462" t="s" s="15">
        <v>1676</v>
      </c>
      <c r="H462" t="s" s="15">
        <v>524</v>
      </c>
      <c r="I462" t="s" s="15">
        <v>111</v>
      </c>
      <c r="J462" t="s" s="15">
        <v>122</v>
      </c>
      <c r="K462" t="s" s="15">
        <v>113</v>
      </c>
      <c r="L462" t="s" s="15">
        <v>518</v>
      </c>
      <c r="M462" t="s" s="15">
        <v>1676</v>
      </c>
      <c r="N462" t="s" s="15">
        <v>1676</v>
      </c>
      <c r="O462" s="14"/>
      <c r="P462" t="s" s="15">
        <v>122</v>
      </c>
      <c r="Q462" t="s" s="15">
        <v>78</v>
      </c>
      <c r="R462" t="s" s="15">
        <v>323</v>
      </c>
      <c r="S462" s="14"/>
      <c r="T462" t="s" s="15">
        <v>69</v>
      </c>
      <c r="U462" s="14"/>
      <c r="V462" t="s" s="15">
        <v>69</v>
      </c>
      <c r="W462" s="14"/>
      <c r="X462" t="s" s="15">
        <v>69</v>
      </c>
      <c r="Y462" s="14"/>
      <c r="Z462" t="s" s="15">
        <v>552</v>
      </c>
      <c r="AA462" s="14"/>
      <c r="AB462" t="s" s="15">
        <v>1551</v>
      </c>
      <c r="AC462" s="14"/>
      <c r="AD462" s="14"/>
      <c r="AE462" s="14"/>
      <c r="AF462" s="14"/>
      <c r="AG462" t="s" s="15">
        <v>299</v>
      </c>
      <c r="AH462" t="s" s="15">
        <v>289</v>
      </c>
      <c r="AI462" t="s" s="15">
        <v>76</v>
      </c>
      <c r="AJ462" t="s" s="15">
        <v>76</v>
      </c>
      <c r="AK462" t="s" s="15">
        <v>524</v>
      </c>
      <c r="AL462" t="s" s="15">
        <v>293</v>
      </c>
      <c r="AM462" t="s" s="15">
        <v>294</v>
      </c>
      <c r="AN462" t="s" s="15">
        <v>133</v>
      </c>
      <c r="AO462" s="17">
        <v>8</v>
      </c>
      <c r="AP462" s="17">
        <v>16384</v>
      </c>
      <c r="AQ462" s="17">
        <v>190821</v>
      </c>
      <c r="AR462" s="17">
        <v>190821</v>
      </c>
      <c r="AS462" t="s" s="15">
        <v>1677</v>
      </c>
      <c r="AT462" s="14"/>
      <c r="AU462" s="14"/>
      <c r="AV462" s="14"/>
      <c r="AW462" t="s" s="15">
        <v>1678</v>
      </c>
      <c r="AX462" s="14"/>
      <c r="AY462" s="14"/>
      <c r="AZ462" s="14"/>
      <c r="BA462" s="14"/>
      <c r="BB462" s="14"/>
      <c r="BC462" s="14"/>
      <c r="BD462" s="14"/>
      <c r="BE462" s="14"/>
      <c r="BF462" s="14"/>
      <c r="BG462" s="14"/>
      <c r="BH462" s="14"/>
      <c r="BI462" s="14"/>
      <c r="BJ462" s="14"/>
      <c r="BK462" s="14"/>
      <c r="BL462" s="14"/>
      <c r="BM462" s="14"/>
      <c r="BN462" t="s" s="15">
        <v>78</v>
      </c>
      <c r="BO462" s="16"/>
      <c r="BP462" s="8"/>
    </row>
    <row r="463" ht="9" customHeight="1" hidden="1">
      <c r="A463" t="s" s="9">
        <v>1679</v>
      </c>
      <c r="B463" s="11"/>
      <c r="C463" t="str" s="11" cm="1">
        <f t="array" ref="C463">_xlfn.IFERROR((VLOOKUP(A463,#REF!,2,FALSE)),"")</f>
      </c>
      <c r="D463" s="11"/>
      <c r="E463" s="11"/>
      <c r="F463" s="11"/>
      <c r="G463" t="s" s="10">
        <v>1680</v>
      </c>
      <c r="H463" t="s" s="10">
        <v>524</v>
      </c>
      <c r="I463" t="s" s="10">
        <v>111</v>
      </c>
      <c r="J463" t="s" s="10">
        <v>122</v>
      </c>
      <c r="K463" t="s" s="10">
        <v>113</v>
      </c>
      <c r="L463" t="s" s="10">
        <v>518</v>
      </c>
      <c r="M463" t="s" s="10">
        <v>1680</v>
      </c>
      <c r="N463" t="s" s="10">
        <v>1680</v>
      </c>
      <c r="O463" s="11"/>
      <c r="P463" t="s" s="10">
        <v>122</v>
      </c>
      <c r="Q463" t="s" s="10">
        <v>78</v>
      </c>
      <c r="R463" t="s" s="10">
        <v>323</v>
      </c>
      <c r="S463" s="11"/>
      <c r="T463" t="s" s="10">
        <v>69</v>
      </c>
      <c r="U463" s="11"/>
      <c r="V463" t="s" s="10">
        <v>69</v>
      </c>
      <c r="W463" s="11"/>
      <c r="X463" t="s" s="10">
        <v>69</v>
      </c>
      <c r="Y463" s="11"/>
      <c r="Z463" t="s" s="10">
        <v>552</v>
      </c>
      <c r="AA463" s="11"/>
      <c r="AB463" t="s" s="10">
        <v>1551</v>
      </c>
      <c r="AC463" s="11"/>
      <c r="AD463" s="11"/>
      <c r="AE463" s="11"/>
      <c r="AF463" s="11"/>
      <c r="AG463" t="s" s="10">
        <v>299</v>
      </c>
      <c r="AH463" t="s" s="10">
        <v>289</v>
      </c>
      <c r="AI463" t="s" s="10">
        <v>76</v>
      </c>
      <c r="AJ463" t="s" s="10">
        <v>76</v>
      </c>
      <c r="AK463" t="s" s="10">
        <v>524</v>
      </c>
      <c r="AL463" t="s" s="10">
        <v>293</v>
      </c>
      <c r="AM463" t="s" s="10">
        <v>294</v>
      </c>
      <c r="AN463" t="s" s="10">
        <v>1681</v>
      </c>
      <c r="AO463" s="18">
        <v>8</v>
      </c>
      <c r="AP463" s="18">
        <v>16384</v>
      </c>
      <c r="AQ463" s="18">
        <v>190742</v>
      </c>
      <c r="AR463" s="18">
        <v>190742</v>
      </c>
      <c r="AS463" t="s" s="10">
        <v>1682</v>
      </c>
      <c r="AT463" s="11"/>
      <c r="AU463" s="11"/>
      <c r="AV463" s="11"/>
      <c r="AW463" t="s" s="10">
        <v>1683</v>
      </c>
      <c r="AX463" s="11"/>
      <c r="AY463" s="11"/>
      <c r="AZ463" s="11"/>
      <c r="BA463" s="11"/>
      <c r="BB463" s="11"/>
      <c r="BC463" s="11"/>
      <c r="BD463" s="11"/>
      <c r="BE463" s="11"/>
      <c r="BF463" s="11"/>
      <c r="BG463" s="11"/>
      <c r="BH463" s="11"/>
      <c r="BI463" s="11"/>
      <c r="BJ463" s="11"/>
      <c r="BK463" s="11"/>
      <c r="BL463" s="11"/>
      <c r="BM463" s="11"/>
      <c r="BN463" t="s" s="10">
        <v>78</v>
      </c>
      <c r="BO463" s="12"/>
      <c r="BP463" s="8"/>
    </row>
    <row r="464" ht="9" customHeight="1" hidden="1">
      <c r="A464" t="s" s="13">
        <v>1684</v>
      </c>
      <c r="B464" s="14"/>
      <c r="C464" t="str" s="14" cm="1">
        <f t="array" ref="C464">_xlfn.IFERROR((VLOOKUP(A464,#REF!,2,FALSE)),"")</f>
      </c>
      <c r="D464" s="14"/>
      <c r="E464" s="14"/>
      <c r="F464" s="14"/>
      <c r="G464" t="s" s="15">
        <v>1685</v>
      </c>
      <c r="H464" t="s" s="15">
        <v>524</v>
      </c>
      <c r="I464" t="s" s="15">
        <v>111</v>
      </c>
      <c r="J464" t="s" s="15">
        <v>122</v>
      </c>
      <c r="K464" t="s" s="15">
        <v>113</v>
      </c>
      <c r="L464" t="s" s="15">
        <v>518</v>
      </c>
      <c r="M464" t="s" s="15">
        <v>1685</v>
      </c>
      <c r="N464" t="s" s="15">
        <v>1685</v>
      </c>
      <c r="O464" s="14"/>
      <c r="P464" t="s" s="15">
        <v>122</v>
      </c>
      <c r="Q464" t="s" s="15">
        <v>78</v>
      </c>
      <c r="R464" t="s" s="15">
        <v>323</v>
      </c>
      <c r="S464" s="14"/>
      <c r="T464" t="s" s="15">
        <v>69</v>
      </c>
      <c r="U464" s="14"/>
      <c r="V464" t="s" s="15">
        <v>69</v>
      </c>
      <c r="W464" s="14"/>
      <c r="X464" t="s" s="15">
        <v>69</v>
      </c>
      <c r="Y464" s="14"/>
      <c r="Z464" t="s" s="15">
        <v>552</v>
      </c>
      <c r="AA464" s="14"/>
      <c r="AB464" t="s" s="15">
        <v>1551</v>
      </c>
      <c r="AC464" s="14"/>
      <c r="AD464" s="14"/>
      <c r="AE464" s="14"/>
      <c r="AF464" s="14"/>
      <c r="AG464" t="s" s="15">
        <v>299</v>
      </c>
      <c r="AH464" t="s" s="15">
        <v>289</v>
      </c>
      <c r="AI464" t="s" s="15">
        <v>76</v>
      </c>
      <c r="AJ464" t="s" s="15">
        <v>76</v>
      </c>
      <c r="AK464" t="s" s="15">
        <v>524</v>
      </c>
      <c r="AL464" t="s" s="15">
        <v>293</v>
      </c>
      <c r="AM464" t="s" s="15">
        <v>294</v>
      </c>
      <c r="AN464" t="s" s="15">
        <v>133</v>
      </c>
      <c r="AO464" s="17">
        <v>16</v>
      </c>
      <c r="AP464" s="17">
        <v>32768</v>
      </c>
      <c r="AQ464" s="17">
        <v>207063</v>
      </c>
      <c r="AR464" s="17">
        <v>122956</v>
      </c>
      <c r="AS464" t="s" s="15">
        <v>1686</v>
      </c>
      <c r="AT464" s="14"/>
      <c r="AU464" s="14"/>
      <c r="AV464" s="14"/>
      <c r="AW464" t="s" s="15">
        <v>1687</v>
      </c>
      <c r="AX464" s="14"/>
      <c r="AY464" s="14"/>
      <c r="AZ464" s="14"/>
      <c r="BA464" s="14"/>
      <c r="BB464" s="14"/>
      <c r="BC464" s="14"/>
      <c r="BD464" s="14"/>
      <c r="BE464" s="14"/>
      <c r="BF464" s="14"/>
      <c r="BG464" s="14"/>
      <c r="BH464" s="14"/>
      <c r="BI464" s="14"/>
      <c r="BJ464" s="14"/>
      <c r="BK464" s="14"/>
      <c r="BL464" s="14"/>
      <c r="BM464" s="14"/>
      <c r="BN464" t="s" s="15">
        <v>69</v>
      </c>
      <c r="BO464" s="16"/>
      <c r="BP464" s="8"/>
    </row>
    <row r="465" ht="9" customHeight="1" hidden="1">
      <c r="A465" t="s" s="9">
        <v>1688</v>
      </c>
      <c r="B465" s="11"/>
      <c r="C465" t="str" s="11" cm="1">
        <f t="array" ref="C465">_xlfn.IFERROR((VLOOKUP(A465,#REF!,2,FALSE)),"")</f>
      </c>
      <c r="D465" s="11"/>
      <c r="E465" s="11"/>
      <c r="F465" s="11"/>
      <c r="G465" t="s" s="10">
        <v>1689</v>
      </c>
      <c r="H465" t="s" s="10">
        <v>1690</v>
      </c>
      <c r="I465" t="s" s="10">
        <v>111</v>
      </c>
      <c r="J465" t="s" s="10">
        <v>122</v>
      </c>
      <c r="K465" t="s" s="10">
        <v>113</v>
      </c>
      <c r="L465" t="s" s="10">
        <v>518</v>
      </c>
      <c r="M465" t="s" s="10">
        <v>1689</v>
      </c>
      <c r="N465" t="s" s="10">
        <v>1689</v>
      </c>
      <c r="O465" s="11"/>
      <c r="P465" t="s" s="10">
        <v>122</v>
      </c>
      <c r="Q465" t="s" s="10">
        <v>78</v>
      </c>
      <c r="R465" t="s" s="10">
        <v>83</v>
      </c>
      <c r="S465" s="11"/>
      <c r="T465" t="s" s="10">
        <v>69</v>
      </c>
      <c r="U465" s="11"/>
      <c r="V465" t="s" s="10">
        <v>69</v>
      </c>
      <c r="W465" s="11"/>
      <c r="X465" t="s" s="10">
        <v>69</v>
      </c>
      <c r="Y465" s="11"/>
      <c r="Z465" t="s" s="10">
        <v>552</v>
      </c>
      <c r="AA465" s="11"/>
      <c r="AB465" t="s" s="10">
        <v>1691</v>
      </c>
      <c r="AC465" s="11"/>
      <c r="AD465" s="11"/>
      <c r="AE465" s="11"/>
      <c r="AF465" s="11"/>
      <c r="AG465" t="s" s="10">
        <v>299</v>
      </c>
      <c r="AH465" t="s" s="10">
        <v>289</v>
      </c>
      <c r="AI465" t="s" s="10">
        <v>440</v>
      </c>
      <c r="AJ465" s="11"/>
      <c r="AK465" t="s" s="10">
        <v>524</v>
      </c>
      <c r="AL465" t="s" s="10">
        <v>293</v>
      </c>
      <c r="AM465" t="s" s="10">
        <v>294</v>
      </c>
      <c r="AN465" t="s" s="10">
        <v>1692</v>
      </c>
      <c r="AO465" s="18">
        <v>4</v>
      </c>
      <c r="AP465" s="18">
        <v>16384</v>
      </c>
      <c r="AQ465" s="18">
        <v>358091</v>
      </c>
      <c r="AR465" s="18">
        <v>189511</v>
      </c>
      <c r="AS465" t="s" s="10">
        <v>1693</v>
      </c>
      <c r="AT465" s="11"/>
      <c r="AU465" s="11"/>
      <c r="AV465" s="11"/>
      <c r="AW465" t="s" s="10">
        <v>1694</v>
      </c>
      <c r="AX465" s="11"/>
      <c r="AY465" s="11"/>
      <c r="AZ465" s="11"/>
      <c r="BA465" s="11"/>
      <c r="BB465" s="11"/>
      <c r="BC465" s="11"/>
      <c r="BD465" s="11"/>
      <c r="BE465" s="11"/>
      <c r="BF465" s="11"/>
      <c r="BG465" s="11"/>
      <c r="BH465" s="11"/>
      <c r="BI465" s="11"/>
      <c r="BJ465" s="11"/>
      <c r="BK465" s="11"/>
      <c r="BL465" s="11"/>
      <c r="BM465" s="11"/>
      <c r="BN465" t="s" s="10">
        <v>78</v>
      </c>
      <c r="BO465" s="12"/>
      <c r="BP465" s="8"/>
    </row>
    <row r="466" ht="13.55" customHeight="1">
      <c r="A466" t="s" s="13">
        <v>1695</v>
      </c>
      <c r="B466" s="14"/>
      <c r="C466" t="str" s="14" cm="1">
        <f t="array" ref="C466">_xlfn.IFERROR((VLOOKUP(A466,#REF!,2,FALSE)),"")</f>
      </c>
      <c r="D466" t="s" s="15">
        <v>70</v>
      </c>
      <c r="E466" t="s" s="15">
        <v>1696</v>
      </c>
      <c r="F466" s="14"/>
      <c r="G466" t="s" s="15">
        <v>1697</v>
      </c>
      <c r="H466" t="s" s="15">
        <v>1697</v>
      </c>
      <c r="I466" t="s" s="15">
        <v>111</v>
      </c>
      <c r="J466" t="s" s="15">
        <v>122</v>
      </c>
      <c r="K466" t="s" s="15">
        <v>113</v>
      </c>
      <c r="L466" t="s" s="15">
        <v>76</v>
      </c>
      <c r="M466" t="s" s="15">
        <v>1697</v>
      </c>
      <c r="N466" t="s" s="15">
        <v>1697</v>
      </c>
      <c r="O466" s="14"/>
      <c r="P466" t="s" s="15">
        <v>122</v>
      </c>
      <c r="Q466" t="s" s="15">
        <v>69</v>
      </c>
      <c r="R466" t="s" s="15">
        <v>83</v>
      </c>
      <c r="S466" s="14"/>
      <c r="T466" s="14"/>
      <c r="U466" s="14"/>
      <c r="V466" t="s" s="15">
        <v>69</v>
      </c>
      <c r="W466" s="14"/>
      <c r="X466" t="s" s="15">
        <v>69</v>
      </c>
      <c r="Y466" s="14"/>
      <c r="Z466" t="s" s="15">
        <v>289</v>
      </c>
      <c r="AA466" s="14"/>
      <c r="AB466" t="s" s="15">
        <v>206</v>
      </c>
      <c r="AC466" t="s" s="15">
        <v>1695</v>
      </c>
      <c r="AD466" t="s" s="15">
        <v>1698</v>
      </c>
      <c r="AE466" s="14"/>
      <c r="AF466" t="s" s="15">
        <v>1697</v>
      </c>
      <c r="AG466" t="s" s="15">
        <v>299</v>
      </c>
      <c r="AH466" t="s" s="15">
        <v>114</v>
      </c>
      <c r="AI466" t="s" s="15">
        <v>332</v>
      </c>
      <c r="AJ466" t="s" s="15">
        <v>523</v>
      </c>
      <c r="AK466" t="s" s="15">
        <v>83</v>
      </c>
      <c r="AL466" t="s" s="15">
        <v>293</v>
      </c>
      <c r="AM466" t="s" s="15">
        <v>294</v>
      </c>
      <c r="AN466" t="s" s="15">
        <v>128</v>
      </c>
      <c r="AO466" s="17">
        <v>6</v>
      </c>
      <c r="AP466" s="17">
        <v>32768</v>
      </c>
      <c r="AQ466" s="17">
        <v>1081864</v>
      </c>
      <c r="AR466" s="17">
        <v>1081864</v>
      </c>
      <c r="AS466" t="s" s="15">
        <v>1699</v>
      </c>
      <c r="AT466" t="s" s="15">
        <v>301</v>
      </c>
      <c r="AU466" s="14"/>
      <c r="AV466" s="14"/>
      <c r="AW466" s="14"/>
      <c r="AX466" s="14"/>
      <c r="AY466" s="14"/>
      <c r="AZ466" s="14"/>
      <c r="BA466" s="14"/>
      <c r="BB466" s="14"/>
      <c r="BC466" s="14"/>
      <c r="BD466" t="s" s="15">
        <v>366</v>
      </c>
      <c r="BE466" t="s" s="15">
        <v>367</v>
      </c>
      <c r="BF466" s="17">
        <v>8</v>
      </c>
      <c r="BG466" s="17">
        <v>32</v>
      </c>
      <c r="BH466" s="14"/>
      <c r="BI466" s="14"/>
      <c r="BJ466" s="14"/>
      <c r="BK466" s="14"/>
      <c r="BL466" s="14"/>
      <c r="BM466" s="14"/>
      <c r="BN466" t="s" s="15">
        <v>69</v>
      </c>
      <c r="BO466" s="16"/>
      <c r="BP466" s="8"/>
    </row>
    <row r="467" ht="15" customHeight="1" hidden="1">
      <c r="A467" t="s" s="9">
        <v>1700</v>
      </c>
      <c r="B467" s="11"/>
      <c r="C467" t="str" s="11" cm="1">
        <f t="array" ref="C467">_xlfn.IFERROR((VLOOKUP(A467,#REF!,2,FALSE)),"")</f>
      </c>
      <c r="D467" t="s" s="10">
        <v>70</v>
      </c>
      <c r="E467" t="s" s="10">
        <v>1701</v>
      </c>
      <c r="F467" s="11"/>
      <c r="G467" t="s" s="10">
        <v>1702</v>
      </c>
      <c r="H467" t="s" s="10">
        <v>524</v>
      </c>
      <c r="I467" t="s" s="10">
        <v>111</v>
      </c>
      <c r="J467" t="s" s="10">
        <v>322</v>
      </c>
      <c r="K467" t="s" s="10">
        <v>113</v>
      </c>
      <c r="L467" t="s" s="10">
        <v>518</v>
      </c>
      <c r="M467" t="s" s="10">
        <v>1702</v>
      </c>
      <c r="N467" t="s" s="10">
        <v>1702</v>
      </c>
      <c r="O467" s="11"/>
      <c r="P467" t="s" s="10">
        <v>322</v>
      </c>
      <c r="Q467" t="s" s="10">
        <v>69</v>
      </c>
      <c r="R467" t="s" s="10">
        <v>83</v>
      </c>
      <c r="S467" s="11"/>
      <c r="T467" t="s" s="10">
        <v>69</v>
      </c>
      <c r="U467" s="11"/>
      <c r="V467" t="s" s="10">
        <v>69</v>
      </c>
      <c r="W467" s="11"/>
      <c r="X467" t="s" s="10">
        <v>69</v>
      </c>
      <c r="Y467" s="11"/>
      <c r="Z467" t="s" s="10">
        <v>552</v>
      </c>
      <c r="AA467" s="11"/>
      <c r="AB467" t="s" s="10">
        <v>1551</v>
      </c>
      <c r="AC467" t="s" s="10">
        <v>1700</v>
      </c>
      <c r="AD467" t="s" s="10">
        <v>1703</v>
      </c>
      <c r="AE467" s="11"/>
      <c r="AF467" s="11"/>
      <c r="AG467" t="s" s="10">
        <v>299</v>
      </c>
      <c r="AH467" t="s" s="10">
        <v>106</v>
      </c>
      <c r="AI467" t="s" s="10">
        <v>76</v>
      </c>
      <c r="AJ467" t="s" s="10">
        <v>76</v>
      </c>
      <c r="AK467" t="s" s="10">
        <v>524</v>
      </c>
      <c r="AL467" t="s" s="10">
        <v>293</v>
      </c>
      <c r="AM467" t="s" s="10">
        <v>294</v>
      </c>
      <c r="AN467" t="s" s="10">
        <v>128</v>
      </c>
      <c r="AO467" s="18">
        <v>2</v>
      </c>
      <c r="AP467" s="18">
        <v>4096</v>
      </c>
      <c r="AQ467" s="18">
        <v>157801</v>
      </c>
      <c r="AR467" s="18">
        <v>94474</v>
      </c>
      <c r="AS467" t="s" s="10">
        <v>1704</v>
      </c>
      <c r="AT467" t="s" s="10">
        <v>301</v>
      </c>
      <c r="AU467" s="11"/>
      <c r="AV467" s="11"/>
      <c r="AW467" s="11"/>
      <c r="AX467" s="11"/>
      <c r="AY467" s="11"/>
      <c r="AZ467" s="11"/>
      <c r="BA467" s="11"/>
      <c r="BB467" s="11"/>
      <c r="BC467" s="11"/>
      <c r="BD467" s="11"/>
      <c r="BE467" s="11"/>
      <c r="BF467" s="11"/>
      <c r="BG467" s="11"/>
      <c r="BH467" s="11"/>
      <c r="BI467" s="11"/>
      <c r="BJ467" s="11"/>
      <c r="BK467" s="11"/>
      <c r="BL467" s="11"/>
      <c r="BM467" s="11"/>
      <c r="BN467" t="s" s="10">
        <v>78</v>
      </c>
      <c r="BO467" s="12"/>
      <c r="BP467" s="8"/>
    </row>
    <row r="468" ht="15" customHeight="1" hidden="1">
      <c r="A468" t="s" s="13">
        <v>1705</v>
      </c>
      <c r="B468" s="14"/>
      <c r="C468" t="str" s="14" cm="1">
        <f t="array" ref="C468">_xlfn.IFERROR((VLOOKUP(A468,#REF!,2,FALSE)),"")</f>
      </c>
      <c r="D468" s="14"/>
      <c r="E468" t="s" s="15">
        <v>1706</v>
      </c>
      <c r="F468" s="14"/>
      <c r="G468" t="s" s="15">
        <v>1707</v>
      </c>
      <c r="H468" t="s" s="15">
        <v>1708</v>
      </c>
      <c r="I468" t="s" s="15">
        <v>111</v>
      </c>
      <c r="J468" t="s" s="15">
        <v>122</v>
      </c>
      <c r="K468" t="s" s="15">
        <v>1709</v>
      </c>
      <c r="L468" t="s" s="15">
        <v>518</v>
      </c>
      <c r="M468" t="s" s="15">
        <v>1707</v>
      </c>
      <c r="N468" t="s" s="15">
        <v>1707</v>
      </c>
      <c r="O468" s="14"/>
      <c r="P468" t="s" s="15">
        <v>122</v>
      </c>
      <c r="Q468" t="s" s="15">
        <v>78</v>
      </c>
      <c r="R468" t="s" s="15">
        <v>83</v>
      </c>
      <c r="S468" s="14"/>
      <c r="T468" t="s" s="15">
        <v>69</v>
      </c>
      <c r="U468" s="14"/>
      <c r="V468" t="s" s="29">
        <v>69</v>
      </c>
      <c r="W468" t="s" s="22">
        <v>1705</v>
      </c>
      <c r="X468" t="s" s="32">
        <v>69</v>
      </c>
      <c r="Y468" s="33"/>
      <c r="Z468" t="s" s="30">
        <v>552</v>
      </c>
      <c r="AA468" s="14"/>
      <c r="AB468" t="s" s="15">
        <v>1691</v>
      </c>
      <c r="AC468" s="14"/>
      <c r="AD468" s="14"/>
      <c r="AE468" s="14"/>
      <c r="AF468" s="14"/>
      <c r="AG468" t="s" s="15">
        <v>299</v>
      </c>
      <c r="AH468" t="s" s="15">
        <v>289</v>
      </c>
      <c r="AI468" t="s" s="15">
        <v>440</v>
      </c>
      <c r="AJ468" s="14"/>
      <c r="AK468" t="s" s="15">
        <v>524</v>
      </c>
      <c r="AL468" t="s" s="15">
        <v>293</v>
      </c>
      <c r="AM468" t="s" s="15">
        <v>294</v>
      </c>
      <c r="AN468" t="s" s="15">
        <v>1692</v>
      </c>
      <c r="AO468" s="17">
        <v>4</v>
      </c>
      <c r="AP468" s="17">
        <v>16384</v>
      </c>
      <c r="AQ468" s="17">
        <v>262384</v>
      </c>
      <c r="AR468" s="17">
        <v>139534</v>
      </c>
      <c r="AS468" t="s" s="15">
        <v>1710</v>
      </c>
      <c r="AT468" s="14"/>
      <c r="AU468" s="14"/>
      <c r="AV468" s="14"/>
      <c r="AW468" t="s" s="15">
        <v>1711</v>
      </c>
      <c r="AX468" s="14"/>
      <c r="AY468" s="14"/>
      <c r="AZ468" s="14"/>
      <c r="BA468" s="14"/>
      <c r="BB468" s="14"/>
      <c r="BC468" s="14"/>
      <c r="BD468" s="14"/>
      <c r="BE468" s="14"/>
      <c r="BF468" s="14"/>
      <c r="BG468" s="14"/>
      <c r="BH468" s="14"/>
      <c r="BI468" s="14"/>
      <c r="BJ468" s="14"/>
      <c r="BK468" s="14"/>
      <c r="BL468" s="14"/>
      <c r="BM468" s="14"/>
      <c r="BN468" t="s" s="15">
        <v>78</v>
      </c>
      <c r="BO468" s="16"/>
      <c r="BP468" s="8"/>
    </row>
    <row r="469" ht="15" customHeight="1" hidden="1">
      <c r="A469" t="s" s="9">
        <v>1712</v>
      </c>
      <c r="B469" s="11"/>
      <c r="C469" t="str" s="11" cm="1">
        <f t="array" ref="C469">_xlfn.IFERROR((VLOOKUP(A469,#REF!,2,FALSE)),"")</f>
      </c>
      <c r="D469" s="11"/>
      <c r="E469" t="s" s="10">
        <v>1706</v>
      </c>
      <c r="F469" s="11"/>
      <c r="G469" t="s" s="10">
        <v>1713</v>
      </c>
      <c r="H469" t="s" s="10">
        <v>1714</v>
      </c>
      <c r="I469" t="s" s="10">
        <v>111</v>
      </c>
      <c r="J469" t="s" s="10">
        <v>122</v>
      </c>
      <c r="K469" t="s" s="10">
        <v>1709</v>
      </c>
      <c r="L469" t="s" s="10">
        <v>518</v>
      </c>
      <c r="M469" t="s" s="10">
        <v>1713</v>
      </c>
      <c r="N469" t="s" s="10">
        <v>1713</v>
      </c>
      <c r="O469" s="11"/>
      <c r="P469" t="s" s="10">
        <v>122</v>
      </c>
      <c r="Q469" t="s" s="10">
        <v>78</v>
      </c>
      <c r="R469" t="s" s="10">
        <v>83</v>
      </c>
      <c r="S469" s="11"/>
      <c r="T469" t="s" s="10">
        <v>69</v>
      </c>
      <c r="U469" s="11"/>
      <c r="V469" t="s" s="10">
        <v>69</v>
      </c>
      <c r="W469" t="s" s="22">
        <v>1712</v>
      </c>
      <c r="X469" t="s" s="10">
        <v>69</v>
      </c>
      <c r="Y469" s="11"/>
      <c r="Z469" t="s" s="10">
        <v>552</v>
      </c>
      <c r="AA469" s="11"/>
      <c r="AB469" t="s" s="10">
        <v>1691</v>
      </c>
      <c r="AC469" s="11"/>
      <c r="AD469" s="11"/>
      <c r="AE469" s="11"/>
      <c r="AF469" s="11"/>
      <c r="AG469" t="s" s="10">
        <v>299</v>
      </c>
      <c r="AH469" t="s" s="10">
        <v>289</v>
      </c>
      <c r="AI469" t="s" s="10">
        <v>440</v>
      </c>
      <c r="AJ469" s="11"/>
      <c r="AK469" t="s" s="10">
        <v>524</v>
      </c>
      <c r="AL469" t="s" s="10">
        <v>293</v>
      </c>
      <c r="AM469" t="s" s="10">
        <v>294</v>
      </c>
      <c r="AN469" t="s" s="10">
        <v>1692</v>
      </c>
      <c r="AO469" s="18">
        <v>4</v>
      </c>
      <c r="AP469" s="18">
        <v>16384</v>
      </c>
      <c r="AQ469" s="18">
        <v>262369</v>
      </c>
      <c r="AR469" s="18">
        <v>139143</v>
      </c>
      <c r="AS469" t="s" s="10">
        <v>1715</v>
      </c>
      <c r="AT469" s="11"/>
      <c r="AU469" s="11"/>
      <c r="AV469" s="11"/>
      <c r="AW469" t="s" s="10">
        <v>1716</v>
      </c>
      <c r="AX469" s="11"/>
      <c r="AY469" s="11"/>
      <c r="AZ469" s="11"/>
      <c r="BA469" s="11"/>
      <c r="BB469" s="11"/>
      <c r="BC469" s="11"/>
      <c r="BD469" s="11"/>
      <c r="BE469" s="11"/>
      <c r="BF469" s="11"/>
      <c r="BG469" s="11"/>
      <c r="BH469" s="11"/>
      <c r="BI469" s="11"/>
      <c r="BJ469" s="11"/>
      <c r="BK469" s="11"/>
      <c r="BL469" s="11"/>
      <c r="BM469" s="11"/>
      <c r="BN469" t="s" s="10">
        <v>78</v>
      </c>
      <c r="BO469" s="12"/>
      <c r="BP469" s="8"/>
    </row>
    <row r="470" ht="9" customHeight="1" hidden="1">
      <c r="A470" t="s" s="13">
        <v>1717</v>
      </c>
      <c r="B470" s="14"/>
      <c r="C470" t="str" s="14" cm="1">
        <f t="array" ref="C470">_xlfn.IFERROR((VLOOKUP(A470,#REF!,2,FALSE)),"")</f>
      </c>
      <c r="D470" s="14"/>
      <c r="E470" s="14"/>
      <c r="F470" s="14"/>
      <c r="G470" t="s" s="15">
        <v>1718</v>
      </c>
      <c r="H470" t="s" s="15">
        <v>1719</v>
      </c>
      <c r="I470" t="s" s="15">
        <v>111</v>
      </c>
      <c r="J470" t="s" s="15">
        <v>122</v>
      </c>
      <c r="K470" t="s" s="15">
        <v>113</v>
      </c>
      <c r="L470" t="s" s="15">
        <v>518</v>
      </c>
      <c r="M470" t="s" s="15">
        <v>1718</v>
      </c>
      <c r="N470" t="s" s="15">
        <v>1718</v>
      </c>
      <c r="O470" s="14"/>
      <c r="P470" t="s" s="15">
        <v>122</v>
      </c>
      <c r="Q470" t="s" s="15">
        <v>78</v>
      </c>
      <c r="R470" t="s" s="15">
        <v>83</v>
      </c>
      <c r="S470" s="14"/>
      <c r="T470" t="s" s="15">
        <v>69</v>
      </c>
      <c r="U470" s="14"/>
      <c r="V470" t="s" s="15">
        <v>69</v>
      </c>
      <c r="W470" s="14"/>
      <c r="X470" t="s" s="15">
        <v>69</v>
      </c>
      <c r="Y470" s="14"/>
      <c r="Z470" t="s" s="15">
        <v>552</v>
      </c>
      <c r="AA470" s="14"/>
      <c r="AB470" t="s" s="15">
        <v>1691</v>
      </c>
      <c r="AC470" s="14"/>
      <c r="AD470" s="14"/>
      <c r="AE470" s="14"/>
      <c r="AF470" s="14"/>
      <c r="AG470" t="s" s="15">
        <v>299</v>
      </c>
      <c r="AH470" t="s" s="15">
        <v>289</v>
      </c>
      <c r="AI470" t="s" s="15">
        <v>440</v>
      </c>
      <c r="AJ470" s="14"/>
      <c r="AK470" t="s" s="15">
        <v>524</v>
      </c>
      <c r="AL470" t="s" s="15">
        <v>293</v>
      </c>
      <c r="AM470" t="s" s="15">
        <v>294</v>
      </c>
      <c r="AN470" t="s" s="15">
        <v>1720</v>
      </c>
      <c r="AO470" s="17">
        <v>4</v>
      </c>
      <c r="AP470" s="17">
        <v>16384</v>
      </c>
      <c r="AQ470" s="17">
        <v>262383</v>
      </c>
      <c r="AR470" s="17">
        <v>127065</v>
      </c>
      <c r="AS470" t="s" s="15">
        <v>1721</v>
      </c>
      <c r="AT470" s="14"/>
      <c r="AU470" s="14"/>
      <c r="AV470" s="14"/>
      <c r="AW470" t="s" s="15">
        <v>1722</v>
      </c>
      <c r="AX470" s="14"/>
      <c r="AY470" s="14"/>
      <c r="AZ470" s="14"/>
      <c r="BA470" s="14"/>
      <c r="BB470" s="14"/>
      <c r="BC470" s="14"/>
      <c r="BD470" s="14"/>
      <c r="BE470" s="14"/>
      <c r="BF470" s="14"/>
      <c r="BG470" s="14"/>
      <c r="BH470" s="14"/>
      <c r="BI470" s="14"/>
      <c r="BJ470" s="14"/>
      <c r="BK470" s="14"/>
      <c r="BL470" s="14"/>
      <c r="BM470" s="14"/>
      <c r="BN470" t="s" s="15">
        <v>78</v>
      </c>
      <c r="BO470" s="16"/>
      <c r="BP470" s="8"/>
    </row>
    <row r="471" ht="9" customHeight="1" hidden="1">
      <c r="A471" t="s" s="9">
        <v>1723</v>
      </c>
      <c r="B471" s="11"/>
      <c r="C471" t="str" s="11" cm="1">
        <f t="array" ref="C471">_xlfn.IFERROR((VLOOKUP(A471,#REF!,2,FALSE)),"")</f>
      </c>
      <c r="D471" s="11"/>
      <c r="E471" s="11"/>
      <c r="F471" s="11"/>
      <c r="G471" t="s" s="10">
        <v>1724</v>
      </c>
      <c r="H471" t="s" s="10">
        <v>714</v>
      </c>
      <c r="I471" t="s" s="10">
        <v>111</v>
      </c>
      <c r="J471" t="s" s="10">
        <v>122</v>
      </c>
      <c r="K471" t="s" s="10">
        <v>113</v>
      </c>
      <c r="L471" t="s" s="10">
        <v>76</v>
      </c>
      <c r="M471" t="s" s="10">
        <v>1725</v>
      </c>
      <c r="N471" t="s" s="10">
        <v>1725</v>
      </c>
      <c r="O471" s="11"/>
      <c r="P471" t="s" s="10">
        <v>122</v>
      </c>
      <c r="Q471" t="s" s="10">
        <v>69</v>
      </c>
      <c r="R471" t="s" s="10">
        <v>83</v>
      </c>
      <c r="S471" s="11"/>
      <c r="T471" s="11"/>
      <c r="U471" s="11"/>
      <c r="V471" t="s" s="10">
        <v>69</v>
      </c>
      <c r="W471" s="11"/>
      <c r="X471" t="s" s="10">
        <v>69</v>
      </c>
      <c r="Y471" s="11"/>
      <c r="Z471" t="s" s="10">
        <v>76</v>
      </c>
      <c r="AA471" s="11"/>
      <c r="AB471" t="s" s="10">
        <v>76</v>
      </c>
      <c r="AC471" s="11"/>
      <c r="AD471" s="11"/>
      <c r="AE471" s="11"/>
      <c r="AF471" s="11"/>
      <c r="AG471" t="s" s="10">
        <v>299</v>
      </c>
      <c r="AH471" t="s" s="10">
        <v>114</v>
      </c>
      <c r="AI471" t="s" s="10">
        <v>717</v>
      </c>
      <c r="AJ471" s="11"/>
      <c r="AK471" t="s" s="10">
        <v>83</v>
      </c>
      <c r="AL471" t="s" s="10">
        <v>293</v>
      </c>
      <c r="AM471" t="s" s="10">
        <v>294</v>
      </c>
      <c r="AN471" t="s" s="10">
        <v>1692</v>
      </c>
      <c r="AO471" s="18">
        <v>4</v>
      </c>
      <c r="AP471" s="18">
        <v>4096</v>
      </c>
      <c r="AQ471" s="18">
        <v>208980</v>
      </c>
      <c r="AR471" s="18">
        <v>128253</v>
      </c>
      <c r="AS471" t="s" s="10">
        <v>1726</v>
      </c>
      <c r="AT471" t="s" s="10">
        <v>301</v>
      </c>
      <c r="AU471" s="11"/>
      <c r="AV471" s="11"/>
      <c r="AW471" s="11"/>
      <c r="AX471" s="11"/>
      <c r="AY471" s="11"/>
      <c r="AZ471" s="11"/>
      <c r="BA471" s="11"/>
      <c r="BB471" s="11"/>
      <c r="BC471" s="11"/>
      <c r="BD471" t="s" s="10">
        <v>310</v>
      </c>
      <c r="BE471" t="s" s="10">
        <v>356</v>
      </c>
      <c r="BF471" s="18">
        <v>4</v>
      </c>
      <c r="BG471" s="18">
        <v>8</v>
      </c>
      <c r="BH471" s="11"/>
      <c r="BI471" s="11"/>
      <c r="BJ471" s="11"/>
      <c r="BK471" s="11"/>
      <c r="BL471" s="11"/>
      <c r="BM471" s="11"/>
      <c r="BN471" t="s" s="10">
        <v>78</v>
      </c>
      <c r="BO471" s="12"/>
      <c r="BP471" s="8"/>
    </row>
    <row r="472" ht="9" customHeight="1" hidden="1">
      <c r="A472" t="s" s="13">
        <v>1727</v>
      </c>
      <c r="B472" s="14"/>
      <c r="C472" t="str" s="14" cm="1">
        <f t="array" ref="C472">_xlfn.IFERROR((VLOOKUP(A472,#REF!,2,FALSE)),"")</f>
      </c>
      <c r="D472" s="14"/>
      <c r="E472" s="14"/>
      <c r="F472" s="14"/>
      <c r="G472" t="s" s="15">
        <v>1728</v>
      </c>
      <c r="H472" t="s" s="15">
        <v>714</v>
      </c>
      <c r="I472" t="s" s="15">
        <v>111</v>
      </c>
      <c r="J472" t="s" s="15">
        <v>122</v>
      </c>
      <c r="K472" t="s" s="15">
        <v>113</v>
      </c>
      <c r="L472" t="s" s="15">
        <v>76</v>
      </c>
      <c r="M472" t="s" s="15">
        <v>1729</v>
      </c>
      <c r="N472" t="s" s="15">
        <v>1729</v>
      </c>
      <c r="O472" s="14"/>
      <c r="P472" t="s" s="15">
        <v>122</v>
      </c>
      <c r="Q472" t="s" s="15">
        <v>69</v>
      </c>
      <c r="R472" t="s" s="15">
        <v>83</v>
      </c>
      <c r="S472" s="14"/>
      <c r="T472" s="14"/>
      <c r="U472" s="14"/>
      <c r="V472" t="s" s="15">
        <v>69</v>
      </c>
      <c r="W472" s="14"/>
      <c r="X472" t="s" s="15">
        <v>69</v>
      </c>
      <c r="Y472" s="14"/>
      <c r="Z472" t="s" s="15">
        <v>76</v>
      </c>
      <c r="AA472" s="14"/>
      <c r="AB472" t="s" s="15">
        <v>76</v>
      </c>
      <c r="AC472" s="14"/>
      <c r="AD472" s="14"/>
      <c r="AE472" s="14"/>
      <c r="AF472" s="14"/>
      <c r="AG472" t="s" s="15">
        <v>299</v>
      </c>
      <c r="AH472" t="s" s="15">
        <v>114</v>
      </c>
      <c r="AI472" t="s" s="15">
        <v>717</v>
      </c>
      <c r="AJ472" s="14"/>
      <c r="AK472" t="s" s="15">
        <v>83</v>
      </c>
      <c r="AL472" t="s" s="15">
        <v>293</v>
      </c>
      <c r="AM472" t="s" s="15">
        <v>294</v>
      </c>
      <c r="AN472" t="s" s="15">
        <v>1730</v>
      </c>
      <c r="AO472" s="17">
        <v>4</v>
      </c>
      <c r="AP472" s="17">
        <v>4096</v>
      </c>
      <c r="AQ472" s="17">
        <v>208980</v>
      </c>
      <c r="AR472" s="17">
        <v>127988</v>
      </c>
      <c r="AS472" t="s" s="15">
        <v>1731</v>
      </c>
      <c r="AT472" t="s" s="15">
        <v>301</v>
      </c>
      <c r="AU472" s="14"/>
      <c r="AV472" s="14"/>
      <c r="AW472" s="14"/>
      <c r="AX472" s="14"/>
      <c r="AY472" s="14"/>
      <c r="AZ472" s="14"/>
      <c r="BA472" s="14"/>
      <c r="BB472" s="14"/>
      <c r="BC472" s="14"/>
      <c r="BD472" t="s" s="15">
        <v>310</v>
      </c>
      <c r="BE472" t="s" s="15">
        <v>356</v>
      </c>
      <c r="BF472" s="17">
        <v>4</v>
      </c>
      <c r="BG472" s="17">
        <v>8</v>
      </c>
      <c r="BH472" s="14"/>
      <c r="BI472" s="14"/>
      <c r="BJ472" s="14"/>
      <c r="BK472" s="14"/>
      <c r="BL472" s="14"/>
      <c r="BM472" s="14"/>
      <c r="BN472" t="s" s="15">
        <v>78</v>
      </c>
      <c r="BO472" s="16"/>
      <c r="BP472" s="8"/>
    </row>
    <row r="473" ht="9" customHeight="1" hidden="1">
      <c r="A473" t="s" s="9">
        <v>1732</v>
      </c>
      <c r="B473" s="11"/>
      <c r="C473" t="str" s="11" cm="1">
        <f t="array" ref="C473">_xlfn.IFERROR((VLOOKUP(A473,#REF!,2,FALSE)),"")</f>
      </c>
      <c r="D473" s="11"/>
      <c r="E473" s="11"/>
      <c r="F473" s="11"/>
      <c r="G473" t="s" s="10">
        <v>1733</v>
      </c>
      <c r="H473" t="s" s="10">
        <v>714</v>
      </c>
      <c r="I473" t="s" s="10">
        <v>111</v>
      </c>
      <c r="J473" t="s" s="10">
        <v>122</v>
      </c>
      <c r="K473" t="s" s="10">
        <v>113</v>
      </c>
      <c r="L473" t="s" s="10">
        <v>76</v>
      </c>
      <c r="M473" t="s" s="10">
        <v>1734</v>
      </c>
      <c r="N473" t="s" s="10">
        <v>1734</v>
      </c>
      <c r="O473" s="11"/>
      <c r="P473" t="s" s="10">
        <v>122</v>
      </c>
      <c r="Q473" t="s" s="10">
        <v>69</v>
      </c>
      <c r="R473" t="s" s="10">
        <v>83</v>
      </c>
      <c r="S473" s="11"/>
      <c r="T473" s="11"/>
      <c r="U473" s="11"/>
      <c r="V473" t="s" s="10">
        <v>69</v>
      </c>
      <c r="W473" s="11"/>
      <c r="X473" t="s" s="10">
        <v>69</v>
      </c>
      <c r="Y473" s="11"/>
      <c r="Z473" t="s" s="10">
        <v>76</v>
      </c>
      <c r="AA473" s="11"/>
      <c r="AB473" t="s" s="10">
        <v>76</v>
      </c>
      <c r="AC473" t="s" s="10">
        <v>1732</v>
      </c>
      <c r="AD473" s="11"/>
      <c r="AE473" s="11"/>
      <c r="AF473" s="11"/>
      <c r="AG473" t="s" s="10">
        <v>299</v>
      </c>
      <c r="AH473" t="s" s="10">
        <v>114</v>
      </c>
      <c r="AI473" t="s" s="10">
        <v>717</v>
      </c>
      <c r="AJ473" s="11"/>
      <c r="AK473" t="s" s="10">
        <v>83</v>
      </c>
      <c r="AL473" t="s" s="10">
        <v>293</v>
      </c>
      <c r="AM473" t="s" s="10">
        <v>294</v>
      </c>
      <c r="AN473" t="s" s="10">
        <v>1730</v>
      </c>
      <c r="AO473" s="18">
        <v>4</v>
      </c>
      <c r="AP473" s="18">
        <v>4096</v>
      </c>
      <c r="AQ473" s="18">
        <v>208981</v>
      </c>
      <c r="AR473" s="18">
        <v>127847</v>
      </c>
      <c r="AS473" t="s" s="10">
        <v>1735</v>
      </c>
      <c r="AT473" t="s" s="10">
        <v>301</v>
      </c>
      <c r="AU473" s="11"/>
      <c r="AV473" s="11"/>
      <c r="AW473" s="11"/>
      <c r="AX473" s="11"/>
      <c r="AY473" s="11"/>
      <c r="AZ473" s="11"/>
      <c r="BA473" s="11"/>
      <c r="BB473" s="11"/>
      <c r="BC473" s="11"/>
      <c r="BD473" t="s" s="10">
        <v>310</v>
      </c>
      <c r="BE473" t="s" s="10">
        <v>356</v>
      </c>
      <c r="BF473" s="18">
        <v>4</v>
      </c>
      <c r="BG473" s="18">
        <v>8</v>
      </c>
      <c r="BH473" s="11"/>
      <c r="BI473" s="11"/>
      <c r="BJ473" s="11"/>
      <c r="BK473" s="11"/>
      <c r="BL473" s="11"/>
      <c r="BM473" s="11"/>
      <c r="BN473" t="s" s="10">
        <v>78</v>
      </c>
      <c r="BO473" s="12"/>
      <c r="BP473" s="8"/>
    </row>
    <row r="474" ht="15" customHeight="1" hidden="1">
      <c r="A474" t="s" s="13">
        <v>1736</v>
      </c>
      <c r="B474" s="14"/>
      <c r="C474" t="str" s="14" cm="1">
        <f t="array" ref="C474">_xlfn.IFERROR((VLOOKUP(A474,#REF!,2,FALSE)),"")</f>
      </c>
      <c r="D474" s="14"/>
      <c r="E474" s="14"/>
      <c r="F474" s="14"/>
      <c r="G474" t="s" s="15">
        <v>1737</v>
      </c>
      <c r="H474" t="s" s="15">
        <v>524</v>
      </c>
      <c r="I474" t="s" s="15">
        <v>111</v>
      </c>
      <c r="J474" t="s" s="15">
        <v>122</v>
      </c>
      <c r="K474" t="s" s="15">
        <v>113</v>
      </c>
      <c r="L474" t="s" s="15">
        <v>518</v>
      </c>
      <c r="M474" t="s" s="15">
        <v>1737</v>
      </c>
      <c r="N474" t="s" s="15">
        <v>1737</v>
      </c>
      <c r="O474" s="14"/>
      <c r="P474" t="s" s="15">
        <v>122</v>
      </c>
      <c r="Q474" t="s" s="15">
        <v>69</v>
      </c>
      <c r="R474" t="s" s="15">
        <v>323</v>
      </c>
      <c r="S474" s="14"/>
      <c r="T474" t="s" s="15">
        <v>69</v>
      </c>
      <c r="U474" s="14"/>
      <c r="V474" t="s" s="15">
        <v>69</v>
      </c>
      <c r="W474" s="14"/>
      <c r="X474" t="s" s="15">
        <v>69</v>
      </c>
      <c r="Y474" s="14"/>
      <c r="Z474" t="s" s="15">
        <v>552</v>
      </c>
      <c r="AA474" s="14"/>
      <c r="AB474" t="s" s="15">
        <v>1551</v>
      </c>
      <c r="AC474" t="s" s="15">
        <v>1736</v>
      </c>
      <c r="AD474" s="14"/>
      <c r="AE474" s="14"/>
      <c r="AF474" s="14"/>
      <c r="AG474" t="s" s="15">
        <v>299</v>
      </c>
      <c r="AH474" t="s" s="15">
        <v>289</v>
      </c>
      <c r="AI474" t="s" s="15">
        <v>76</v>
      </c>
      <c r="AJ474" t="s" s="15">
        <v>76</v>
      </c>
      <c r="AK474" t="s" s="15">
        <v>524</v>
      </c>
      <c r="AL474" t="s" s="15">
        <v>293</v>
      </c>
      <c r="AM474" t="s" s="15">
        <v>294</v>
      </c>
      <c r="AN474" t="s" s="15">
        <v>116</v>
      </c>
      <c r="AO474" s="17">
        <v>4</v>
      </c>
      <c r="AP474" s="17">
        <v>16384</v>
      </c>
      <c r="AQ474" s="17">
        <v>118982</v>
      </c>
      <c r="AR474" s="17">
        <v>118982</v>
      </c>
      <c r="AS474" t="s" s="15">
        <v>1738</v>
      </c>
      <c r="AT474" s="14"/>
      <c r="AU474" s="14"/>
      <c r="AV474" s="14"/>
      <c r="AW474" t="s" s="15">
        <v>1739</v>
      </c>
      <c r="AX474" s="14"/>
      <c r="AY474" s="14"/>
      <c r="AZ474" s="14"/>
      <c r="BA474" s="14"/>
      <c r="BB474" s="14"/>
      <c r="BC474" s="14"/>
      <c r="BD474" s="14"/>
      <c r="BE474" s="14"/>
      <c r="BF474" s="14"/>
      <c r="BG474" s="14"/>
      <c r="BH474" s="14"/>
      <c r="BI474" s="14"/>
      <c r="BJ474" s="14"/>
      <c r="BK474" s="14"/>
      <c r="BL474" s="14"/>
      <c r="BM474" s="14"/>
      <c r="BN474" t="s" s="15">
        <v>69</v>
      </c>
      <c r="BO474" s="16"/>
      <c r="BP474" s="8"/>
    </row>
    <row r="475" ht="15" customHeight="1" hidden="1">
      <c r="A475" t="s" s="9">
        <v>1740</v>
      </c>
      <c r="B475" s="11"/>
      <c r="C475" t="str" s="11" cm="1">
        <f t="array" ref="C475">_xlfn.IFERROR((VLOOKUP(A475,#REF!,2,FALSE)),"")</f>
      </c>
      <c r="D475" s="11"/>
      <c r="E475" s="11"/>
      <c r="F475" s="11"/>
      <c r="G475" t="s" s="10">
        <v>1741</v>
      </c>
      <c r="H475" t="s" s="10">
        <v>524</v>
      </c>
      <c r="I475" t="s" s="10">
        <v>111</v>
      </c>
      <c r="J475" t="s" s="10">
        <v>122</v>
      </c>
      <c r="K475" t="s" s="10">
        <v>113</v>
      </c>
      <c r="L475" t="s" s="10">
        <v>518</v>
      </c>
      <c r="M475" t="s" s="10">
        <v>1741</v>
      </c>
      <c r="N475" t="s" s="10">
        <v>1741</v>
      </c>
      <c r="O475" s="11"/>
      <c r="P475" t="s" s="10">
        <v>122</v>
      </c>
      <c r="Q475" t="s" s="10">
        <v>69</v>
      </c>
      <c r="R475" t="s" s="10">
        <v>323</v>
      </c>
      <c r="S475" s="11"/>
      <c r="T475" t="s" s="10">
        <v>69</v>
      </c>
      <c r="U475" s="11"/>
      <c r="V475" t="s" s="10">
        <v>69</v>
      </c>
      <c r="W475" s="11"/>
      <c r="X475" t="s" s="10">
        <v>69</v>
      </c>
      <c r="Y475" s="11"/>
      <c r="Z475" t="s" s="10">
        <v>552</v>
      </c>
      <c r="AA475" s="11"/>
      <c r="AB475" t="s" s="10">
        <v>1551</v>
      </c>
      <c r="AC475" t="s" s="10">
        <v>1740</v>
      </c>
      <c r="AD475" s="11"/>
      <c r="AE475" s="11"/>
      <c r="AF475" s="11"/>
      <c r="AG475" t="s" s="10">
        <v>299</v>
      </c>
      <c r="AH475" t="s" s="10">
        <v>289</v>
      </c>
      <c r="AI475" t="s" s="10">
        <v>76</v>
      </c>
      <c r="AJ475" t="s" s="10">
        <v>76</v>
      </c>
      <c r="AK475" t="s" s="10">
        <v>524</v>
      </c>
      <c r="AL475" t="s" s="10">
        <v>293</v>
      </c>
      <c r="AM475" t="s" s="10">
        <v>294</v>
      </c>
      <c r="AN475" t="s" s="10">
        <v>116</v>
      </c>
      <c r="AO475" s="18">
        <v>4</v>
      </c>
      <c r="AP475" s="18">
        <v>16384</v>
      </c>
      <c r="AQ475" s="18">
        <v>119456</v>
      </c>
      <c r="AR475" s="18">
        <v>119456</v>
      </c>
      <c r="AS475" t="s" s="10">
        <v>1742</v>
      </c>
      <c r="AT475" s="11"/>
      <c r="AU475" s="11"/>
      <c r="AV475" s="11"/>
      <c r="AW475" t="s" s="10">
        <v>1743</v>
      </c>
      <c r="AX475" s="11"/>
      <c r="AY475" s="11"/>
      <c r="AZ475" s="11"/>
      <c r="BA475" s="11"/>
      <c r="BB475" s="11"/>
      <c r="BC475" s="11"/>
      <c r="BD475" s="11"/>
      <c r="BE475" s="11"/>
      <c r="BF475" s="11"/>
      <c r="BG475" s="11"/>
      <c r="BH475" s="11"/>
      <c r="BI475" s="11"/>
      <c r="BJ475" s="11"/>
      <c r="BK475" s="11"/>
      <c r="BL475" s="11"/>
      <c r="BM475" s="11"/>
      <c r="BN475" t="s" s="10">
        <v>69</v>
      </c>
      <c r="BO475" s="12"/>
      <c r="BP475" s="8"/>
    </row>
    <row r="476" ht="15" customHeight="1" hidden="1">
      <c r="A476" t="s" s="13">
        <v>1744</v>
      </c>
      <c r="B476" s="14"/>
      <c r="C476" t="str" s="14" cm="1">
        <f t="array" ref="C476">_xlfn.IFERROR((VLOOKUP(A476,#REF!,2,FALSE)),"")</f>
      </c>
      <c r="D476" s="14"/>
      <c r="E476" s="14"/>
      <c r="F476" s="14"/>
      <c r="G476" t="s" s="15">
        <v>1745</v>
      </c>
      <c r="H476" t="s" s="15">
        <v>1486</v>
      </c>
      <c r="I476" t="s" s="15">
        <v>111</v>
      </c>
      <c r="J476" t="s" s="15">
        <v>112</v>
      </c>
      <c r="K476" t="s" s="15">
        <v>113</v>
      </c>
      <c r="L476" t="s" s="15">
        <v>76</v>
      </c>
      <c r="M476" t="s" s="15">
        <v>1745</v>
      </c>
      <c r="N476" t="s" s="15">
        <v>1745</v>
      </c>
      <c r="O476" s="14"/>
      <c r="P476" t="s" s="15">
        <v>112</v>
      </c>
      <c r="Q476" t="s" s="15">
        <v>78</v>
      </c>
      <c r="R476" t="s" s="15">
        <v>83</v>
      </c>
      <c r="S476" s="14"/>
      <c r="T476" t="s" s="15">
        <v>69</v>
      </c>
      <c r="U476" s="14"/>
      <c r="V476" t="s" s="15">
        <v>69</v>
      </c>
      <c r="W476" s="14"/>
      <c r="X476" t="s" s="15">
        <v>69</v>
      </c>
      <c r="Y476" s="14"/>
      <c r="Z476" t="s" s="15">
        <v>76</v>
      </c>
      <c r="AA476" s="14"/>
      <c r="AB476" t="s" s="15">
        <v>76</v>
      </c>
      <c r="AC476" s="14"/>
      <c r="AD476" s="14"/>
      <c r="AE476" t="s" s="15">
        <v>1744</v>
      </c>
      <c r="AF476" s="14"/>
      <c r="AG476" t="s" s="15">
        <v>299</v>
      </c>
      <c r="AH476" t="s" s="15">
        <v>114</v>
      </c>
      <c r="AI476" t="s" s="15">
        <v>717</v>
      </c>
      <c r="AJ476" s="14"/>
      <c r="AK476" t="s" s="15">
        <v>524</v>
      </c>
      <c r="AL476" t="s" s="15">
        <v>293</v>
      </c>
      <c r="AM476" t="s" s="15">
        <v>294</v>
      </c>
      <c r="AN476" t="s" s="15">
        <v>1556</v>
      </c>
      <c r="AO476" s="17">
        <v>4</v>
      </c>
      <c r="AP476" s="17">
        <v>8192</v>
      </c>
      <c r="AQ476" s="17">
        <v>49241</v>
      </c>
      <c r="AR476" s="17">
        <v>30893</v>
      </c>
      <c r="AS476" t="s" s="15">
        <v>1746</v>
      </c>
      <c r="AT476" s="14"/>
      <c r="AU476" s="14"/>
      <c r="AV476" s="14"/>
      <c r="AW476" s="14"/>
      <c r="AX476" s="14"/>
      <c r="AY476" s="14"/>
      <c r="AZ476" s="14"/>
      <c r="BA476" s="14"/>
      <c r="BB476" s="14"/>
      <c r="BC476" s="14"/>
      <c r="BD476" t="s" s="15">
        <v>310</v>
      </c>
      <c r="BE476" t="s" s="15">
        <v>356</v>
      </c>
      <c r="BF476" s="17">
        <v>4</v>
      </c>
      <c r="BG476" s="17">
        <v>8</v>
      </c>
      <c r="BH476" s="14"/>
      <c r="BI476" s="14"/>
      <c r="BJ476" s="14"/>
      <c r="BK476" s="14"/>
      <c r="BL476" s="14"/>
      <c r="BM476" s="14"/>
      <c r="BN476" t="s" s="15">
        <v>78</v>
      </c>
      <c r="BO476" s="16"/>
      <c r="BP476" s="8"/>
    </row>
    <row r="477" ht="15" customHeight="1">
      <c r="A477" t="s" s="9">
        <v>1747</v>
      </c>
      <c r="B477" s="11"/>
      <c r="C477" t="str" s="11" cm="1">
        <f t="array" ref="C477">_xlfn.IFERROR((VLOOKUP(A477,#REF!,2,FALSE)),"")</f>
      </c>
      <c r="D477" s="11"/>
      <c r="E477" s="11"/>
      <c r="F477" s="11"/>
      <c r="G477" t="s" s="10">
        <v>1748</v>
      </c>
      <c r="H477" t="s" s="10">
        <v>492</v>
      </c>
      <c r="I477" t="s" s="10">
        <v>111</v>
      </c>
      <c r="J477" t="s" s="10">
        <v>122</v>
      </c>
      <c r="K477" t="s" s="10">
        <v>113</v>
      </c>
      <c r="L477" t="s" s="10">
        <v>493</v>
      </c>
      <c r="M477" t="s" s="10">
        <v>1749</v>
      </c>
      <c r="N477" t="s" s="10">
        <v>1749</v>
      </c>
      <c r="O477" s="11"/>
      <c r="P477" t="s" s="10">
        <v>122</v>
      </c>
      <c r="Q477" t="s" s="10">
        <v>69</v>
      </c>
      <c r="R477" t="s" s="10">
        <v>83</v>
      </c>
      <c r="S477" s="11"/>
      <c r="T477" s="11"/>
      <c r="U477" s="11"/>
      <c r="V477" t="s" s="10">
        <v>69</v>
      </c>
      <c r="W477" s="11"/>
      <c r="X477" t="s" s="10">
        <v>69</v>
      </c>
      <c r="Y477" s="11"/>
      <c r="Z477" t="s" s="10">
        <v>495</v>
      </c>
      <c r="AA477" s="11"/>
      <c r="AB477" t="s" s="10">
        <v>495</v>
      </c>
      <c r="AC477" t="s" s="10">
        <v>1747</v>
      </c>
      <c r="AD477" s="11"/>
      <c r="AE477" s="11"/>
      <c r="AF477" t="s" s="10">
        <v>492</v>
      </c>
      <c r="AG477" t="s" s="10">
        <v>299</v>
      </c>
      <c r="AH477" t="s" s="10">
        <v>114</v>
      </c>
      <c r="AI477" t="s" s="10">
        <v>332</v>
      </c>
      <c r="AJ477" t="s" s="10">
        <v>333</v>
      </c>
      <c r="AK477" t="s" s="10">
        <v>83</v>
      </c>
      <c r="AL477" t="s" s="10">
        <v>293</v>
      </c>
      <c r="AM477" t="s" s="10">
        <v>294</v>
      </c>
      <c r="AN477" t="s" s="10">
        <v>128</v>
      </c>
      <c r="AO477" s="18">
        <v>12</v>
      </c>
      <c r="AP477" s="18">
        <v>65536</v>
      </c>
      <c r="AQ477" s="18">
        <v>741681</v>
      </c>
      <c r="AR477" s="18">
        <v>741681</v>
      </c>
      <c r="AS477" t="s" s="10">
        <v>1750</v>
      </c>
      <c r="AT477" t="s" s="10">
        <v>301</v>
      </c>
      <c r="AU477" s="11"/>
      <c r="AV477" s="11"/>
      <c r="AW477" s="11"/>
      <c r="AX477" s="11"/>
      <c r="AY477" s="11"/>
      <c r="AZ477" s="11"/>
      <c r="BA477" s="11"/>
      <c r="BB477" s="11"/>
      <c r="BC477" s="11"/>
      <c r="BD477" t="s" s="10">
        <v>366</v>
      </c>
      <c r="BE477" t="s" s="10">
        <v>1751</v>
      </c>
      <c r="BF477" s="18">
        <v>16</v>
      </c>
      <c r="BG477" s="18">
        <v>64</v>
      </c>
      <c r="BH477" s="11"/>
      <c r="BI477" s="11"/>
      <c r="BJ477" s="11"/>
      <c r="BK477" s="11"/>
      <c r="BL477" s="11"/>
      <c r="BM477" s="11"/>
      <c r="BN477" t="s" s="10">
        <v>69</v>
      </c>
      <c r="BO477" s="12"/>
      <c r="BP477" s="8"/>
    </row>
    <row r="478" ht="9" customHeight="1" hidden="1">
      <c r="A478" t="s" s="13">
        <v>1752</v>
      </c>
      <c r="B478" s="14"/>
      <c r="C478" t="str" s="14" cm="1">
        <f t="array" ref="C478">_xlfn.IFERROR((VLOOKUP(A478,#REF!,2,FALSE)),"")</f>
      </c>
      <c r="D478" s="14"/>
      <c r="E478" t="s" s="15">
        <v>1753</v>
      </c>
      <c r="F478" s="14"/>
      <c r="G478" t="s" s="15">
        <v>1754</v>
      </c>
      <c r="H478" t="s" s="15">
        <v>1754</v>
      </c>
      <c r="I478" t="s" s="15">
        <v>73</v>
      </c>
      <c r="J478" t="s" s="15">
        <v>74</v>
      </c>
      <c r="K478" t="s" s="15">
        <v>113</v>
      </c>
      <c r="L478" t="s" s="15">
        <v>76</v>
      </c>
      <c r="M478" t="s" s="15">
        <v>1754</v>
      </c>
      <c r="N478" t="s" s="15">
        <v>1754</v>
      </c>
      <c r="O478" t="s" s="15">
        <v>71</v>
      </c>
      <c r="P478" t="s" s="15">
        <v>74</v>
      </c>
      <c r="Q478" t="s" s="15">
        <v>78</v>
      </c>
      <c r="R478" t="s" s="15">
        <v>71</v>
      </c>
      <c r="S478" s="14"/>
      <c r="T478" s="14"/>
      <c r="U478" s="14"/>
      <c r="V478" t="s" s="15">
        <v>78</v>
      </c>
      <c r="W478" t="s" s="15">
        <v>1752</v>
      </c>
      <c r="X478" t="s" s="15">
        <v>69</v>
      </c>
      <c r="Y478" s="14"/>
      <c r="Z478" t="s" s="15">
        <v>76</v>
      </c>
      <c r="AA478" s="14"/>
      <c r="AB478" t="s" s="15">
        <v>76</v>
      </c>
      <c r="AC478" s="14"/>
      <c r="AD478" s="14"/>
      <c r="AE478" s="14"/>
      <c r="AF478" s="14"/>
      <c r="AG478" s="14"/>
      <c r="AH478" t="s" s="15">
        <v>114</v>
      </c>
      <c r="AI478" t="s" s="15">
        <v>76</v>
      </c>
      <c r="AJ478" t="s" s="15">
        <v>76</v>
      </c>
      <c r="AK478" t="s" s="15">
        <v>79</v>
      </c>
      <c r="AL478" s="14"/>
      <c r="AM478" s="14"/>
      <c r="AN478" s="14"/>
      <c r="AO478" s="14"/>
      <c r="AP478" s="14"/>
      <c r="AQ478" s="14"/>
      <c r="AR478" s="14"/>
      <c r="AS478" s="14"/>
      <c r="AT478" s="14"/>
      <c r="AU478" s="14"/>
      <c r="AV478" s="14"/>
      <c r="AW478" s="14"/>
      <c r="AX478" s="14"/>
      <c r="AY478" s="14"/>
      <c r="AZ478" s="14"/>
      <c r="BA478" s="14"/>
      <c r="BB478" s="14"/>
      <c r="BC478" s="14"/>
      <c r="BD478" t="s" s="15">
        <v>118</v>
      </c>
      <c r="BE478" s="14"/>
      <c r="BF478" s="14"/>
      <c r="BG478" s="14"/>
      <c r="BH478" s="14"/>
      <c r="BI478" s="14"/>
      <c r="BJ478" s="14"/>
      <c r="BK478" s="14"/>
      <c r="BL478" s="14"/>
      <c r="BM478" s="14"/>
      <c r="BN478" s="14"/>
      <c r="BO478" s="16"/>
      <c r="BP478" s="8"/>
    </row>
    <row r="479" ht="15" customHeight="1" hidden="1">
      <c r="A479" t="s" s="9">
        <v>1755</v>
      </c>
      <c r="B479" s="11"/>
      <c r="C479" t="str" s="11" cm="1">
        <f t="array" ref="C479">_xlfn.IFERROR((VLOOKUP(A479,#REF!,2,FALSE)),"")</f>
      </c>
      <c r="D479" s="11"/>
      <c r="E479" t="s" s="10">
        <v>1756</v>
      </c>
      <c r="F479" s="11"/>
      <c r="G479" t="s" s="10">
        <v>1757</v>
      </c>
      <c r="H479" t="s" s="10">
        <v>1758</v>
      </c>
      <c r="I479" t="s" s="10">
        <v>111</v>
      </c>
      <c r="J479" t="s" s="10">
        <v>112</v>
      </c>
      <c r="K479" t="s" s="10">
        <v>113</v>
      </c>
      <c r="L479" t="s" s="10">
        <v>1759</v>
      </c>
      <c r="M479" t="s" s="10">
        <v>1757</v>
      </c>
      <c r="N479" t="s" s="10">
        <v>1757</v>
      </c>
      <c r="O479" s="11"/>
      <c r="P479" t="s" s="10">
        <v>112</v>
      </c>
      <c r="Q479" t="s" s="10">
        <v>78</v>
      </c>
      <c r="R479" t="s" s="10">
        <v>323</v>
      </c>
      <c r="S479" s="11"/>
      <c r="T479" s="11"/>
      <c r="U479" s="11"/>
      <c r="V479" t="s" s="10">
        <v>69</v>
      </c>
      <c r="W479" s="11"/>
      <c r="X479" t="s" s="10">
        <v>69</v>
      </c>
      <c r="Y479" s="11"/>
      <c r="Z479" t="s" s="10">
        <v>1760</v>
      </c>
      <c r="AA479" s="11"/>
      <c r="AB479" t="s" s="10">
        <v>1761</v>
      </c>
      <c r="AC479" s="11"/>
      <c r="AD479" s="11"/>
      <c r="AE479" s="11"/>
      <c r="AF479" t="s" s="10">
        <v>83</v>
      </c>
      <c r="AG479" t="s" s="10">
        <v>299</v>
      </c>
      <c r="AH479" t="s" s="10">
        <v>114</v>
      </c>
      <c r="AI479" t="s" s="10">
        <v>332</v>
      </c>
      <c r="AJ479" t="s" s="10">
        <v>827</v>
      </c>
      <c r="AK479" t="s" s="10">
        <v>83</v>
      </c>
      <c r="AL479" t="s" s="10">
        <v>293</v>
      </c>
      <c r="AM479" t="s" s="10">
        <v>294</v>
      </c>
      <c r="AN479" t="s" s="10">
        <v>142</v>
      </c>
      <c r="AO479" s="18">
        <v>4</v>
      </c>
      <c r="AP479" s="18">
        <v>8192</v>
      </c>
      <c r="AQ479" s="18">
        <v>49238</v>
      </c>
      <c r="AR479" s="18">
        <v>22658</v>
      </c>
      <c r="AS479" t="s" s="10">
        <v>1762</v>
      </c>
      <c r="AT479" t="s" s="10">
        <v>301</v>
      </c>
      <c r="AU479" s="11"/>
      <c r="AV479" s="11"/>
      <c r="AW479" s="11"/>
      <c r="AX479" s="11"/>
      <c r="AY479" s="11"/>
      <c r="AZ479" s="11"/>
      <c r="BA479" s="11"/>
      <c r="BB479" s="11"/>
      <c r="BC479" s="11"/>
      <c r="BD479" t="s" s="10">
        <v>310</v>
      </c>
      <c r="BE479" t="s" s="10">
        <v>356</v>
      </c>
      <c r="BF479" s="18">
        <v>4</v>
      </c>
      <c r="BG479" s="18">
        <v>8</v>
      </c>
      <c r="BH479" s="11"/>
      <c r="BI479" s="11"/>
      <c r="BJ479" s="11"/>
      <c r="BK479" s="11"/>
      <c r="BL479" s="11"/>
      <c r="BM479" s="11"/>
      <c r="BN479" t="s" s="10">
        <v>78</v>
      </c>
      <c r="BO479" s="12"/>
      <c r="BP479" s="8"/>
    </row>
    <row r="480" ht="9" customHeight="1" hidden="1">
      <c r="A480" t="s" s="13">
        <v>1763</v>
      </c>
      <c r="B480" s="14"/>
      <c r="C480" t="str" s="14" cm="1">
        <f t="array" ref="C480">_xlfn.IFERROR((VLOOKUP(A480,#REF!,2,FALSE)),"")</f>
      </c>
      <c r="D480" s="14"/>
      <c r="E480" t="s" s="15">
        <v>1753</v>
      </c>
      <c r="F480" s="14"/>
      <c r="G480" t="s" s="15">
        <v>1764</v>
      </c>
      <c r="H480" t="s" s="15">
        <v>1764</v>
      </c>
      <c r="I480" t="s" s="15">
        <v>73</v>
      </c>
      <c r="J480" t="s" s="15">
        <v>469</v>
      </c>
      <c r="K480" t="s" s="15">
        <v>113</v>
      </c>
      <c r="L480" t="s" s="15">
        <v>76</v>
      </c>
      <c r="M480" t="s" s="15">
        <v>1764</v>
      </c>
      <c r="N480" t="s" s="15">
        <v>1764</v>
      </c>
      <c r="O480" t="s" s="15">
        <v>71</v>
      </c>
      <c r="P480" t="s" s="15">
        <v>469</v>
      </c>
      <c r="Q480" t="s" s="15">
        <v>78</v>
      </c>
      <c r="R480" t="s" s="15">
        <v>71</v>
      </c>
      <c r="S480" s="14"/>
      <c r="T480" s="14"/>
      <c r="U480" s="14"/>
      <c r="V480" t="s" s="15">
        <v>78</v>
      </c>
      <c r="W480" t="s" s="15">
        <v>1763</v>
      </c>
      <c r="X480" t="s" s="15">
        <v>69</v>
      </c>
      <c r="Y480" s="14"/>
      <c r="Z480" t="s" s="15">
        <v>76</v>
      </c>
      <c r="AA480" s="14"/>
      <c r="AB480" t="s" s="15">
        <v>76</v>
      </c>
      <c r="AC480" s="14"/>
      <c r="AD480" s="14"/>
      <c r="AE480" s="14"/>
      <c r="AF480" s="14"/>
      <c r="AG480" s="14"/>
      <c r="AH480" t="s" s="15">
        <v>114</v>
      </c>
      <c r="AI480" t="s" s="15">
        <v>76</v>
      </c>
      <c r="AJ480" t="s" s="15">
        <v>76</v>
      </c>
      <c r="AK480" t="s" s="15">
        <v>79</v>
      </c>
      <c r="AL480" s="14"/>
      <c r="AM480" s="14"/>
      <c r="AN480" s="14"/>
      <c r="AO480" s="14"/>
      <c r="AP480" s="14"/>
      <c r="AQ480" s="14"/>
      <c r="AR480" s="14"/>
      <c r="AS480" t="s" s="15">
        <v>1765</v>
      </c>
      <c r="AT480" s="14"/>
      <c r="AU480" s="14"/>
      <c r="AV480" s="14"/>
      <c r="AW480" s="14"/>
      <c r="AX480" s="14"/>
      <c r="AY480" s="14"/>
      <c r="AZ480" s="14"/>
      <c r="BA480" s="14"/>
      <c r="BB480" s="14"/>
      <c r="BC480" s="14"/>
      <c r="BD480" t="s" s="15">
        <v>118</v>
      </c>
      <c r="BE480" s="14"/>
      <c r="BF480" s="14"/>
      <c r="BG480" s="14"/>
      <c r="BH480" s="14"/>
      <c r="BI480" s="14"/>
      <c r="BJ480" s="14"/>
      <c r="BK480" s="14"/>
      <c r="BL480" s="14"/>
      <c r="BM480" s="14"/>
      <c r="BN480" s="14"/>
      <c r="BO480" s="16"/>
      <c r="BP480" s="8"/>
    </row>
    <row r="481" ht="15" customHeight="1" hidden="1">
      <c r="A481" t="s" s="9">
        <v>1766</v>
      </c>
      <c r="B481" s="11"/>
      <c r="C481" t="str" s="11" cm="1">
        <f t="array" ref="C481">_xlfn.IFERROR((VLOOKUP(A481,#REF!,2,FALSE)),"")</f>
      </c>
      <c r="D481" s="11"/>
      <c r="E481" s="11"/>
      <c r="F481" s="11"/>
      <c r="G481" t="s" s="10">
        <v>1767</v>
      </c>
      <c r="H481" t="s" s="10">
        <v>492</v>
      </c>
      <c r="I481" t="s" s="10">
        <v>111</v>
      </c>
      <c r="J481" t="s" s="10">
        <v>322</v>
      </c>
      <c r="K481" t="s" s="10">
        <v>113</v>
      </c>
      <c r="L481" t="s" s="10">
        <v>493</v>
      </c>
      <c r="M481" t="s" s="10">
        <v>1768</v>
      </c>
      <c r="N481" t="s" s="10">
        <v>1768</v>
      </c>
      <c r="O481" s="11"/>
      <c r="P481" t="s" s="10">
        <v>322</v>
      </c>
      <c r="Q481" t="s" s="10">
        <v>69</v>
      </c>
      <c r="R481" t="s" s="10">
        <v>83</v>
      </c>
      <c r="S481" s="11"/>
      <c r="T481" s="11"/>
      <c r="U481" s="11"/>
      <c r="V481" t="s" s="10">
        <v>69</v>
      </c>
      <c r="W481" s="11"/>
      <c r="X481" t="s" s="10">
        <v>69</v>
      </c>
      <c r="Y481" s="11"/>
      <c r="Z481" t="s" s="10">
        <v>495</v>
      </c>
      <c r="AA481" s="11"/>
      <c r="AB481" t="s" s="10">
        <v>495</v>
      </c>
      <c r="AC481" t="s" s="10">
        <v>1766</v>
      </c>
      <c r="AD481" t="s" s="10">
        <v>1769</v>
      </c>
      <c r="AE481" s="11"/>
      <c r="AF481" t="s" s="10">
        <v>492</v>
      </c>
      <c r="AG481" s="11"/>
      <c r="AH481" t="s" s="10">
        <v>114</v>
      </c>
      <c r="AI481" t="s" s="10">
        <v>332</v>
      </c>
      <c r="AJ481" t="s" s="10">
        <v>473</v>
      </c>
      <c r="AK481" t="s" s="10">
        <v>83</v>
      </c>
      <c r="AL481" t="s" s="10">
        <v>293</v>
      </c>
      <c r="AM481" t="s" s="10">
        <v>294</v>
      </c>
      <c r="AN481" t="s" s="10">
        <v>1770</v>
      </c>
      <c r="AO481" s="18">
        <v>2</v>
      </c>
      <c r="AP481" s="18">
        <v>3072</v>
      </c>
      <c r="AQ481" s="18">
        <v>515160</v>
      </c>
      <c r="AR481" s="18">
        <v>464267</v>
      </c>
      <c r="AS481" t="s" s="10">
        <v>1771</v>
      </c>
      <c r="AT481" s="11"/>
      <c r="AU481" s="11"/>
      <c r="AV481" s="11"/>
      <c r="AW481" s="11"/>
      <c r="AX481" s="11"/>
      <c r="AY481" s="11"/>
      <c r="AZ481" s="11"/>
      <c r="BA481" s="11"/>
      <c r="BB481" s="11"/>
      <c r="BC481" s="11"/>
      <c r="BD481" t="s" s="10">
        <v>310</v>
      </c>
      <c r="BE481" t="s" s="10">
        <v>419</v>
      </c>
      <c r="BF481" s="18">
        <v>2</v>
      </c>
      <c r="BG481" s="18">
        <v>4</v>
      </c>
      <c r="BH481" s="11"/>
      <c r="BI481" s="11"/>
      <c r="BJ481" s="11"/>
      <c r="BK481" s="11"/>
      <c r="BL481" s="11"/>
      <c r="BM481" s="11"/>
      <c r="BN481" t="s" s="10">
        <v>78</v>
      </c>
      <c r="BO481" s="12"/>
      <c r="BP481" s="8"/>
    </row>
    <row r="482" ht="15" customHeight="1" hidden="1">
      <c r="A482" t="s" s="13">
        <v>1772</v>
      </c>
      <c r="B482" s="14"/>
      <c r="C482" t="str" s="14" cm="1">
        <f t="array" ref="C482">_xlfn.IFERROR((VLOOKUP(A482,#REF!,2,FALSE)),"")</f>
      </c>
      <c r="D482" s="14"/>
      <c r="E482" s="14"/>
      <c r="F482" s="14"/>
      <c r="G482" t="s" s="15">
        <v>1773</v>
      </c>
      <c r="H482" t="s" s="15">
        <v>524</v>
      </c>
      <c r="I482" t="s" s="15">
        <v>111</v>
      </c>
      <c r="J482" t="s" s="15">
        <v>469</v>
      </c>
      <c r="K482" t="s" s="15">
        <v>113</v>
      </c>
      <c r="L482" t="s" s="15">
        <v>518</v>
      </c>
      <c r="M482" t="s" s="15">
        <v>1773</v>
      </c>
      <c r="N482" t="s" s="15">
        <v>1773</v>
      </c>
      <c r="O482" s="14"/>
      <c r="P482" t="s" s="15">
        <v>469</v>
      </c>
      <c r="Q482" t="s" s="15">
        <v>69</v>
      </c>
      <c r="R482" t="s" s="15">
        <v>83</v>
      </c>
      <c r="S482" s="14"/>
      <c r="T482" t="s" s="15">
        <v>69</v>
      </c>
      <c r="U482" s="14"/>
      <c r="V482" t="s" s="15">
        <v>69</v>
      </c>
      <c r="W482" s="14"/>
      <c r="X482" t="s" s="15">
        <v>69</v>
      </c>
      <c r="Y482" s="14"/>
      <c r="Z482" t="s" s="15">
        <v>552</v>
      </c>
      <c r="AA482" s="14"/>
      <c r="AB482" t="s" s="15">
        <v>1551</v>
      </c>
      <c r="AC482" t="s" s="15">
        <v>1772</v>
      </c>
      <c r="AD482" t="s" s="15">
        <v>1774</v>
      </c>
      <c r="AE482" s="14"/>
      <c r="AF482" s="14"/>
      <c r="AG482" t="s" s="15">
        <v>299</v>
      </c>
      <c r="AH482" t="s" s="15">
        <v>289</v>
      </c>
      <c r="AI482" t="s" s="15">
        <v>76</v>
      </c>
      <c r="AJ482" t="s" s="15">
        <v>76</v>
      </c>
      <c r="AK482" t="s" s="15">
        <v>524</v>
      </c>
      <c r="AL482" t="s" s="15">
        <v>293</v>
      </c>
      <c r="AM482" t="s" s="15">
        <v>294</v>
      </c>
      <c r="AN482" t="s" s="15">
        <v>128</v>
      </c>
      <c r="AO482" s="17">
        <v>4</v>
      </c>
      <c r="AP482" s="17">
        <v>8192</v>
      </c>
      <c r="AQ482" s="17">
        <v>90225</v>
      </c>
      <c r="AR482" s="17">
        <v>74818</v>
      </c>
      <c r="AS482" t="s" s="15">
        <v>1775</v>
      </c>
      <c r="AT482" s="14"/>
      <c r="AU482" s="14"/>
      <c r="AV482" s="14"/>
      <c r="AW482" t="s" s="15">
        <v>1776</v>
      </c>
      <c r="AX482" s="14"/>
      <c r="AY482" s="14"/>
      <c r="AZ482" s="14"/>
      <c r="BA482" s="14"/>
      <c r="BB482" s="14"/>
      <c r="BC482" s="14"/>
      <c r="BD482" s="14"/>
      <c r="BE482" s="14"/>
      <c r="BF482" s="14"/>
      <c r="BG482" s="14"/>
      <c r="BH482" s="14"/>
      <c r="BI482" s="14"/>
      <c r="BJ482" s="14"/>
      <c r="BK482" s="14"/>
      <c r="BL482" s="14"/>
      <c r="BM482" s="14"/>
      <c r="BN482" t="s" s="15">
        <v>78</v>
      </c>
      <c r="BO482" s="16"/>
      <c r="BP482" s="8"/>
    </row>
    <row r="483" ht="9" customHeight="1" hidden="1">
      <c r="A483" t="s" s="9">
        <v>1777</v>
      </c>
      <c r="B483" t="s" s="10">
        <v>69</v>
      </c>
      <c r="C483" t="str" s="11" cm="1">
        <f t="array" ref="C483">_xlfn.IFERROR((VLOOKUP(A483,#REF!,2,FALSE)),"")</f>
      </c>
      <c r="D483" s="11"/>
      <c r="E483" t="s" s="10">
        <v>71</v>
      </c>
      <c r="F483" s="11"/>
      <c r="G483" t="s" s="10">
        <v>1778</v>
      </c>
      <c r="H483" t="s" s="10">
        <v>1779</v>
      </c>
      <c r="I483" t="s" s="10">
        <v>73</v>
      </c>
      <c r="J483" t="s" s="10">
        <v>74</v>
      </c>
      <c r="K483" t="s" s="10">
        <v>113</v>
      </c>
      <c r="L483" t="s" s="10">
        <v>1760</v>
      </c>
      <c r="M483" t="s" s="10">
        <v>1778</v>
      </c>
      <c r="N483" t="s" s="10">
        <v>1778</v>
      </c>
      <c r="O483" t="s" s="10">
        <v>71</v>
      </c>
      <c r="P483" t="s" s="10">
        <v>74</v>
      </c>
      <c r="Q483" t="s" s="10">
        <v>69</v>
      </c>
      <c r="R483" t="s" s="10">
        <v>71</v>
      </c>
      <c r="S483" s="11"/>
      <c r="T483" s="11"/>
      <c r="U483" s="11"/>
      <c r="V483" t="s" s="10">
        <v>69</v>
      </c>
      <c r="W483" t="s" s="10">
        <v>1777</v>
      </c>
      <c r="X483" t="s" s="10">
        <v>69</v>
      </c>
      <c r="Y483" s="11"/>
      <c r="Z483" t="s" s="10">
        <v>552</v>
      </c>
      <c r="AA483" s="11"/>
      <c r="AB483" t="s" s="10">
        <v>1760</v>
      </c>
      <c r="AC483" s="11"/>
      <c r="AD483" s="11"/>
      <c r="AE483" s="11"/>
      <c r="AF483" s="11"/>
      <c r="AG483" s="11"/>
      <c r="AH483" t="s" s="10">
        <v>114</v>
      </c>
      <c r="AI483" t="s" s="10">
        <v>76</v>
      </c>
      <c r="AJ483" t="s" s="10">
        <v>76</v>
      </c>
      <c r="AK483" t="s" s="10">
        <v>79</v>
      </c>
      <c r="AL483" t="s" s="10">
        <v>293</v>
      </c>
      <c r="AM483" t="s" s="10">
        <v>196</v>
      </c>
      <c r="AN483" t="s" s="10">
        <v>128</v>
      </c>
      <c r="AO483" s="18">
        <v>1</v>
      </c>
      <c r="AP483" s="18">
        <v>2048</v>
      </c>
      <c r="AQ483" s="18">
        <v>462930</v>
      </c>
      <c r="AR483" s="18">
        <v>115607</v>
      </c>
      <c r="AS483" t="s" s="10">
        <v>1780</v>
      </c>
      <c r="AT483" s="11"/>
      <c r="AU483" s="11"/>
      <c r="AV483" s="11"/>
      <c r="AW483" s="11"/>
      <c r="AX483" s="11"/>
      <c r="AY483" s="11"/>
      <c r="AZ483" s="11"/>
      <c r="BA483" s="11"/>
      <c r="BB483" s="11"/>
      <c r="BC483" s="11"/>
      <c r="BD483" t="s" s="10">
        <v>310</v>
      </c>
      <c r="BE483" t="s" s="10">
        <v>419</v>
      </c>
      <c r="BF483" s="18">
        <v>2</v>
      </c>
      <c r="BG483" s="18">
        <v>4</v>
      </c>
      <c r="BH483" s="11"/>
      <c r="BI483" s="11"/>
      <c r="BJ483" s="11"/>
      <c r="BK483" s="11"/>
      <c r="BL483" s="11"/>
      <c r="BM483" s="11"/>
      <c r="BN483" s="11"/>
      <c r="BO483" s="12"/>
      <c r="BP483" s="8"/>
    </row>
    <row r="484" ht="9" customHeight="1" hidden="1">
      <c r="A484" t="s" s="13">
        <v>1781</v>
      </c>
      <c r="B484" s="14"/>
      <c r="C484" t="str" s="14" cm="1">
        <f t="array" ref="C484">_xlfn.IFERROR((VLOOKUP(A484,#REF!,2,FALSE)),"")</f>
      </c>
      <c r="D484" s="14"/>
      <c r="E484" s="14"/>
      <c r="F484" s="14"/>
      <c r="G484" t="s" s="15">
        <v>1782</v>
      </c>
      <c r="H484" t="s" s="15">
        <v>1783</v>
      </c>
      <c r="I484" t="s" s="15">
        <v>73</v>
      </c>
      <c r="J484" t="s" s="15">
        <v>74</v>
      </c>
      <c r="K484" t="s" s="15">
        <v>113</v>
      </c>
      <c r="L484" t="s" s="15">
        <v>1760</v>
      </c>
      <c r="M484" t="s" s="15">
        <v>1782</v>
      </c>
      <c r="N484" t="s" s="15">
        <v>1782</v>
      </c>
      <c r="O484" t="s" s="15">
        <v>71</v>
      </c>
      <c r="P484" t="s" s="15">
        <v>74</v>
      </c>
      <c r="Q484" t="s" s="15">
        <v>69</v>
      </c>
      <c r="R484" t="s" s="15">
        <v>71</v>
      </c>
      <c r="S484" s="14"/>
      <c r="T484" s="14"/>
      <c r="U484" s="14"/>
      <c r="V484" t="s" s="15">
        <v>69</v>
      </c>
      <c r="W484" t="s" s="15">
        <v>1781</v>
      </c>
      <c r="X484" t="s" s="15">
        <v>69</v>
      </c>
      <c r="Y484" s="14"/>
      <c r="Z484" t="s" s="15">
        <v>552</v>
      </c>
      <c r="AA484" s="14"/>
      <c r="AB484" t="s" s="15">
        <v>1760</v>
      </c>
      <c r="AC484" s="14"/>
      <c r="AD484" s="14"/>
      <c r="AE484" s="14"/>
      <c r="AF484" s="14"/>
      <c r="AG484" t="s" s="15">
        <v>299</v>
      </c>
      <c r="AH484" t="s" s="15">
        <v>114</v>
      </c>
      <c r="AI484" t="s" s="15">
        <v>76</v>
      </c>
      <c r="AJ484" t="s" s="15">
        <v>76</v>
      </c>
      <c r="AK484" t="s" s="15">
        <v>79</v>
      </c>
      <c r="AL484" t="s" s="15">
        <v>293</v>
      </c>
      <c r="AM484" t="s" s="15">
        <v>196</v>
      </c>
      <c r="AN484" t="s" s="15">
        <v>1784</v>
      </c>
      <c r="AO484" s="17">
        <v>8</v>
      </c>
      <c r="AP484" s="17">
        <v>65536</v>
      </c>
      <c r="AQ484" s="17">
        <v>680940</v>
      </c>
      <c r="AR484" s="17">
        <v>680940</v>
      </c>
      <c r="AS484" t="s" s="15">
        <v>1785</v>
      </c>
      <c r="AT484" t="s" s="15">
        <v>301</v>
      </c>
      <c r="AU484" s="14"/>
      <c r="AV484" s="14"/>
      <c r="AW484" s="14"/>
      <c r="AX484" s="14"/>
      <c r="AY484" s="14"/>
      <c r="AZ484" s="14"/>
      <c r="BA484" s="14"/>
      <c r="BB484" s="14"/>
      <c r="BC484" s="14"/>
      <c r="BD484" t="s" s="15">
        <v>428</v>
      </c>
      <c r="BE484" t="s" s="15">
        <v>429</v>
      </c>
      <c r="BF484" s="17">
        <v>8</v>
      </c>
      <c r="BG484" s="17">
        <v>64</v>
      </c>
      <c r="BH484" s="14"/>
      <c r="BI484" s="14"/>
      <c r="BJ484" s="14"/>
      <c r="BK484" s="14"/>
      <c r="BL484" s="14"/>
      <c r="BM484" s="14"/>
      <c r="BN484" s="14"/>
      <c r="BO484" s="16"/>
      <c r="BP484" s="8"/>
    </row>
    <row r="485" ht="9" customHeight="1" hidden="1">
      <c r="A485" t="s" s="9">
        <v>1786</v>
      </c>
      <c r="B485" s="11"/>
      <c r="C485" t="str" s="11" cm="1">
        <f t="array" ref="C485">_xlfn.IFERROR((VLOOKUP(A485,#REF!,2,FALSE)),"")</f>
      </c>
      <c r="D485" t="s" s="10">
        <v>70</v>
      </c>
      <c r="E485" t="s" s="10">
        <v>1636</v>
      </c>
      <c r="F485" s="11"/>
      <c r="G485" t="s" s="10">
        <v>1787</v>
      </c>
      <c r="H485" t="s" s="10">
        <v>1788</v>
      </c>
      <c r="I485" t="s" s="10">
        <v>111</v>
      </c>
      <c r="J485" t="s" s="10">
        <v>122</v>
      </c>
      <c r="K485" t="s" s="10">
        <v>113</v>
      </c>
      <c r="L485" t="s" s="10">
        <v>1638</v>
      </c>
      <c r="M485" t="s" s="10">
        <v>1787</v>
      </c>
      <c r="N485" t="s" s="10">
        <v>1787</v>
      </c>
      <c r="O485" s="11"/>
      <c r="P485" t="s" s="10">
        <v>122</v>
      </c>
      <c r="Q485" t="s" s="10">
        <v>78</v>
      </c>
      <c r="R485" t="s" s="10">
        <v>323</v>
      </c>
      <c r="S485" s="11"/>
      <c r="T485" s="11"/>
      <c r="U485" s="11"/>
      <c r="V485" t="s" s="10">
        <v>78</v>
      </c>
      <c r="W485" s="11"/>
      <c r="X485" t="s" s="10">
        <v>69</v>
      </c>
      <c r="Y485" s="11"/>
      <c r="Z485" t="s" s="10">
        <v>1639</v>
      </c>
      <c r="AA485" s="11"/>
      <c r="AB485" t="s" s="10">
        <v>76</v>
      </c>
      <c r="AC485" s="11"/>
      <c r="AD485" s="11"/>
      <c r="AE485" s="11"/>
      <c r="AF485" s="11"/>
      <c r="AG485" t="s" s="10">
        <v>299</v>
      </c>
      <c r="AH485" t="s" s="10">
        <v>106</v>
      </c>
      <c r="AI485" t="s" s="10">
        <v>76</v>
      </c>
      <c r="AJ485" t="s" s="10">
        <v>76</v>
      </c>
      <c r="AK485" t="s" s="10">
        <v>79</v>
      </c>
      <c r="AL485" t="s" s="10">
        <v>293</v>
      </c>
      <c r="AM485" t="s" s="10">
        <v>294</v>
      </c>
      <c r="AN485" s="11"/>
      <c r="AO485" s="18">
        <v>4</v>
      </c>
      <c r="AP485" s="18">
        <v>8192</v>
      </c>
      <c r="AQ485" s="18">
        <v>49265</v>
      </c>
      <c r="AR485" s="18">
        <v>49265</v>
      </c>
      <c r="AS485" t="s" s="10">
        <v>1789</v>
      </c>
      <c r="AT485" t="s" s="10">
        <v>301</v>
      </c>
      <c r="AU485" s="11"/>
      <c r="AV485" s="11"/>
      <c r="AW485" s="11"/>
      <c r="AX485" s="11"/>
      <c r="AY485" s="11"/>
      <c r="AZ485" s="11"/>
      <c r="BA485" s="11"/>
      <c r="BB485" s="11"/>
      <c r="BC485" s="11"/>
      <c r="BD485" s="11"/>
      <c r="BE485" s="11"/>
      <c r="BF485" s="11"/>
      <c r="BG485" s="11"/>
      <c r="BH485" s="11"/>
      <c r="BI485" s="11"/>
      <c r="BJ485" s="11"/>
      <c r="BK485" s="11"/>
      <c r="BL485" s="11"/>
      <c r="BM485" s="11"/>
      <c r="BN485" t="s" s="10">
        <v>78</v>
      </c>
      <c r="BO485" s="12"/>
      <c r="BP485" s="8"/>
    </row>
    <row r="486" ht="9" customHeight="1" hidden="1">
      <c r="A486" t="s" s="13">
        <v>1790</v>
      </c>
      <c r="B486" t="s" s="15">
        <v>69</v>
      </c>
      <c r="C486" t="str" s="14" cm="1">
        <f t="array" ref="C486">_xlfn.IFERROR((VLOOKUP(A486,#REF!,2,FALSE)),"")</f>
      </c>
      <c r="D486" s="14"/>
      <c r="E486" s="14"/>
      <c r="F486" s="14"/>
      <c r="G486" t="s" s="15">
        <v>1791</v>
      </c>
      <c r="H486" t="s" s="15">
        <v>1792</v>
      </c>
      <c r="I486" t="s" s="15">
        <v>82</v>
      </c>
      <c r="J486" t="s" s="15">
        <v>82</v>
      </c>
      <c r="K486" t="s" s="15">
        <v>82</v>
      </c>
      <c r="L486" t="s" s="15">
        <v>76</v>
      </c>
      <c r="M486" t="s" s="15">
        <v>77</v>
      </c>
      <c r="N486" t="s" s="15">
        <v>1793</v>
      </c>
      <c r="O486" s="14"/>
      <c r="P486" s="14"/>
      <c r="Q486" t="s" s="15">
        <v>78</v>
      </c>
      <c r="R486" t="s" s="15">
        <v>83</v>
      </c>
      <c r="S486" s="14"/>
      <c r="T486" s="14"/>
      <c r="U486" s="14"/>
      <c r="V486" t="s" s="15">
        <v>78</v>
      </c>
      <c r="W486" s="14"/>
      <c r="X486" t="s" s="15">
        <v>69</v>
      </c>
      <c r="Y486" s="14"/>
      <c r="Z486" t="s" s="15">
        <v>76</v>
      </c>
      <c r="AA486" s="14"/>
      <c r="AB486" t="s" s="15">
        <v>76</v>
      </c>
      <c r="AC486" s="14"/>
      <c r="AD486" s="14"/>
      <c r="AE486" s="14"/>
      <c r="AF486" s="14"/>
      <c r="AG486" s="14"/>
      <c r="AH486" s="14"/>
      <c r="AI486" t="s" s="15">
        <v>76</v>
      </c>
      <c r="AJ486" t="s" s="15">
        <v>76</v>
      </c>
      <c r="AK486" t="s" s="15">
        <v>79</v>
      </c>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c r="BK486" s="14"/>
      <c r="BL486" s="14"/>
      <c r="BM486" s="14"/>
      <c r="BN486" s="14"/>
      <c r="BO486" s="16"/>
      <c r="BP486" s="8"/>
    </row>
    <row r="487" ht="9" customHeight="1" hidden="1">
      <c r="A487" t="s" s="9">
        <v>1794</v>
      </c>
      <c r="B487" t="s" s="10">
        <v>69</v>
      </c>
      <c r="C487" t="str" s="11" cm="1">
        <f t="array" ref="C487">_xlfn.IFERROR((VLOOKUP(A487,#REF!,2,FALSE)),"")</f>
      </c>
      <c r="D487" s="11"/>
      <c r="E487" s="11"/>
      <c r="F487" s="11"/>
      <c r="G487" t="s" s="10">
        <v>1795</v>
      </c>
      <c r="H487" t="s" s="10">
        <v>1792</v>
      </c>
      <c r="I487" t="s" s="10">
        <v>82</v>
      </c>
      <c r="J487" t="s" s="10">
        <v>82</v>
      </c>
      <c r="K487" t="s" s="10">
        <v>82</v>
      </c>
      <c r="L487" t="s" s="10">
        <v>76</v>
      </c>
      <c r="M487" t="s" s="10">
        <v>77</v>
      </c>
      <c r="N487" t="s" s="10">
        <v>1796</v>
      </c>
      <c r="O487" s="11"/>
      <c r="P487" s="11"/>
      <c r="Q487" t="s" s="10">
        <v>78</v>
      </c>
      <c r="R487" t="s" s="10">
        <v>83</v>
      </c>
      <c r="S487" s="11"/>
      <c r="T487" s="11"/>
      <c r="U487" s="11"/>
      <c r="V487" t="s" s="10">
        <v>78</v>
      </c>
      <c r="W487" s="11"/>
      <c r="X487" t="s" s="10">
        <v>69</v>
      </c>
      <c r="Y487" s="11"/>
      <c r="Z487" t="s" s="10">
        <v>76</v>
      </c>
      <c r="AA487" s="11"/>
      <c r="AB487" t="s" s="10">
        <v>76</v>
      </c>
      <c r="AC487" s="11"/>
      <c r="AD487" s="11"/>
      <c r="AE487" s="11"/>
      <c r="AF487" s="11"/>
      <c r="AG487" s="11"/>
      <c r="AH487" s="11"/>
      <c r="AI487" t="s" s="10">
        <v>76</v>
      </c>
      <c r="AJ487" t="s" s="10">
        <v>76</v>
      </c>
      <c r="AK487" t="s" s="10">
        <v>79</v>
      </c>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c r="BL487" s="11"/>
      <c r="BM487" s="11"/>
      <c r="BN487" s="11"/>
      <c r="BO487" s="12"/>
      <c r="BP487" s="8"/>
    </row>
    <row r="488" ht="9" customHeight="1" hidden="1">
      <c r="A488" t="s" s="13">
        <v>1797</v>
      </c>
      <c r="B488" t="s" s="15">
        <v>69</v>
      </c>
      <c r="C488" t="str" s="14" cm="1">
        <f t="array" ref="C488">_xlfn.IFERROR((VLOOKUP(A488,#REF!,2,FALSE)),"")</f>
      </c>
      <c r="D488" s="14"/>
      <c r="E488" s="14"/>
      <c r="F488" s="14"/>
      <c r="G488" t="s" s="15">
        <v>1798</v>
      </c>
      <c r="H488" t="s" s="15">
        <v>1792</v>
      </c>
      <c r="I488" t="s" s="15">
        <v>82</v>
      </c>
      <c r="J488" t="s" s="15">
        <v>82</v>
      </c>
      <c r="K488" t="s" s="15">
        <v>82</v>
      </c>
      <c r="L488" t="s" s="15">
        <v>76</v>
      </c>
      <c r="M488" t="s" s="15">
        <v>77</v>
      </c>
      <c r="N488" t="s" s="15">
        <v>1799</v>
      </c>
      <c r="O488" s="14"/>
      <c r="P488" s="14"/>
      <c r="Q488" t="s" s="15">
        <v>78</v>
      </c>
      <c r="R488" t="s" s="15">
        <v>83</v>
      </c>
      <c r="S488" s="14"/>
      <c r="T488" s="14"/>
      <c r="U488" s="14"/>
      <c r="V488" t="s" s="15">
        <v>78</v>
      </c>
      <c r="W488" s="14"/>
      <c r="X488" t="s" s="15">
        <v>69</v>
      </c>
      <c r="Y488" s="14"/>
      <c r="Z488" t="s" s="15">
        <v>76</v>
      </c>
      <c r="AA488" s="14"/>
      <c r="AB488" t="s" s="15">
        <v>76</v>
      </c>
      <c r="AC488" s="14"/>
      <c r="AD488" s="14"/>
      <c r="AE488" s="14"/>
      <c r="AF488" s="14"/>
      <c r="AG488" s="14"/>
      <c r="AH488" s="14"/>
      <c r="AI488" t="s" s="15">
        <v>76</v>
      </c>
      <c r="AJ488" t="s" s="15">
        <v>76</v>
      </c>
      <c r="AK488" t="s" s="15">
        <v>79</v>
      </c>
      <c r="AL488" s="14"/>
      <c r="AM488" s="14"/>
      <c r="AN488" s="14"/>
      <c r="AO488" s="14"/>
      <c r="AP488" s="14"/>
      <c r="AQ488" s="14"/>
      <c r="AR488" s="14"/>
      <c r="AS488" s="14"/>
      <c r="AT488" s="14"/>
      <c r="AU488" s="14"/>
      <c r="AV488" s="14"/>
      <c r="AW488" s="14"/>
      <c r="AX488" s="14"/>
      <c r="AY488" s="14"/>
      <c r="AZ488" s="14"/>
      <c r="BA488" s="14"/>
      <c r="BB488" s="14"/>
      <c r="BC488" s="14"/>
      <c r="BD488" s="14"/>
      <c r="BE488" s="14"/>
      <c r="BF488" s="14"/>
      <c r="BG488" s="14"/>
      <c r="BH488" s="14"/>
      <c r="BI488" s="14"/>
      <c r="BJ488" s="14"/>
      <c r="BK488" s="14"/>
      <c r="BL488" s="14"/>
      <c r="BM488" s="14"/>
      <c r="BN488" s="14"/>
      <c r="BO488" s="16"/>
      <c r="BP488" s="8"/>
    </row>
    <row r="489" ht="9" customHeight="1" hidden="1">
      <c r="A489" t="s" s="9">
        <v>1800</v>
      </c>
      <c r="B489" t="s" s="10">
        <v>69</v>
      </c>
      <c r="C489" t="str" s="11" cm="1">
        <f t="array" ref="C489">_xlfn.IFERROR((VLOOKUP(A489,#REF!,2,FALSE)),"")</f>
      </c>
      <c r="D489" s="11"/>
      <c r="E489" s="11"/>
      <c r="F489" s="11"/>
      <c r="G489" t="s" s="10">
        <v>1801</v>
      </c>
      <c r="H489" t="s" s="10">
        <v>1792</v>
      </c>
      <c r="I489" t="s" s="10">
        <v>82</v>
      </c>
      <c r="J489" t="s" s="10">
        <v>82</v>
      </c>
      <c r="K489" t="s" s="10">
        <v>82</v>
      </c>
      <c r="L489" t="s" s="10">
        <v>76</v>
      </c>
      <c r="M489" t="s" s="10">
        <v>77</v>
      </c>
      <c r="N489" t="s" s="10">
        <v>1802</v>
      </c>
      <c r="O489" s="11"/>
      <c r="P489" s="11"/>
      <c r="Q489" t="s" s="10">
        <v>78</v>
      </c>
      <c r="R489" t="s" s="10">
        <v>83</v>
      </c>
      <c r="S489" s="11"/>
      <c r="T489" s="11"/>
      <c r="U489" s="11"/>
      <c r="V489" t="s" s="10">
        <v>78</v>
      </c>
      <c r="W489" s="11"/>
      <c r="X489" t="s" s="10">
        <v>69</v>
      </c>
      <c r="Y489" s="11"/>
      <c r="Z489" t="s" s="10">
        <v>76</v>
      </c>
      <c r="AA489" s="11"/>
      <c r="AB489" t="s" s="10">
        <v>76</v>
      </c>
      <c r="AC489" s="11"/>
      <c r="AD489" s="11"/>
      <c r="AE489" s="11"/>
      <c r="AF489" s="11"/>
      <c r="AG489" s="11"/>
      <c r="AH489" t="s" s="10">
        <v>114</v>
      </c>
      <c r="AI489" t="s" s="10">
        <v>76</v>
      </c>
      <c r="AJ489" t="s" s="10">
        <v>76</v>
      </c>
      <c r="AK489" t="s" s="10">
        <v>79</v>
      </c>
      <c r="AL489" s="11"/>
      <c r="AM489" s="11"/>
      <c r="AN489" s="11"/>
      <c r="AO489" s="11"/>
      <c r="AP489" s="11"/>
      <c r="AQ489" s="11"/>
      <c r="AR489" s="11"/>
      <c r="AS489" s="11"/>
      <c r="AT489" s="11"/>
      <c r="AU489" s="11"/>
      <c r="AV489" s="11"/>
      <c r="AW489" s="11"/>
      <c r="AX489" s="11"/>
      <c r="AY489" s="11"/>
      <c r="AZ489" s="11"/>
      <c r="BA489" s="11"/>
      <c r="BB489" s="11"/>
      <c r="BC489" s="11"/>
      <c r="BD489" t="s" s="10">
        <v>118</v>
      </c>
      <c r="BE489" s="11"/>
      <c r="BF489" s="11"/>
      <c r="BG489" s="11"/>
      <c r="BH489" s="11"/>
      <c r="BI489" s="11"/>
      <c r="BJ489" s="11"/>
      <c r="BK489" s="11"/>
      <c r="BL489" s="11"/>
      <c r="BM489" s="11"/>
      <c r="BN489" s="11"/>
      <c r="BO489" s="12"/>
      <c r="BP489" s="8"/>
    </row>
    <row r="490" ht="9" customHeight="1" hidden="1">
      <c r="A490" t="s" s="13">
        <v>1803</v>
      </c>
      <c r="B490" s="14"/>
      <c r="C490" t="str" s="14" cm="1">
        <f t="array" ref="C490">_xlfn.IFERROR((VLOOKUP(A490,#REF!,2,FALSE)),"")</f>
      </c>
      <c r="D490" s="14"/>
      <c r="E490" t="s" s="15">
        <v>195</v>
      </c>
      <c r="F490" s="14"/>
      <c r="G490" t="s" s="15">
        <v>1804</v>
      </c>
      <c r="H490" t="s" s="15">
        <v>550</v>
      </c>
      <c r="I490" t="s" s="15">
        <v>73</v>
      </c>
      <c r="J490" t="s" s="15">
        <v>74</v>
      </c>
      <c r="K490" t="s" s="15">
        <v>113</v>
      </c>
      <c r="L490" t="s" s="15">
        <v>518</v>
      </c>
      <c r="M490" t="s" s="15">
        <v>1804</v>
      </c>
      <c r="N490" t="s" s="15">
        <v>1804</v>
      </c>
      <c r="O490" t="s" s="15">
        <v>71</v>
      </c>
      <c r="P490" t="s" s="15">
        <v>122</v>
      </c>
      <c r="Q490" t="s" s="15">
        <v>69</v>
      </c>
      <c r="R490" t="s" s="15">
        <v>71</v>
      </c>
      <c r="S490" s="14"/>
      <c r="T490" t="s" s="15">
        <v>69</v>
      </c>
      <c r="U490" s="14"/>
      <c r="V490" t="s" s="15">
        <v>69</v>
      </c>
      <c r="W490" s="14"/>
      <c r="X490" t="s" s="15">
        <v>69</v>
      </c>
      <c r="Y490" s="14"/>
      <c r="Z490" t="s" s="15">
        <v>552</v>
      </c>
      <c r="AA490" s="14"/>
      <c r="AB490" t="s" s="15">
        <v>553</v>
      </c>
      <c r="AC490" t="s" s="15">
        <v>1803</v>
      </c>
      <c r="AD490" t="s" s="15">
        <v>1805</v>
      </c>
      <c r="AE490" s="14"/>
      <c r="AF490" s="14"/>
      <c r="AG490" t="s" s="15">
        <v>299</v>
      </c>
      <c r="AH490" t="s" s="15">
        <v>114</v>
      </c>
      <c r="AI490" t="s" s="15">
        <v>76</v>
      </c>
      <c r="AJ490" t="s" s="15">
        <v>76</v>
      </c>
      <c r="AK490" t="s" s="15">
        <v>79</v>
      </c>
      <c r="AL490" t="s" s="15">
        <v>293</v>
      </c>
      <c r="AM490" t="s" s="15">
        <v>196</v>
      </c>
      <c r="AN490" t="s" s="15">
        <v>128</v>
      </c>
      <c r="AO490" s="17">
        <v>8</v>
      </c>
      <c r="AP490" s="17">
        <v>32768</v>
      </c>
      <c r="AQ490" s="17">
        <v>340286</v>
      </c>
      <c r="AR490" s="17">
        <v>340286</v>
      </c>
      <c r="AS490" t="s" s="15">
        <v>1806</v>
      </c>
      <c r="AT490" s="14"/>
      <c r="AU490" s="14"/>
      <c r="AV490" s="14"/>
      <c r="AW490" s="14"/>
      <c r="AX490" s="14"/>
      <c r="AY490" s="14"/>
      <c r="AZ490" s="14"/>
      <c r="BA490" s="14"/>
      <c r="BB490" s="14"/>
      <c r="BC490" s="14"/>
      <c r="BD490" t="s" s="15">
        <v>366</v>
      </c>
      <c r="BE490" t="s" s="15">
        <v>367</v>
      </c>
      <c r="BF490" s="17">
        <v>8</v>
      </c>
      <c r="BG490" s="17">
        <v>32</v>
      </c>
      <c r="BH490" s="14"/>
      <c r="BI490" s="14"/>
      <c r="BJ490" s="14"/>
      <c r="BK490" s="14"/>
      <c r="BL490" s="14"/>
      <c r="BM490" s="14"/>
      <c r="BN490" s="14"/>
      <c r="BO490" s="16"/>
      <c r="BP490" s="8"/>
    </row>
    <row r="491" ht="9" customHeight="1" hidden="1">
      <c r="A491" t="s" s="9">
        <v>1807</v>
      </c>
      <c r="B491" s="11"/>
      <c r="C491" t="str" s="11" cm="1">
        <f t="array" ref="C491">_xlfn.IFERROR((VLOOKUP(A491,#REF!,2,FALSE)),"")</f>
      </c>
      <c r="D491" s="11"/>
      <c r="E491" t="s" s="10">
        <v>195</v>
      </c>
      <c r="F491" s="11"/>
      <c r="G491" t="s" s="10">
        <v>1808</v>
      </c>
      <c r="H491" t="s" s="10">
        <v>550</v>
      </c>
      <c r="I491" t="s" s="10">
        <v>73</v>
      </c>
      <c r="J491" t="s" s="10">
        <v>74</v>
      </c>
      <c r="K491" t="s" s="10">
        <v>113</v>
      </c>
      <c r="L491" t="s" s="10">
        <v>518</v>
      </c>
      <c r="M491" t="s" s="10">
        <v>1809</v>
      </c>
      <c r="N491" t="s" s="10">
        <v>1808</v>
      </c>
      <c r="O491" t="s" s="10">
        <v>71</v>
      </c>
      <c r="P491" t="s" s="10">
        <v>122</v>
      </c>
      <c r="Q491" t="s" s="10">
        <v>69</v>
      </c>
      <c r="R491" t="s" s="10">
        <v>71</v>
      </c>
      <c r="S491" s="11"/>
      <c r="T491" t="s" s="10">
        <v>69</v>
      </c>
      <c r="U491" s="11"/>
      <c r="V491" t="s" s="10">
        <v>69</v>
      </c>
      <c r="W491" s="11"/>
      <c r="X491" t="s" s="10">
        <v>69</v>
      </c>
      <c r="Y491" s="11"/>
      <c r="Z491" t="s" s="10">
        <v>552</v>
      </c>
      <c r="AA491" s="11"/>
      <c r="AB491" t="s" s="10">
        <v>553</v>
      </c>
      <c r="AC491" t="s" s="10">
        <v>1807</v>
      </c>
      <c r="AD491" t="s" s="10">
        <v>1810</v>
      </c>
      <c r="AE491" s="11"/>
      <c r="AF491" s="11"/>
      <c r="AG491" t="s" s="10">
        <v>299</v>
      </c>
      <c r="AH491" t="s" s="10">
        <v>114</v>
      </c>
      <c r="AI491" t="s" s="10">
        <v>76</v>
      </c>
      <c r="AJ491" t="s" s="10">
        <v>76</v>
      </c>
      <c r="AK491" t="s" s="10">
        <v>79</v>
      </c>
      <c r="AL491" t="s" s="10">
        <v>293</v>
      </c>
      <c r="AM491" t="s" s="10">
        <v>196</v>
      </c>
      <c r="AN491" t="s" s="10">
        <v>128</v>
      </c>
      <c r="AO491" s="18">
        <v>8</v>
      </c>
      <c r="AP491" s="18">
        <v>32768</v>
      </c>
      <c r="AQ491" s="18">
        <v>340283</v>
      </c>
      <c r="AR491" s="18">
        <v>340283</v>
      </c>
      <c r="AS491" t="s" s="10">
        <v>1811</v>
      </c>
      <c r="AT491" s="11"/>
      <c r="AU491" s="11"/>
      <c r="AV491" s="11"/>
      <c r="AW491" s="11"/>
      <c r="AX491" s="11"/>
      <c r="AY491" s="11"/>
      <c r="AZ491" s="11"/>
      <c r="BA491" s="11"/>
      <c r="BB491" s="11"/>
      <c r="BC491" s="11"/>
      <c r="BD491" t="s" s="10">
        <v>366</v>
      </c>
      <c r="BE491" t="s" s="10">
        <v>367</v>
      </c>
      <c r="BF491" s="18">
        <v>8</v>
      </c>
      <c r="BG491" s="18">
        <v>32</v>
      </c>
      <c r="BH491" s="11"/>
      <c r="BI491" s="11"/>
      <c r="BJ491" s="11"/>
      <c r="BK491" s="11"/>
      <c r="BL491" s="11"/>
      <c r="BM491" s="11"/>
      <c r="BN491" s="11"/>
      <c r="BO491" s="12"/>
      <c r="BP491" s="8"/>
    </row>
    <row r="492" ht="9" customHeight="1" hidden="1">
      <c r="A492" t="s" s="13">
        <v>1812</v>
      </c>
      <c r="B492" s="14"/>
      <c r="C492" t="str" s="14" cm="1">
        <f t="array" ref="C492">_xlfn.IFERROR((VLOOKUP(A492,#REF!,2,FALSE)),"")</f>
      </c>
      <c r="D492" s="14"/>
      <c r="E492" t="s" s="15">
        <v>195</v>
      </c>
      <c r="F492" s="14"/>
      <c r="G492" t="s" s="15">
        <v>1813</v>
      </c>
      <c r="H492" t="s" s="15">
        <v>550</v>
      </c>
      <c r="I492" t="s" s="15">
        <v>73</v>
      </c>
      <c r="J492" t="s" s="15">
        <v>74</v>
      </c>
      <c r="K492" t="s" s="15">
        <v>113</v>
      </c>
      <c r="L492" t="s" s="15">
        <v>518</v>
      </c>
      <c r="M492" t="s" s="15">
        <v>1813</v>
      </c>
      <c r="N492" t="s" s="15">
        <v>1813</v>
      </c>
      <c r="O492" t="s" s="15">
        <v>71</v>
      </c>
      <c r="P492" t="s" s="15">
        <v>122</v>
      </c>
      <c r="Q492" t="s" s="15">
        <v>69</v>
      </c>
      <c r="R492" t="s" s="15">
        <v>71</v>
      </c>
      <c r="S492" s="14"/>
      <c r="T492" t="s" s="15">
        <v>69</v>
      </c>
      <c r="U492" s="14"/>
      <c r="V492" t="s" s="15">
        <v>69</v>
      </c>
      <c r="W492" s="14"/>
      <c r="X492" t="s" s="15">
        <v>69</v>
      </c>
      <c r="Y492" s="14"/>
      <c r="Z492" t="s" s="15">
        <v>552</v>
      </c>
      <c r="AA492" s="14"/>
      <c r="AB492" t="s" s="15">
        <v>553</v>
      </c>
      <c r="AC492" t="s" s="15">
        <v>1812</v>
      </c>
      <c r="AD492" t="s" s="15">
        <v>1814</v>
      </c>
      <c r="AE492" s="14"/>
      <c r="AF492" s="14"/>
      <c r="AG492" t="s" s="15">
        <v>299</v>
      </c>
      <c r="AH492" t="s" s="15">
        <v>114</v>
      </c>
      <c r="AI492" t="s" s="15">
        <v>76</v>
      </c>
      <c r="AJ492" t="s" s="15">
        <v>76</v>
      </c>
      <c r="AK492" t="s" s="15">
        <v>79</v>
      </c>
      <c r="AL492" t="s" s="15">
        <v>293</v>
      </c>
      <c r="AM492" t="s" s="15">
        <v>196</v>
      </c>
      <c r="AN492" t="s" s="15">
        <v>128</v>
      </c>
      <c r="AO492" s="17">
        <v>8</v>
      </c>
      <c r="AP492" s="17">
        <v>8192</v>
      </c>
      <c r="AQ492" s="17">
        <v>223350</v>
      </c>
      <c r="AR492" s="17">
        <v>223350</v>
      </c>
      <c r="AS492" t="s" s="15">
        <v>1815</v>
      </c>
      <c r="AT492" s="14"/>
      <c r="AU492" s="14"/>
      <c r="AV492" s="14"/>
      <c r="AW492" s="14"/>
      <c r="AX492" s="14"/>
      <c r="AY492" s="14"/>
      <c r="AZ492" s="14"/>
      <c r="BA492" s="14"/>
      <c r="BB492" s="14"/>
      <c r="BC492" s="14"/>
      <c r="BD492" t="s" s="15">
        <v>310</v>
      </c>
      <c r="BE492" t="s" s="15">
        <v>311</v>
      </c>
      <c r="BF492" s="17">
        <v>8</v>
      </c>
      <c r="BG492" s="17">
        <v>16</v>
      </c>
      <c r="BH492" s="14"/>
      <c r="BI492" s="14"/>
      <c r="BJ492" s="14"/>
      <c r="BK492" s="14"/>
      <c r="BL492" s="14"/>
      <c r="BM492" s="14"/>
      <c r="BN492" s="14"/>
      <c r="BO492" s="16"/>
      <c r="BP492" s="8"/>
    </row>
    <row r="493" ht="9" customHeight="1" hidden="1">
      <c r="A493" t="s" s="9">
        <v>1816</v>
      </c>
      <c r="B493" s="11"/>
      <c r="C493" t="str" s="11" cm="1">
        <f t="array" ref="C493">_xlfn.IFERROR((VLOOKUP(A493,#REF!,2,FALSE)),"")</f>
      </c>
      <c r="D493" s="11"/>
      <c r="E493" t="s" s="10">
        <v>195</v>
      </c>
      <c r="F493" s="11"/>
      <c r="G493" t="s" s="10">
        <v>1817</v>
      </c>
      <c r="H493" t="s" s="10">
        <v>550</v>
      </c>
      <c r="I493" t="s" s="10">
        <v>73</v>
      </c>
      <c r="J493" t="s" s="10">
        <v>74</v>
      </c>
      <c r="K493" t="s" s="10">
        <v>113</v>
      </c>
      <c r="L493" t="s" s="10">
        <v>518</v>
      </c>
      <c r="M493" t="s" s="10">
        <v>1817</v>
      </c>
      <c r="N493" t="s" s="10">
        <v>1817</v>
      </c>
      <c r="O493" t="s" s="10">
        <v>71</v>
      </c>
      <c r="P493" t="s" s="10">
        <v>122</v>
      </c>
      <c r="Q493" t="s" s="10">
        <v>69</v>
      </c>
      <c r="R493" t="s" s="10">
        <v>71</v>
      </c>
      <c r="S493" s="11"/>
      <c r="T493" t="s" s="10">
        <v>69</v>
      </c>
      <c r="U493" s="11"/>
      <c r="V493" t="s" s="10">
        <v>69</v>
      </c>
      <c r="W493" s="11"/>
      <c r="X493" t="s" s="10">
        <v>69</v>
      </c>
      <c r="Y493" s="11"/>
      <c r="Z493" t="s" s="10">
        <v>552</v>
      </c>
      <c r="AA493" s="11"/>
      <c r="AB493" t="s" s="10">
        <v>553</v>
      </c>
      <c r="AC493" t="s" s="10">
        <v>1816</v>
      </c>
      <c r="AD493" t="s" s="10">
        <v>1818</v>
      </c>
      <c r="AE493" s="11"/>
      <c r="AF493" s="11"/>
      <c r="AG493" t="s" s="10">
        <v>299</v>
      </c>
      <c r="AH493" t="s" s="10">
        <v>114</v>
      </c>
      <c r="AI493" t="s" s="10">
        <v>76</v>
      </c>
      <c r="AJ493" t="s" s="10">
        <v>76</v>
      </c>
      <c r="AK493" t="s" s="10">
        <v>79</v>
      </c>
      <c r="AL493" t="s" s="10">
        <v>293</v>
      </c>
      <c r="AM493" t="s" s="10">
        <v>196</v>
      </c>
      <c r="AN493" t="s" s="10">
        <v>128</v>
      </c>
      <c r="AO493" s="18">
        <v>8</v>
      </c>
      <c r="AP493" s="18">
        <v>8192</v>
      </c>
      <c r="AQ493" s="18">
        <v>213111</v>
      </c>
      <c r="AR493" s="18">
        <v>213111</v>
      </c>
      <c r="AS493" t="s" s="10">
        <v>1819</v>
      </c>
      <c r="AT493" s="11"/>
      <c r="AU493" s="11"/>
      <c r="AV493" s="11"/>
      <c r="AW493" s="11"/>
      <c r="AX493" s="11"/>
      <c r="AY493" s="11"/>
      <c r="AZ493" s="11"/>
      <c r="BA493" s="11"/>
      <c r="BB493" s="11"/>
      <c r="BC493" s="11"/>
      <c r="BD493" t="s" s="10">
        <v>310</v>
      </c>
      <c r="BE493" t="s" s="10">
        <v>311</v>
      </c>
      <c r="BF493" s="18">
        <v>8</v>
      </c>
      <c r="BG493" s="18">
        <v>16</v>
      </c>
      <c r="BH493" s="11"/>
      <c r="BI493" s="11"/>
      <c r="BJ493" s="11"/>
      <c r="BK493" s="11"/>
      <c r="BL493" s="11"/>
      <c r="BM493" s="11"/>
      <c r="BN493" s="11"/>
      <c r="BO493" s="12"/>
      <c r="BP493" s="8"/>
    </row>
    <row r="494" ht="9" customHeight="1" hidden="1">
      <c r="A494" t="s" s="13">
        <v>1820</v>
      </c>
      <c r="B494" s="14"/>
      <c r="C494" t="str" s="14" cm="1">
        <f t="array" ref="C494">_xlfn.IFERROR((VLOOKUP(A494,#REF!,2,FALSE)),"")</f>
      </c>
      <c r="D494" s="14"/>
      <c r="E494" t="s" s="15">
        <v>195</v>
      </c>
      <c r="F494" s="14"/>
      <c r="G494" t="s" s="15">
        <v>1821</v>
      </c>
      <c r="H494" t="s" s="15">
        <v>550</v>
      </c>
      <c r="I494" t="s" s="15">
        <v>73</v>
      </c>
      <c r="J494" t="s" s="15">
        <v>74</v>
      </c>
      <c r="K494" t="s" s="15">
        <v>113</v>
      </c>
      <c r="L494" t="s" s="15">
        <v>518</v>
      </c>
      <c r="M494" t="s" s="15">
        <v>1822</v>
      </c>
      <c r="N494" t="s" s="15">
        <v>1821</v>
      </c>
      <c r="O494" t="s" s="15">
        <v>71</v>
      </c>
      <c r="P494" t="s" s="15">
        <v>122</v>
      </c>
      <c r="Q494" t="s" s="15">
        <v>69</v>
      </c>
      <c r="R494" t="s" s="15">
        <v>71</v>
      </c>
      <c r="S494" t="s" s="15">
        <v>69</v>
      </c>
      <c r="T494" s="14"/>
      <c r="U494" s="14"/>
      <c r="V494" t="s" s="15">
        <v>69</v>
      </c>
      <c r="W494" s="14"/>
      <c r="X494" t="s" s="15">
        <v>69</v>
      </c>
      <c r="Y494" s="14"/>
      <c r="Z494" t="s" s="15">
        <v>552</v>
      </c>
      <c r="AA494" s="14"/>
      <c r="AB494" t="s" s="15">
        <v>553</v>
      </c>
      <c r="AC494" t="s" s="15">
        <v>1820</v>
      </c>
      <c r="AD494" s="14"/>
      <c r="AE494" s="14"/>
      <c r="AF494" s="14"/>
      <c r="AG494" t="s" s="15">
        <v>299</v>
      </c>
      <c r="AH494" t="s" s="15">
        <v>114</v>
      </c>
      <c r="AI494" t="s" s="15">
        <v>76</v>
      </c>
      <c r="AJ494" t="s" s="15">
        <v>76</v>
      </c>
      <c r="AK494" t="s" s="15">
        <v>79</v>
      </c>
      <c r="AL494" t="s" s="15">
        <v>293</v>
      </c>
      <c r="AM494" t="s" s="15">
        <v>196</v>
      </c>
      <c r="AN494" t="s" s="15">
        <v>128</v>
      </c>
      <c r="AO494" s="17">
        <v>4</v>
      </c>
      <c r="AP494" s="17">
        <v>32768</v>
      </c>
      <c r="AQ494" s="17">
        <v>289124</v>
      </c>
      <c r="AR494" s="17">
        <v>289124</v>
      </c>
      <c r="AS494" t="s" s="15">
        <v>1823</v>
      </c>
      <c r="AT494" s="14"/>
      <c r="AU494" s="14"/>
      <c r="AV494" s="14"/>
      <c r="AW494" s="14"/>
      <c r="AX494" s="14"/>
      <c r="AY494" s="14"/>
      <c r="AZ494" s="14"/>
      <c r="BA494" s="14"/>
      <c r="BB494" s="14"/>
      <c r="BC494" s="14"/>
      <c r="BD494" t="s" s="15">
        <v>428</v>
      </c>
      <c r="BE494" t="s" s="15">
        <v>1482</v>
      </c>
      <c r="BF494" s="17">
        <v>4</v>
      </c>
      <c r="BG494" s="17">
        <v>32</v>
      </c>
      <c r="BH494" s="14"/>
      <c r="BI494" s="14"/>
      <c r="BJ494" s="14"/>
      <c r="BK494" s="14"/>
      <c r="BL494" s="14"/>
      <c r="BM494" s="14"/>
      <c r="BN494" s="14"/>
      <c r="BO494" s="16"/>
      <c r="BP494" s="8"/>
    </row>
    <row r="495" ht="9" customHeight="1" hidden="1">
      <c r="A495" t="s" s="9">
        <v>1824</v>
      </c>
      <c r="B495" s="11"/>
      <c r="C495" t="str" s="11" cm="1">
        <f t="array" ref="C495">_xlfn.IFERROR((VLOOKUP(A495,#REF!,2,FALSE)),"")</f>
      </c>
      <c r="D495" s="11"/>
      <c r="E495" t="s" s="10">
        <v>195</v>
      </c>
      <c r="F495" s="11"/>
      <c r="G495" t="s" s="10">
        <v>1821</v>
      </c>
      <c r="H495" t="s" s="10">
        <v>550</v>
      </c>
      <c r="I495" t="s" s="10">
        <v>73</v>
      </c>
      <c r="J495" t="s" s="10">
        <v>74</v>
      </c>
      <c r="K495" t="s" s="10">
        <v>113</v>
      </c>
      <c r="L495" t="s" s="10">
        <v>518</v>
      </c>
      <c r="M495" t="s" s="10">
        <v>1825</v>
      </c>
      <c r="N495" t="s" s="10">
        <v>1821</v>
      </c>
      <c r="O495" t="s" s="10">
        <v>71</v>
      </c>
      <c r="P495" t="s" s="10">
        <v>122</v>
      </c>
      <c r="Q495" t="s" s="10">
        <v>69</v>
      </c>
      <c r="R495" t="s" s="10">
        <v>71</v>
      </c>
      <c r="S495" t="s" s="10">
        <v>69</v>
      </c>
      <c r="T495" s="11"/>
      <c r="U495" s="11"/>
      <c r="V495" t="s" s="10">
        <v>69</v>
      </c>
      <c r="W495" s="11"/>
      <c r="X495" t="s" s="10">
        <v>69</v>
      </c>
      <c r="Y495" s="11"/>
      <c r="Z495" t="s" s="10">
        <v>552</v>
      </c>
      <c r="AA495" s="11"/>
      <c r="AB495" t="s" s="10">
        <v>553</v>
      </c>
      <c r="AC495" t="s" s="10">
        <v>1824</v>
      </c>
      <c r="AD495" s="11"/>
      <c r="AE495" s="11"/>
      <c r="AF495" s="11"/>
      <c r="AG495" t="s" s="10">
        <v>299</v>
      </c>
      <c r="AH495" t="s" s="10">
        <v>114</v>
      </c>
      <c r="AI495" t="s" s="10">
        <v>76</v>
      </c>
      <c r="AJ495" t="s" s="10">
        <v>76</v>
      </c>
      <c r="AK495" t="s" s="10">
        <v>79</v>
      </c>
      <c r="AL495" t="s" s="10">
        <v>293</v>
      </c>
      <c r="AM495" t="s" s="10">
        <v>196</v>
      </c>
      <c r="AN495" t="s" s="10">
        <v>128</v>
      </c>
      <c r="AO495" s="18">
        <v>4</v>
      </c>
      <c r="AP495" s="18">
        <v>32768</v>
      </c>
      <c r="AQ495" s="18">
        <v>289168</v>
      </c>
      <c r="AR495" s="18">
        <v>289168</v>
      </c>
      <c r="AS495" t="s" s="10">
        <v>1826</v>
      </c>
      <c r="AT495" s="11"/>
      <c r="AU495" s="11"/>
      <c r="AV495" s="11"/>
      <c r="AW495" s="11"/>
      <c r="AX495" s="11"/>
      <c r="AY495" s="11"/>
      <c r="AZ495" s="11"/>
      <c r="BA495" s="11"/>
      <c r="BB495" s="11"/>
      <c r="BC495" s="11"/>
      <c r="BD495" t="s" s="10">
        <v>428</v>
      </c>
      <c r="BE495" t="s" s="10">
        <v>1482</v>
      </c>
      <c r="BF495" s="18">
        <v>4</v>
      </c>
      <c r="BG495" s="18">
        <v>32</v>
      </c>
      <c r="BH495" s="11"/>
      <c r="BI495" s="11"/>
      <c r="BJ495" s="11"/>
      <c r="BK495" s="11"/>
      <c r="BL495" s="11"/>
      <c r="BM495" s="11"/>
      <c r="BN495" s="11"/>
      <c r="BO495" s="12"/>
      <c r="BP495" s="8"/>
    </row>
    <row r="496" ht="9" customHeight="1" hidden="1">
      <c r="A496" t="s" s="13">
        <v>1827</v>
      </c>
      <c r="B496" s="14"/>
      <c r="C496" t="str" s="14" cm="1">
        <f t="array" ref="C496">_xlfn.IFERROR((VLOOKUP(A496,#REF!,2,FALSE)),"")</f>
      </c>
      <c r="D496" s="14"/>
      <c r="E496" t="s" s="15">
        <v>1828</v>
      </c>
      <c r="F496" s="14"/>
      <c r="G496" t="s" s="15">
        <v>1829</v>
      </c>
      <c r="H496" t="s" s="15">
        <v>1830</v>
      </c>
      <c r="I496" t="s" s="15">
        <v>111</v>
      </c>
      <c r="J496" t="s" s="15">
        <v>322</v>
      </c>
      <c r="K496" t="s" s="15">
        <v>113</v>
      </c>
      <c r="L496" t="s" s="15">
        <v>76</v>
      </c>
      <c r="M496" t="s" s="15">
        <v>1829</v>
      </c>
      <c r="N496" t="s" s="15">
        <v>1829</v>
      </c>
      <c r="O496" s="14"/>
      <c r="P496" t="s" s="15">
        <v>322</v>
      </c>
      <c r="Q496" t="s" s="15">
        <v>78</v>
      </c>
      <c r="R496" t="s" s="15">
        <v>83</v>
      </c>
      <c r="S496" s="14"/>
      <c r="T496" s="14"/>
      <c r="U496" s="14"/>
      <c r="V496" t="s" s="15">
        <v>69</v>
      </c>
      <c r="W496" s="14"/>
      <c r="X496" t="s" s="15">
        <v>69</v>
      </c>
      <c r="Y496" s="14"/>
      <c r="Z496" t="s" s="15">
        <v>76</v>
      </c>
      <c r="AA496" s="14"/>
      <c r="AB496" t="s" s="15">
        <v>76</v>
      </c>
      <c r="AC496" s="14"/>
      <c r="AD496" s="14"/>
      <c r="AE496" s="14"/>
      <c r="AF496" s="14"/>
      <c r="AG496" s="14"/>
      <c r="AH496" t="s" s="15">
        <v>114</v>
      </c>
      <c r="AI496" t="s" s="15">
        <v>76</v>
      </c>
      <c r="AJ496" t="s" s="15">
        <v>76</v>
      </c>
      <c r="AK496" t="s" s="15">
        <v>79</v>
      </c>
      <c r="AL496" t="s" s="15">
        <v>293</v>
      </c>
      <c r="AM496" t="s" s="15">
        <v>294</v>
      </c>
      <c r="AN496" t="s" s="15">
        <v>1831</v>
      </c>
      <c r="AO496" s="17">
        <v>4</v>
      </c>
      <c r="AP496" s="17">
        <v>8192</v>
      </c>
      <c r="AQ496" s="17">
        <v>622710</v>
      </c>
      <c r="AR496" s="17">
        <v>622710</v>
      </c>
      <c r="AS496" t="s" s="15">
        <v>1832</v>
      </c>
      <c r="AT496" s="14"/>
      <c r="AU496" s="14"/>
      <c r="AV496" s="14"/>
      <c r="AW496" s="14"/>
      <c r="AX496" s="14"/>
      <c r="AY496" s="14"/>
      <c r="AZ496" s="14"/>
      <c r="BA496" s="14"/>
      <c r="BB496" s="14"/>
      <c r="BC496" s="14"/>
      <c r="BD496" t="s" s="15">
        <v>310</v>
      </c>
      <c r="BE496" t="s" s="15">
        <v>356</v>
      </c>
      <c r="BF496" s="17">
        <v>4</v>
      </c>
      <c r="BG496" s="17">
        <v>8</v>
      </c>
      <c r="BH496" s="14"/>
      <c r="BI496" s="14"/>
      <c r="BJ496" s="14"/>
      <c r="BK496" s="14"/>
      <c r="BL496" s="14"/>
      <c r="BM496" s="14"/>
      <c r="BN496" t="s" s="15">
        <v>78</v>
      </c>
      <c r="BO496" s="16"/>
      <c r="BP496" s="8"/>
    </row>
    <row r="497" ht="9" customHeight="1" hidden="1">
      <c r="A497" t="s" s="9">
        <v>1833</v>
      </c>
      <c r="B497" s="11"/>
      <c r="C497" t="str" s="11" cm="1">
        <f t="array" ref="C497">_xlfn.IFERROR((VLOOKUP(A497,#REF!,2,FALSE)),"")</f>
      </c>
      <c r="D497" s="11"/>
      <c r="E497" s="11"/>
      <c r="F497" s="11"/>
      <c r="G497" t="s" s="10">
        <v>1834</v>
      </c>
      <c r="H497" t="s" s="10">
        <v>1835</v>
      </c>
      <c r="I497" t="s" s="10">
        <v>111</v>
      </c>
      <c r="J497" t="s" s="10">
        <v>122</v>
      </c>
      <c r="K497" t="s" s="10">
        <v>113</v>
      </c>
      <c r="L497" t="s" s="10">
        <v>76</v>
      </c>
      <c r="M497" t="s" s="10">
        <v>1834</v>
      </c>
      <c r="N497" t="s" s="10">
        <v>1834</v>
      </c>
      <c r="O497" s="11"/>
      <c r="P497" t="s" s="10">
        <v>122</v>
      </c>
      <c r="Q497" t="s" s="10">
        <v>78</v>
      </c>
      <c r="R497" t="s" s="10">
        <v>83</v>
      </c>
      <c r="S497" s="11"/>
      <c r="T497" s="11"/>
      <c r="U497" s="11"/>
      <c r="V497" t="s" s="10">
        <v>69</v>
      </c>
      <c r="W497" s="11"/>
      <c r="X497" t="s" s="10">
        <v>69</v>
      </c>
      <c r="Y497" s="11"/>
      <c r="Z497" t="s" s="10">
        <v>76</v>
      </c>
      <c r="AA497" s="11"/>
      <c r="AB497" t="s" s="10">
        <v>76</v>
      </c>
      <c r="AC497" s="11"/>
      <c r="AD497" s="11"/>
      <c r="AE497" s="11"/>
      <c r="AF497" s="11"/>
      <c r="AG497" t="s" s="10">
        <v>299</v>
      </c>
      <c r="AH497" t="s" s="10">
        <v>114</v>
      </c>
      <c r="AI497" t="s" s="10">
        <v>76</v>
      </c>
      <c r="AJ497" t="s" s="10">
        <v>76</v>
      </c>
      <c r="AK497" t="s" s="10">
        <v>79</v>
      </c>
      <c r="AL497" t="s" s="10">
        <v>293</v>
      </c>
      <c r="AM497" t="s" s="10">
        <v>294</v>
      </c>
      <c r="AN497" t="s" s="10">
        <v>1836</v>
      </c>
      <c r="AO497" s="18">
        <v>4</v>
      </c>
      <c r="AP497" s="18">
        <v>16384</v>
      </c>
      <c r="AQ497" s="18">
        <v>1116267</v>
      </c>
      <c r="AR497" s="18">
        <v>1116267</v>
      </c>
      <c r="AS497" t="s" s="10">
        <v>1837</v>
      </c>
      <c r="AT497" t="s" s="10">
        <v>301</v>
      </c>
      <c r="AU497" s="11"/>
      <c r="AV497" s="11"/>
      <c r="AW497" s="11"/>
      <c r="AX497" s="11"/>
      <c r="AY497" s="11"/>
      <c r="AZ497" s="11"/>
      <c r="BA497" s="11"/>
      <c r="BB497" s="11"/>
      <c r="BC497" s="11"/>
      <c r="BD497" t="s" s="10">
        <v>366</v>
      </c>
      <c r="BE497" t="s" s="10">
        <v>394</v>
      </c>
      <c r="BF497" s="18">
        <v>4</v>
      </c>
      <c r="BG497" s="18">
        <v>16</v>
      </c>
      <c r="BH497" s="11"/>
      <c r="BI497" s="11"/>
      <c r="BJ497" s="11"/>
      <c r="BK497" s="11"/>
      <c r="BL497" s="11"/>
      <c r="BM497" s="11"/>
      <c r="BN497" t="s" s="10">
        <v>69</v>
      </c>
      <c r="BO497" s="12"/>
      <c r="BP497" s="8"/>
    </row>
    <row r="498" ht="9" customHeight="1" hidden="1">
      <c r="A498" t="s" s="13">
        <v>1838</v>
      </c>
      <c r="B498" s="14"/>
      <c r="C498" t="str" s="14" cm="1">
        <f t="array" ref="C498">_xlfn.IFERROR((VLOOKUP(A498,#REF!,2,FALSE)),"")</f>
      </c>
      <c r="D498" t="s" s="15">
        <v>70</v>
      </c>
      <c r="E498" t="s" s="15">
        <v>1636</v>
      </c>
      <c r="F498" s="14"/>
      <c r="G498" t="s" s="15">
        <v>1839</v>
      </c>
      <c r="H498" t="s" s="15">
        <v>1840</v>
      </c>
      <c r="I498" t="s" s="15">
        <v>111</v>
      </c>
      <c r="J498" t="s" s="15">
        <v>122</v>
      </c>
      <c r="K498" t="s" s="15">
        <v>351</v>
      </c>
      <c r="L498" t="s" s="15">
        <v>1638</v>
      </c>
      <c r="M498" t="s" s="15">
        <v>1839</v>
      </c>
      <c r="N498" t="s" s="15">
        <v>1839</v>
      </c>
      <c r="O498" s="14"/>
      <c r="P498" t="s" s="15">
        <v>122</v>
      </c>
      <c r="Q498" t="s" s="15">
        <v>78</v>
      </c>
      <c r="R498" t="s" s="15">
        <v>323</v>
      </c>
      <c r="S498" t="s" s="15">
        <v>69</v>
      </c>
      <c r="T498" s="14"/>
      <c r="U498" s="14"/>
      <c r="V498" t="s" s="15">
        <v>78</v>
      </c>
      <c r="W498" s="14"/>
      <c r="X498" t="s" s="15">
        <v>69</v>
      </c>
      <c r="Y498" s="14"/>
      <c r="Z498" t="s" s="15">
        <v>1639</v>
      </c>
      <c r="AA498" s="14"/>
      <c r="AB498" t="s" s="15">
        <v>76</v>
      </c>
      <c r="AC498" s="14"/>
      <c r="AD498" s="14"/>
      <c r="AE498" s="14"/>
      <c r="AF498" s="14"/>
      <c r="AG498" t="s" s="15">
        <v>299</v>
      </c>
      <c r="AH498" t="s" s="15">
        <v>106</v>
      </c>
      <c r="AI498" t="s" s="15">
        <v>76</v>
      </c>
      <c r="AJ498" t="s" s="15">
        <v>76</v>
      </c>
      <c r="AK498" t="s" s="15">
        <v>79</v>
      </c>
      <c r="AL498" t="s" s="15">
        <v>293</v>
      </c>
      <c r="AM498" t="s" s="15">
        <v>294</v>
      </c>
      <c r="AN498" s="14"/>
      <c r="AO498" s="17">
        <v>4</v>
      </c>
      <c r="AP498" s="17">
        <v>8192</v>
      </c>
      <c r="AQ498" s="17">
        <v>49287</v>
      </c>
      <c r="AR498" s="17">
        <v>49287</v>
      </c>
      <c r="AS498" t="s" s="15">
        <v>1841</v>
      </c>
      <c r="AT498" s="14"/>
      <c r="AU498" s="14"/>
      <c r="AV498" s="14"/>
      <c r="AW498" s="14"/>
      <c r="AX498" s="14"/>
      <c r="AY498" s="14"/>
      <c r="AZ498" s="14"/>
      <c r="BA498" s="14"/>
      <c r="BB498" s="14"/>
      <c r="BC498" s="14"/>
      <c r="BD498" s="14"/>
      <c r="BE498" s="14"/>
      <c r="BF498" s="14"/>
      <c r="BG498" s="14"/>
      <c r="BH498" s="14"/>
      <c r="BI498" s="14"/>
      <c r="BJ498" s="14"/>
      <c r="BK498" s="14"/>
      <c r="BL498" s="14"/>
      <c r="BM498" s="14"/>
      <c r="BN498" t="s" s="15">
        <v>78</v>
      </c>
      <c r="BO498" s="16"/>
      <c r="BP498" s="8"/>
    </row>
    <row r="499" ht="9" customHeight="1" hidden="1">
      <c r="A499" t="s" s="9">
        <v>1842</v>
      </c>
      <c r="B499" s="11"/>
      <c r="C499" t="str" s="11" cm="1">
        <f t="array" ref="C499">_xlfn.IFERROR((VLOOKUP(A499,#REF!,2,FALSE)),"")</f>
      </c>
      <c r="D499" t="s" s="10">
        <v>70</v>
      </c>
      <c r="E499" t="s" s="10">
        <v>1636</v>
      </c>
      <c r="F499" s="11"/>
      <c r="G499" t="s" s="10">
        <v>1843</v>
      </c>
      <c r="H499" t="s" s="10">
        <v>1844</v>
      </c>
      <c r="I499" t="s" s="10">
        <v>111</v>
      </c>
      <c r="J499" t="s" s="10">
        <v>469</v>
      </c>
      <c r="K499" t="s" s="10">
        <v>351</v>
      </c>
      <c r="L499" t="s" s="10">
        <v>1638</v>
      </c>
      <c r="M499" t="s" s="10">
        <v>1845</v>
      </c>
      <c r="N499" t="s" s="10">
        <v>1843</v>
      </c>
      <c r="O499" t="s" s="10">
        <v>517</v>
      </c>
      <c r="P499" t="s" s="10">
        <v>517</v>
      </c>
      <c r="Q499" t="s" s="10">
        <v>78</v>
      </c>
      <c r="R499" t="s" s="10">
        <v>323</v>
      </c>
      <c r="S499" s="11"/>
      <c r="T499" s="11"/>
      <c r="U499" s="11"/>
      <c r="V499" t="s" s="10">
        <v>69</v>
      </c>
      <c r="W499" s="11"/>
      <c r="X499" t="s" s="10">
        <v>69</v>
      </c>
      <c r="Y499" s="11"/>
      <c r="Z499" t="s" s="10">
        <v>1639</v>
      </c>
      <c r="AA499" s="11"/>
      <c r="AB499" t="s" s="10">
        <v>76</v>
      </c>
      <c r="AC499" s="11"/>
      <c r="AD499" s="11"/>
      <c r="AE499" s="11"/>
      <c r="AF499" s="11"/>
      <c r="AG499" t="s" s="10">
        <v>288</v>
      </c>
      <c r="AH499" t="s" s="10">
        <v>106</v>
      </c>
      <c r="AI499" t="s" s="10">
        <v>76</v>
      </c>
      <c r="AJ499" t="s" s="10">
        <v>76</v>
      </c>
      <c r="AK499" t="s" s="10">
        <v>79</v>
      </c>
      <c r="AL499" t="s" s="10">
        <v>293</v>
      </c>
      <c r="AM499" t="s" s="10">
        <v>294</v>
      </c>
      <c r="AN499" t="s" s="10">
        <v>133</v>
      </c>
      <c r="AO499" s="18">
        <v>1</v>
      </c>
      <c r="AP499" s="18">
        <v>8192</v>
      </c>
      <c r="AQ499" s="18">
        <v>49445</v>
      </c>
      <c r="AR499" s="18">
        <v>49445</v>
      </c>
      <c r="AS499" t="s" s="10">
        <v>1846</v>
      </c>
      <c r="AT499" s="11"/>
      <c r="AU499" s="11"/>
      <c r="AV499" s="11"/>
      <c r="AW499" s="11"/>
      <c r="AX499" s="11"/>
      <c r="AY499" s="11"/>
      <c r="AZ499" s="11"/>
      <c r="BA499" s="11"/>
      <c r="BB499" s="11"/>
      <c r="BC499" s="11"/>
      <c r="BD499" s="11"/>
      <c r="BE499" s="11"/>
      <c r="BF499" s="11"/>
      <c r="BG499" s="11"/>
      <c r="BH499" s="11"/>
      <c r="BI499" s="11"/>
      <c r="BJ499" s="11"/>
      <c r="BK499" s="11"/>
      <c r="BL499" s="11"/>
      <c r="BM499" s="11"/>
      <c r="BN499" t="s" s="10">
        <v>78</v>
      </c>
      <c r="BO499" s="12"/>
      <c r="BP499" s="8"/>
    </row>
    <row r="500" ht="9" customHeight="1" hidden="1">
      <c r="A500" t="s" s="13">
        <v>1847</v>
      </c>
      <c r="B500" s="14"/>
      <c r="C500" t="str" s="14" cm="1">
        <f t="array" ref="C500">_xlfn.IFERROR((VLOOKUP(A500,#REF!,2,FALSE)),"")</f>
      </c>
      <c r="D500" t="s" s="15">
        <v>70</v>
      </c>
      <c r="E500" t="s" s="15">
        <v>1636</v>
      </c>
      <c r="F500" s="14"/>
      <c r="G500" t="s" s="15">
        <v>1848</v>
      </c>
      <c r="H500" t="s" s="15">
        <v>1844</v>
      </c>
      <c r="I500" t="s" s="15">
        <v>111</v>
      </c>
      <c r="J500" t="s" s="15">
        <v>122</v>
      </c>
      <c r="K500" t="s" s="15">
        <v>351</v>
      </c>
      <c r="L500" t="s" s="15">
        <v>1638</v>
      </c>
      <c r="M500" t="s" s="15">
        <v>1848</v>
      </c>
      <c r="N500" t="s" s="15">
        <v>1848</v>
      </c>
      <c r="O500" s="14"/>
      <c r="P500" t="s" s="15">
        <v>122</v>
      </c>
      <c r="Q500" t="s" s="15">
        <v>78</v>
      </c>
      <c r="R500" t="s" s="15">
        <v>323</v>
      </c>
      <c r="S500" s="14"/>
      <c r="T500" s="14"/>
      <c r="U500" s="14"/>
      <c r="V500" t="s" s="15">
        <v>69</v>
      </c>
      <c r="W500" s="14"/>
      <c r="X500" t="s" s="15">
        <v>69</v>
      </c>
      <c r="Y500" s="14"/>
      <c r="Z500" t="s" s="15">
        <v>1639</v>
      </c>
      <c r="AA500" s="14"/>
      <c r="AB500" t="s" s="15">
        <v>76</v>
      </c>
      <c r="AC500" s="14"/>
      <c r="AD500" s="14"/>
      <c r="AE500" s="14"/>
      <c r="AF500" s="14"/>
      <c r="AG500" t="s" s="15">
        <v>299</v>
      </c>
      <c r="AH500" t="s" s="15">
        <v>106</v>
      </c>
      <c r="AI500" t="s" s="15">
        <v>76</v>
      </c>
      <c r="AJ500" t="s" s="15">
        <v>76</v>
      </c>
      <c r="AK500" t="s" s="15">
        <v>79</v>
      </c>
      <c r="AL500" t="s" s="15">
        <v>293</v>
      </c>
      <c r="AM500" t="s" s="15">
        <v>294</v>
      </c>
      <c r="AN500" t="s" s="15">
        <v>1556</v>
      </c>
      <c r="AO500" s="17">
        <v>4</v>
      </c>
      <c r="AP500" s="17">
        <v>16384</v>
      </c>
      <c r="AQ500" s="17">
        <v>57665</v>
      </c>
      <c r="AR500" s="17">
        <v>57665</v>
      </c>
      <c r="AS500" t="s" s="15">
        <v>1849</v>
      </c>
      <c r="AT500" t="s" s="15">
        <v>301</v>
      </c>
      <c r="AU500" s="14"/>
      <c r="AV500" s="14"/>
      <c r="AW500" s="14"/>
      <c r="AX500" s="14"/>
      <c r="AY500" s="14"/>
      <c r="AZ500" s="14"/>
      <c r="BA500" s="14"/>
      <c r="BB500" s="14"/>
      <c r="BC500" s="14"/>
      <c r="BD500" s="14"/>
      <c r="BE500" s="14"/>
      <c r="BF500" s="14"/>
      <c r="BG500" s="14"/>
      <c r="BH500" s="14"/>
      <c r="BI500" s="14"/>
      <c r="BJ500" s="14"/>
      <c r="BK500" s="14"/>
      <c r="BL500" s="14"/>
      <c r="BM500" s="14"/>
      <c r="BN500" t="s" s="15">
        <v>78</v>
      </c>
      <c r="BO500" s="16"/>
      <c r="BP500" s="8"/>
    </row>
    <row r="501" ht="9" customHeight="1" hidden="1">
      <c r="A501" t="s" s="9">
        <v>1850</v>
      </c>
      <c r="B501" s="11"/>
      <c r="C501" t="str" s="11" cm="1">
        <f t="array" ref="C501">_xlfn.IFERROR((VLOOKUP(A501,#REF!,2,FALSE)),"")</f>
      </c>
      <c r="D501" t="s" s="10">
        <v>70</v>
      </c>
      <c r="E501" t="s" s="10">
        <v>71</v>
      </c>
      <c r="F501" s="11"/>
      <c r="G501" s="11"/>
      <c r="H501" s="11"/>
      <c r="I501" t="s" s="10">
        <v>82</v>
      </c>
      <c r="J501" t="s" s="10">
        <v>82</v>
      </c>
      <c r="K501" t="s" s="10">
        <v>82</v>
      </c>
      <c r="L501" t="s" s="10">
        <v>76</v>
      </c>
      <c r="M501" t="s" s="10">
        <v>77</v>
      </c>
      <c r="N501" s="18">
        <v>0</v>
      </c>
      <c r="O501" t="s" s="10">
        <v>71</v>
      </c>
      <c r="P501" s="11"/>
      <c r="Q501" t="s" s="10">
        <v>78</v>
      </c>
      <c r="R501" t="s" s="10">
        <v>83</v>
      </c>
      <c r="S501" s="11"/>
      <c r="T501" s="11"/>
      <c r="U501" s="11"/>
      <c r="V501" t="s" s="10">
        <v>78</v>
      </c>
      <c r="W501" s="11"/>
      <c r="X501" t="s" s="10">
        <v>78</v>
      </c>
      <c r="Y501" s="11"/>
      <c r="Z501" t="s" s="10">
        <v>76</v>
      </c>
      <c r="AA501" s="11"/>
      <c r="AB501" t="s" s="10">
        <v>76</v>
      </c>
      <c r="AC501" s="11"/>
      <c r="AD501" s="11"/>
      <c r="AE501" s="11"/>
      <c r="AF501" s="11"/>
      <c r="AG501" s="11"/>
      <c r="AH501" s="11"/>
      <c r="AI501" t="s" s="10">
        <v>76</v>
      </c>
      <c r="AJ501" t="s" s="10">
        <v>76</v>
      </c>
      <c r="AK501" t="s" s="10">
        <v>79</v>
      </c>
      <c r="AL501" t="s" s="10">
        <v>293</v>
      </c>
      <c r="AM501" t="s" s="10">
        <v>294</v>
      </c>
      <c r="AN501" s="11"/>
      <c r="AO501" s="18">
        <v>4</v>
      </c>
      <c r="AP501" s="18">
        <v>8192</v>
      </c>
      <c r="AQ501" s="18">
        <v>49404</v>
      </c>
      <c r="AR501" s="18">
        <v>49404</v>
      </c>
      <c r="AS501" t="s" s="10">
        <v>1851</v>
      </c>
      <c r="AT501" s="11"/>
      <c r="AU501" s="11"/>
      <c r="AV501" s="11"/>
      <c r="AW501" s="11"/>
      <c r="AX501" s="11"/>
      <c r="AY501" s="11"/>
      <c r="AZ501" s="11"/>
      <c r="BA501" s="11"/>
      <c r="BB501" s="11"/>
      <c r="BC501" s="11"/>
      <c r="BD501" s="11"/>
      <c r="BE501" s="11"/>
      <c r="BF501" s="11"/>
      <c r="BG501" s="11"/>
      <c r="BH501" s="11"/>
      <c r="BI501" s="11"/>
      <c r="BJ501" s="11"/>
      <c r="BK501" s="11"/>
      <c r="BL501" s="11"/>
      <c r="BM501" s="11"/>
      <c r="BN501" s="11"/>
      <c r="BO501" s="12"/>
      <c r="BP501" s="8"/>
    </row>
    <row r="502" ht="9" customHeight="1" hidden="1">
      <c r="A502" t="s" s="13">
        <v>1852</v>
      </c>
      <c r="B502" s="14"/>
      <c r="C502" t="str" s="14" cm="1">
        <f t="array" ref="C502">_xlfn.IFERROR((VLOOKUP(A502,#REF!,2,FALSE)),"")</f>
      </c>
      <c r="D502" t="s" s="15">
        <v>70</v>
      </c>
      <c r="E502" t="s" s="15">
        <v>1636</v>
      </c>
      <c r="F502" s="14"/>
      <c r="G502" t="s" s="15">
        <v>1853</v>
      </c>
      <c r="H502" t="s" s="15">
        <v>1853</v>
      </c>
      <c r="I502" t="s" s="15">
        <v>111</v>
      </c>
      <c r="J502" t="s" s="15">
        <v>112</v>
      </c>
      <c r="K502" t="s" s="15">
        <v>210</v>
      </c>
      <c r="L502" t="s" s="15">
        <v>1638</v>
      </c>
      <c r="M502" t="s" s="15">
        <v>1853</v>
      </c>
      <c r="N502" t="s" s="15">
        <v>1853</v>
      </c>
      <c r="O502" s="14"/>
      <c r="P502" t="s" s="15">
        <v>469</v>
      </c>
      <c r="Q502" t="s" s="15">
        <v>69</v>
      </c>
      <c r="R502" t="s" s="15">
        <v>83</v>
      </c>
      <c r="S502" s="14"/>
      <c r="T502" s="14"/>
      <c r="U502" s="14"/>
      <c r="V502" t="s" s="15">
        <v>69</v>
      </c>
      <c r="W502" s="14"/>
      <c r="X502" t="s" s="15">
        <v>69</v>
      </c>
      <c r="Y502" s="14"/>
      <c r="Z502" t="s" s="15">
        <v>1639</v>
      </c>
      <c r="AA502" s="14"/>
      <c r="AB502" t="s" s="15">
        <v>76</v>
      </c>
      <c r="AC502" t="s" s="15">
        <v>1852</v>
      </c>
      <c r="AD502" t="s" s="15">
        <v>1854</v>
      </c>
      <c r="AE502" s="14"/>
      <c r="AF502" s="14"/>
      <c r="AG502" t="s" s="15">
        <v>299</v>
      </c>
      <c r="AH502" t="s" s="15">
        <v>114</v>
      </c>
      <c r="AI502" t="s" s="15">
        <v>76</v>
      </c>
      <c r="AJ502" t="s" s="15">
        <v>76</v>
      </c>
      <c r="AK502" t="s" s="15">
        <v>79</v>
      </c>
      <c r="AL502" t="s" s="15">
        <v>293</v>
      </c>
      <c r="AM502" t="s" s="15">
        <v>294</v>
      </c>
      <c r="AN502" t="s" s="15">
        <v>128</v>
      </c>
      <c r="AO502" s="17">
        <v>2</v>
      </c>
      <c r="AP502" s="17">
        <v>4096</v>
      </c>
      <c r="AQ502" s="17">
        <v>106590</v>
      </c>
      <c r="AR502" s="17">
        <v>106590</v>
      </c>
      <c r="AS502" t="s" s="15">
        <v>1855</v>
      </c>
      <c r="AT502" t="s" s="15">
        <v>301</v>
      </c>
      <c r="AU502" s="14"/>
      <c r="AV502" s="14"/>
      <c r="AW502" s="14"/>
      <c r="AX502" s="14"/>
      <c r="AY502" s="14"/>
      <c r="AZ502" s="14"/>
      <c r="BA502" s="14"/>
      <c r="BB502" s="14"/>
      <c r="BC502" s="14"/>
      <c r="BD502" t="s" s="15">
        <v>310</v>
      </c>
      <c r="BE502" t="s" s="15">
        <v>419</v>
      </c>
      <c r="BF502" s="17">
        <v>2</v>
      </c>
      <c r="BG502" s="17">
        <v>4</v>
      </c>
      <c r="BH502" s="14"/>
      <c r="BI502" s="14"/>
      <c r="BJ502" s="14"/>
      <c r="BK502" s="14"/>
      <c r="BL502" s="14"/>
      <c r="BM502" s="14"/>
      <c r="BN502" t="s" s="15">
        <v>78</v>
      </c>
      <c r="BO502" s="16"/>
      <c r="BP502" s="8"/>
    </row>
    <row r="503" ht="9" customHeight="1" hidden="1">
      <c r="A503" t="s" s="9">
        <v>1856</v>
      </c>
      <c r="B503" s="11"/>
      <c r="C503" t="str" s="11" cm="1">
        <f t="array" ref="C503">_xlfn.IFERROR((VLOOKUP(A503,#REF!,2,FALSE)),"")</f>
      </c>
      <c r="D503" t="s" s="10">
        <v>70</v>
      </c>
      <c r="E503" t="s" s="10">
        <v>1857</v>
      </c>
      <c r="F503" s="11"/>
      <c r="G503" t="s" s="10">
        <v>1858</v>
      </c>
      <c r="H503" t="s" s="10">
        <v>1859</v>
      </c>
      <c r="I503" t="s" s="10">
        <v>73</v>
      </c>
      <c r="J503" t="s" s="10">
        <v>74</v>
      </c>
      <c r="K503" t="s" s="10">
        <v>113</v>
      </c>
      <c r="L503" t="s" s="10">
        <v>1638</v>
      </c>
      <c r="M503" t="s" s="10">
        <v>1858</v>
      </c>
      <c r="N503" t="s" s="10">
        <v>1858</v>
      </c>
      <c r="O503" t="s" s="10">
        <v>71</v>
      </c>
      <c r="P503" t="s" s="10">
        <v>322</v>
      </c>
      <c r="Q503" t="s" s="10">
        <v>69</v>
      </c>
      <c r="R503" t="s" s="10">
        <v>323</v>
      </c>
      <c r="S503" s="11"/>
      <c r="T503" s="11"/>
      <c r="U503" s="11"/>
      <c r="V503" t="s" s="10">
        <v>69</v>
      </c>
      <c r="W503" s="11"/>
      <c r="X503" t="s" s="10">
        <v>69</v>
      </c>
      <c r="Y503" s="11"/>
      <c r="Z503" t="s" s="10">
        <v>1639</v>
      </c>
      <c r="AA503" s="11"/>
      <c r="AB503" t="s" s="10">
        <v>76</v>
      </c>
      <c r="AC503" t="s" s="10">
        <v>1856</v>
      </c>
      <c r="AD503" t="s" s="10">
        <v>1860</v>
      </c>
      <c r="AE503" s="11"/>
      <c r="AF503" s="11"/>
      <c r="AG503" s="11"/>
      <c r="AH503" t="s" s="10">
        <v>106</v>
      </c>
      <c r="AI503" t="s" s="10">
        <v>76</v>
      </c>
      <c r="AJ503" t="s" s="10">
        <v>76</v>
      </c>
      <c r="AK503" t="s" s="10">
        <v>79</v>
      </c>
      <c r="AL503" t="s" s="10">
        <v>293</v>
      </c>
      <c r="AM503" t="s" s="10">
        <v>294</v>
      </c>
      <c r="AN503" t="s" s="10">
        <v>116</v>
      </c>
      <c r="AO503" s="18">
        <v>4</v>
      </c>
      <c r="AP503" s="18">
        <v>8192</v>
      </c>
      <c r="AQ503" s="18">
        <v>161911</v>
      </c>
      <c r="AR503" s="18">
        <v>57928</v>
      </c>
      <c r="AS503" t="s" s="10">
        <v>1861</v>
      </c>
      <c r="AT503" s="11"/>
      <c r="AU503" s="11"/>
      <c r="AV503" s="11"/>
      <c r="AW503" s="11"/>
      <c r="AX503" s="11"/>
      <c r="AY503" s="11"/>
      <c r="AZ503" s="11"/>
      <c r="BA503" s="11"/>
      <c r="BB503" s="11"/>
      <c r="BC503" s="11"/>
      <c r="BD503" s="11"/>
      <c r="BE503" s="11"/>
      <c r="BF503" s="11"/>
      <c r="BG503" s="11"/>
      <c r="BH503" s="11"/>
      <c r="BI503" s="11"/>
      <c r="BJ503" s="11"/>
      <c r="BK503" s="11"/>
      <c r="BL503" s="11"/>
      <c r="BM503" s="11"/>
      <c r="BN503" s="11"/>
      <c r="BO503" s="12"/>
      <c r="BP503" s="8"/>
    </row>
    <row r="504" ht="15" customHeight="1" hidden="1">
      <c r="A504" t="s" s="13">
        <v>1862</v>
      </c>
      <c r="B504" s="14"/>
      <c r="C504" t="str" s="14" cm="1">
        <f t="array" ref="C504">_xlfn.IFERROR((VLOOKUP(A504,#REF!,2,FALSE)),"")</f>
      </c>
      <c r="D504" t="s" s="15">
        <v>70</v>
      </c>
      <c r="E504" t="s" s="15">
        <v>1701</v>
      </c>
      <c r="F504" s="14"/>
      <c r="G504" t="s" s="15">
        <v>1863</v>
      </c>
      <c r="H504" t="s" s="15">
        <v>524</v>
      </c>
      <c r="I504" t="s" s="15">
        <v>111</v>
      </c>
      <c r="J504" t="s" s="15">
        <v>122</v>
      </c>
      <c r="K504" t="s" s="15">
        <v>113</v>
      </c>
      <c r="L504" t="s" s="15">
        <v>518</v>
      </c>
      <c r="M504" t="s" s="15">
        <v>1863</v>
      </c>
      <c r="N504" t="s" s="15">
        <v>1863</v>
      </c>
      <c r="O504" s="14"/>
      <c r="P504" t="s" s="15">
        <v>122</v>
      </c>
      <c r="Q504" t="s" s="15">
        <v>69</v>
      </c>
      <c r="R504" t="s" s="15">
        <v>83</v>
      </c>
      <c r="S504" s="14"/>
      <c r="T504" t="s" s="15">
        <v>69</v>
      </c>
      <c r="U504" s="14"/>
      <c r="V504" t="s" s="15">
        <v>69</v>
      </c>
      <c r="W504" s="14"/>
      <c r="X504" t="s" s="15">
        <v>69</v>
      </c>
      <c r="Y504" s="14"/>
      <c r="Z504" t="s" s="15">
        <v>552</v>
      </c>
      <c r="AA504" s="14"/>
      <c r="AB504" t="s" s="15">
        <v>1551</v>
      </c>
      <c r="AC504" t="s" s="15">
        <v>1862</v>
      </c>
      <c r="AD504" t="s" s="15">
        <v>1864</v>
      </c>
      <c r="AE504" s="14"/>
      <c r="AF504" s="14"/>
      <c r="AG504" t="s" s="15">
        <v>299</v>
      </c>
      <c r="AH504" t="s" s="15">
        <v>289</v>
      </c>
      <c r="AI504" t="s" s="15">
        <v>76</v>
      </c>
      <c r="AJ504" t="s" s="15">
        <v>76</v>
      </c>
      <c r="AK504" t="s" s="15">
        <v>524</v>
      </c>
      <c r="AL504" t="s" s="15">
        <v>293</v>
      </c>
      <c r="AM504" t="s" s="15">
        <v>294</v>
      </c>
      <c r="AN504" t="s" s="15">
        <v>128</v>
      </c>
      <c r="AO504" s="17">
        <v>4</v>
      </c>
      <c r="AP504" s="17">
        <v>8192</v>
      </c>
      <c r="AQ504" s="17">
        <v>110759</v>
      </c>
      <c r="AR504" s="17">
        <v>110759</v>
      </c>
      <c r="AS504" t="s" s="15">
        <v>1865</v>
      </c>
      <c r="AT504" t="s" s="15">
        <v>301</v>
      </c>
      <c r="AU504" s="14"/>
      <c r="AV504" s="14"/>
      <c r="AW504" t="s" s="15">
        <v>1866</v>
      </c>
      <c r="AX504" s="14"/>
      <c r="AY504" s="14"/>
      <c r="AZ504" s="14"/>
      <c r="BA504" s="14"/>
      <c r="BB504" s="14"/>
      <c r="BC504" s="14"/>
      <c r="BD504" s="14"/>
      <c r="BE504" s="14"/>
      <c r="BF504" s="14"/>
      <c r="BG504" s="14"/>
      <c r="BH504" s="14"/>
      <c r="BI504" s="14"/>
      <c r="BJ504" s="14"/>
      <c r="BK504" s="14"/>
      <c r="BL504" s="14"/>
      <c r="BM504" s="14"/>
      <c r="BN504" t="s" s="15">
        <v>69</v>
      </c>
      <c r="BO504" s="16"/>
      <c r="BP504" s="8"/>
    </row>
    <row r="505" ht="9" customHeight="1" hidden="1">
      <c r="A505" t="s" s="9">
        <v>1867</v>
      </c>
      <c r="B505" s="11"/>
      <c r="C505" t="str" s="11" cm="1">
        <f t="array" ref="C505">_xlfn.IFERROR((VLOOKUP(A505,#REF!,2,FALSE)),"")</f>
      </c>
      <c r="D505" s="11"/>
      <c r="E505" t="s" s="10">
        <v>195</v>
      </c>
      <c r="F505" s="11"/>
      <c r="G505" t="s" s="10">
        <v>1868</v>
      </c>
      <c r="H505" t="s" s="10">
        <v>434</v>
      </c>
      <c r="I505" t="s" s="10">
        <v>73</v>
      </c>
      <c r="J505" t="s" s="10">
        <v>74</v>
      </c>
      <c r="K505" t="s" s="10">
        <v>113</v>
      </c>
      <c r="L505" t="s" s="10">
        <v>435</v>
      </c>
      <c r="M505" t="s" s="10">
        <v>1868</v>
      </c>
      <c r="N505" t="s" s="10">
        <v>1868</v>
      </c>
      <c r="O505" t="s" s="10">
        <v>71</v>
      </c>
      <c r="P505" t="s" s="10">
        <v>74</v>
      </c>
      <c r="Q505" t="s" s="10">
        <v>78</v>
      </c>
      <c r="R505" t="s" s="10">
        <v>71</v>
      </c>
      <c r="S505" s="11"/>
      <c r="T505" s="11"/>
      <c r="U505" s="11"/>
      <c r="V505" t="s" s="10">
        <v>69</v>
      </c>
      <c r="W505" t="s" s="22">
        <v>1867</v>
      </c>
      <c r="X505" t="s" s="10">
        <v>69</v>
      </c>
      <c r="Y505" s="11"/>
      <c r="Z505" t="s" s="10">
        <v>436</v>
      </c>
      <c r="AA505" s="11"/>
      <c r="AB505" t="s" s="10">
        <v>437</v>
      </c>
      <c r="AC505" s="11"/>
      <c r="AD505" s="11"/>
      <c r="AE505" s="11"/>
      <c r="AF505" s="11"/>
      <c r="AG505" t="s" s="10">
        <v>299</v>
      </c>
      <c r="AH505" t="s" s="10">
        <v>289</v>
      </c>
      <c r="AI505" t="s" s="10">
        <v>76</v>
      </c>
      <c r="AJ505" t="s" s="10">
        <v>76</v>
      </c>
      <c r="AK505" t="s" s="10">
        <v>79</v>
      </c>
      <c r="AL505" s="11"/>
      <c r="AM505" t="s" s="10">
        <v>196</v>
      </c>
      <c r="AN505" t="s" s="10">
        <v>128</v>
      </c>
      <c r="AO505" s="11"/>
      <c r="AP505" s="11"/>
      <c r="AQ505" s="11"/>
      <c r="AR505" s="11"/>
      <c r="AS505" t="s" s="10">
        <v>1869</v>
      </c>
      <c r="AT505" t="s" s="10">
        <v>301</v>
      </c>
      <c r="AU505" s="11"/>
      <c r="AV505" s="11"/>
      <c r="AW505" t="s" s="10">
        <v>1870</v>
      </c>
      <c r="AX505" s="11"/>
      <c r="AY505" s="11"/>
      <c r="AZ505" s="11"/>
      <c r="BA505" s="11"/>
      <c r="BB505" s="11"/>
      <c r="BC505" s="11"/>
      <c r="BD505" s="11"/>
      <c r="BE505" s="11"/>
      <c r="BF505" s="11"/>
      <c r="BG505" s="11"/>
      <c r="BH505" s="11"/>
      <c r="BI505" s="11"/>
      <c r="BJ505" s="11"/>
      <c r="BK505" s="11"/>
      <c r="BL505" s="11"/>
      <c r="BM505" s="11"/>
      <c r="BN505" s="11"/>
      <c r="BO505" s="12"/>
      <c r="BP505" s="8"/>
    </row>
    <row r="506" ht="13.55" customHeight="1">
      <c r="A506" t="s" s="13">
        <v>1871</v>
      </c>
      <c r="B506" s="14"/>
      <c r="C506" t="str" s="14" cm="1">
        <f t="array" ref="C506">_xlfn.IFERROR((VLOOKUP(A506,#REF!,2,FALSE)),"")</f>
      </c>
      <c r="D506" s="14"/>
      <c r="E506" t="s" s="15">
        <v>1872</v>
      </c>
      <c r="F506" s="14"/>
      <c r="G506" t="s" s="15">
        <v>1873</v>
      </c>
      <c r="H506" t="s" s="15">
        <v>1111</v>
      </c>
      <c r="I506" t="s" s="15">
        <v>111</v>
      </c>
      <c r="J506" t="s" s="15">
        <v>322</v>
      </c>
      <c r="K506" t="s" s="15">
        <v>113</v>
      </c>
      <c r="L506" t="s" s="15">
        <v>518</v>
      </c>
      <c r="M506" t="s" s="15">
        <v>1873</v>
      </c>
      <c r="N506" t="s" s="15">
        <v>1873</v>
      </c>
      <c r="O506" s="14"/>
      <c r="P506" t="s" s="15">
        <v>322</v>
      </c>
      <c r="Q506" t="s" s="15">
        <v>69</v>
      </c>
      <c r="R506" t="s" s="15">
        <v>323</v>
      </c>
      <c r="S506" s="14"/>
      <c r="T506" s="14"/>
      <c r="U506" s="14"/>
      <c r="V506" t="s" s="15">
        <v>69</v>
      </c>
      <c r="W506" s="14"/>
      <c r="X506" t="s" s="15">
        <v>69</v>
      </c>
      <c r="Y506" s="14"/>
      <c r="Z506" t="s" s="15">
        <v>76</v>
      </c>
      <c r="AA506" s="14"/>
      <c r="AB506" t="s" s="15">
        <v>1112</v>
      </c>
      <c r="AC506" t="s" s="24">
        <v>1871</v>
      </c>
      <c r="AD506" t="s" s="15">
        <v>1874</v>
      </c>
      <c r="AE506" s="14"/>
      <c r="AF506" s="14"/>
      <c r="AG506" t="s" s="15">
        <v>299</v>
      </c>
      <c r="AH506" t="s" s="15">
        <v>114</v>
      </c>
      <c r="AI506" t="s" s="15">
        <v>440</v>
      </c>
      <c r="AJ506" s="14"/>
      <c r="AK506" t="s" s="15">
        <v>83</v>
      </c>
      <c r="AL506" t="s" s="15">
        <v>293</v>
      </c>
      <c r="AM506" t="s" s="15">
        <v>294</v>
      </c>
      <c r="AN506" t="s" s="15">
        <v>116</v>
      </c>
      <c r="AO506" s="17">
        <v>4</v>
      </c>
      <c r="AP506" s="17">
        <v>8192</v>
      </c>
      <c r="AQ506" s="17">
        <v>90315</v>
      </c>
      <c r="AR506" s="17">
        <v>35917</v>
      </c>
      <c r="AS506" t="s" s="15">
        <v>1875</v>
      </c>
      <c r="AT506" t="s" s="15">
        <v>301</v>
      </c>
      <c r="AU506" s="14"/>
      <c r="AV506" s="14"/>
      <c r="AW506" s="14"/>
      <c r="AX506" s="14"/>
      <c r="AY506" s="14"/>
      <c r="AZ506" s="14"/>
      <c r="BA506" s="14"/>
      <c r="BB506" s="14"/>
      <c r="BC506" s="14"/>
      <c r="BD506" t="s" s="15">
        <v>310</v>
      </c>
      <c r="BE506" t="s" s="15">
        <v>356</v>
      </c>
      <c r="BF506" s="17">
        <v>4</v>
      </c>
      <c r="BG506" s="17">
        <v>8</v>
      </c>
      <c r="BH506" s="14"/>
      <c r="BI506" s="14"/>
      <c r="BJ506" s="14"/>
      <c r="BK506" s="14"/>
      <c r="BL506" s="14"/>
      <c r="BM506" s="14"/>
      <c r="BN506" t="s" s="15">
        <v>69</v>
      </c>
      <c r="BO506" s="16"/>
      <c r="BP506" s="8"/>
    </row>
    <row r="507" ht="13.55" customHeight="1">
      <c r="A507" t="s" s="9">
        <v>1876</v>
      </c>
      <c r="B507" s="11"/>
      <c r="C507" t="str" s="11" cm="1">
        <f t="array" ref="C507">_xlfn.IFERROR((VLOOKUP(A507,#REF!,2,FALSE)),"")</f>
      </c>
      <c r="D507" s="11"/>
      <c r="E507" t="s" s="10">
        <v>1872</v>
      </c>
      <c r="F507" s="11"/>
      <c r="G507" t="s" s="10">
        <v>1877</v>
      </c>
      <c r="H507" t="s" s="10">
        <v>1111</v>
      </c>
      <c r="I507" t="s" s="10">
        <v>111</v>
      </c>
      <c r="J507" t="s" s="10">
        <v>322</v>
      </c>
      <c r="K507" t="s" s="10">
        <v>113</v>
      </c>
      <c r="L507" t="s" s="10">
        <v>518</v>
      </c>
      <c r="M507" t="s" s="10">
        <v>1877</v>
      </c>
      <c r="N507" t="s" s="10">
        <v>1877</v>
      </c>
      <c r="O507" s="11"/>
      <c r="P507" t="s" s="10">
        <v>322</v>
      </c>
      <c r="Q507" t="s" s="10">
        <v>69</v>
      </c>
      <c r="R507" t="s" s="10">
        <v>323</v>
      </c>
      <c r="S507" s="11"/>
      <c r="T507" s="11"/>
      <c r="U507" s="11"/>
      <c r="V507" t="s" s="10">
        <v>69</v>
      </c>
      <c r="W507" s="11"/>
      <c r="X507" t="s" s="10">
        <v>69</v>
      </c>
      <c r="Y507" s="11"/>
      <c r="Z507" t="s" s="10">
        <v>76</v>
      </c>
      <c r="AA507" s="11"/>
      <c r="AB507" t="s" s="10">
        <v>1112</v>
      </c>
      <c r="AC507" t="s" s="25">
        <v>1876</v>
      </c>
      <c r="AD507" t="s" s="10">
        <v>1878</v>
      </c>
      <c r="AE507" s="11"/>
      <c r="AF507" s="11"/>
      <c r="AG507" t="s" s="10">
        <v>299</v>
      </c>
      <c r="AH507" t="s" s="10">
        <v>114</v>
      </c>
      <c r="AI507" t="s" s="10">
        <v>440</v>
      </c>
      <c r="AJ507" s="11"/>
      <c r="AK507" t="s" s="10">
        <v>83</v>
      </c>
      <c r="AL507" t="s" s="10">
        <v>293</v>
      </c>
      <c r="AM507" t="s" s="10">
        <v>294</v>
      </c>
      <c r="AN507" t="s" s="10">
        <v>116</v>
      </c>
      <c r="AO507" s="18">
        <v>1</v>
      </c>
      <c r="AP507" s="18">
        <v>1024</v>
      </c>
      <c r="AQ507" s="18">
        <v>88148</v>
      </c>
      <c r="AR507" s="18">
        <v>35009</v>
      </c>
      <c r="AS507" t="s" s="10">
        <v>1879</v>
      </c>
      <c r="AT507" t="s" s="10">
        <v>301</v>
      </c>
      <c r="AU507" s="11"/>
      <c r="AV507" s="11"/>
      <c r="AW507" s="11"/>
      <c r="AX507" s="11"/>
      <c r="AY507" s="11"/>
      <c r="AZ507" s="11"/>
      <c r="BA507" s="11"/>
      <c r="BB507" s="11"/>
      <c r="BC507" s="11"/>
      <c r="BD507" t="s" s="10">
        <v>310</v>
      </c>
      <c r="BE507" t="s" s="10">
        <v>419</v>
      </c>
      <c r="BF507" s="18">
        <v>2</v>
      </c>
      <c r="BG507" s="18">
        <v>4</v>
      </c>
      <c r="BH507" s="11"/>
      <c r="BI507" s="11"/>
      <c r="BJ507" s="11"/>
      <c r="BK507" s="11"/>
      <c r="BL507" s="11"/>
      <c r="BM507" s="11"/>
      <c r="BN507" t="s" s="10">
        <v>69</v>
      </c>
      <c r="BO507" s="12"/>
      <c r="BP507" s="8"/>
    </row>
    <row r="508" ht="15" customHeight="1">
      <c r="A508" t="s" s="13">
        <v>1880</v>
      </c>
      <c r="B508" s="14"/>
      <c r="C508" t="str" s="14" cm="1">
        <f t="array" ref="C508">_xlfn.IFERROR((VLOOKUP(A508,#REF!,2,FALSE)),"")</f>
      </c>
      <c r="D508" s="14"/>
      <c r="E508" t="s" s="15">
        <v>1872</v>
      </c>
      <c r="F508" s="14"/>
      <c r="G508" t="s" s="15">
        <v>1881</v>
      </c>
      <c r="H508" t="s" s="15">
        <v>1111</v>
      </c>
      <c r="I508" t="s" s="15">
        <v>111</v>
      </c>
      <c r="J508" t="s" s="15">
        <v>322</v>
      </c>
      <c r="K508" t="s" s="15">
        <v>113</v>
      </c>
      <c r="L508" t="s" s="15">
        <v>518</v>
      </c>
      <c r="M508" t="s" s="15">
        <v>1881</v>
      </c>
      <c r="N508" t="s" s="15">
        <v>1881</v>
      </c>
      <c r="O508" s="14"/>
      <c r="P508" t="s" s="15">
        <v>322</v>
      </c>
      <c r="Q508" t="s" s="15">
        <v>69</v>
      </c>
      <c r="R508" t="s" s="15">
        <v>323</v>
      </c>
      <c r="S508" s="14"/>
      <c r="T508" s="14"/>
      <c r="U508" s="14"/>
      <c r="V508" t="s" s="15">
        <v>69</v>
      </c>
      <c r="W508" s="14"/>
      <c r="X508" t="s" s="15">
        <v>69</v>
      </c>
      <c r="Y508" s="14"/>
      <c r="Z508" t="s" s="15">
        <v>76</v>
      </c>
      <c r="AA508" s="14"/>
      <c r="AB508" t="s" s="15">
        <v>1112</v>
      </c>
      <c r="AC508" t="s" s="24">
        <v>1880</v>
      </c>
      <c r="AD508" t="s" s="15">
        <v>1882</v>
      </c>
      <c r="AE508" s="14"/>
      <c r="AF508" s="14"/>
      <c r="AG508" t="s" s="15">
        <v>299</v>
      </c>
      <c r="AH508" t="s" s="15">
        <v>114</v>
      </c>
      <c r="AI508" t="s" s="15">
        <v>440</v>
      </c>
      <c r="AJ508" s="14"/>
      <c r="AK508" t="s" s="15">
        <v>83</v>
      </c>
      <c r="AL508" t="s" s="15">
        <v>293</v>
      </c>
      <c r="AM508" t="s" s="15">
        <v>294</v>
      </c>
      <c r="AN508" t="s" s="15">
        <v>116</v>
      </c>
      <c r="AO508" s="17">
        <v>1</v>
      </c>
      <c r="AP508" s="17">
        <v>1024</v>
      </c>
      <c r="AQ508" s="17">
        <v>118867</v>
      </c>
      <c r="AR508" s="17">
        <v>58441</v>
      </c>
      <c r="AS508" t="s" s="15">
        <v>1883</v>
      </c>
      <c r="AT508" t="s" s="15">
        <v>301</v>
      </c>
      <c r="AU508" s="14"/>
      <c r="AV508" s="14"/>
      <c r="AW508" s="14"/>
      <c r="AX508" s="14"/>
      <c r="AY508" s="14"/>
      <c r="AZ508" s="14"/>
      <c r="BA508" s="14"/>
      <c r="BB508" s="14"/>
      <c r="BC508" s="14"/>
      <c r="BD508" t="s" s="15">
        <v>310</v>
      </c>
      <c r="BE508" t="s" s="15">
        <v>419</v>
      </c>
      <c r="BF508" s="17">
        <v>2</v>
      </c>
      <c r="BG508" s="17">
        <v>4</v>
      </c>
      <c r="BH508" s="14"/>
      <c r="BI508" s="14"/>
      <c r="BJ508" s="14"/>
      <c r="BK508" s="14"/>
      <c r="BL508" s="14"/>
      <c r="BM508" s="14"/>
      <c r="BN508" t="s" s="15">
        <v>69</v>
      </c>
      <c r="BO508" s="16"/>
      <c r="BP508" s="8"/>
    </row>
    <row r="509" ht="15" customHeight="1" hidden="1">
      <c r="A509" t="s" s="9">
        <v>1884</v>
      </c>
      <c r="B509" s="11"/>
      <c r="C509" t="str" s="11" cm="1">
        <f t="array" ref="C509">_xlfn.IFERROR((VLOOKUP(A509,#REF!,2,FALSE)),"")</f>
      </c>
      <c r="D509" s="11"/>
      <c r="E509" t="s" s="10">
        <v>1224</v>
      </c>
      <c r="F509" s="11"/>
      <c r="G509" t="s" s="10">
        <v>1885</v>
      </c>
      <c r="H509" t="s" s="10">
        <v>516</v>
      </c>
      <c r="I509" t="s" s="10">
        <v>111</v>
      </c>
      <c r="J509" t="s" s="10">
        <v>322</v>
      </c>
      <c r="K509" t="s" s="10">
        <v>113</v>
      </c>
      <c r="L509" t="s" s="10">
        <v>518</v>
      </c>
      <c r="M509" t="s" s="10">
        <v>1886</v>
      </c>
      <c r="N509" t="s" s="10">
        <v>1886</v>
      </c>
      <c r="O509" t="s" s="10">
        <v>322</v>
      </c>
      <c r="P509" t="s" s="10">
        <v>322</v>
      </c>
      <c r="Q509" t="s" s="10">
        <v>78</v>
      </c>
      <c r="R509" t="s" s="10">
        <v>83</v>
      </c>
      <c r="S509" s="11"/>
      <c r="T509" s="11"/>
      <c r="U509" s="11"/>
      <c r="V509" t="s" s="10">
        <v>69</v>
      </c>
      <c r="W509" s="11"/>
      <c r="X509" t="s" s="10">
        <v>69</v>
      </c>
      <c r="Y509" s="11"/>
      <c r="Z509" t="s" s="10">
        <v>205</v>
      </c>
      <c r="AA509" s="11"/>
      <c r="AB509" t="s" s="10">
        <v>520</v>
      </c>
      <c r="AC509" t="s" s="10">
        <v>1226</v>
      </c>
      <c r="AD509" s="11"/>
      <c r="AE509" s="11"/>
      <c r="AF509" s="11"/>
      <c r="AG509" t="s" s="10">
        <v>299</v>
      </c>
      <c r="AH509" t="s" s="10">
        <v>289</v>
      </c>
      <c r="AI509" t="s" s="10">
        <v>83</v>
      </c>
      <c r="AJ509" t="s" s="10">
        <v>83</v>
      </c>
      <c r="AK509" t="s" s="10">
        <v>1195</v>
      </c>
      <c r="AL509" t="s" s="10">
        <v>293</v>
      </c>
      <c r="AM509" t="s" s="10">
        <v>294</v>
      </c>
      <c r="AN509" t="s" s="10">
        <v>1887</v>
      </c>
      <c r="AO509" s="18">
        <v>4</v>
      </c>
      <c r="AP509" s="18">
        <v>4096</v>
      </c>
      <c r="AQ509" s="18">
        <v>249942</v>
      </c>
      <c r="AR509" s="18">
        <v>143540</v>
      </c>
      <c r="AS509" t="s" s="10">
        <v>1888</v>
      </c>
      <c r="AT509" t="s" s="10">
        <v>301</v>
      </c>
      <c r="AU509" t="s" s="10">
        <v>1174</v>
      </c>
      <c r="AV509" t="s" s="10">
        <v>76</v>
      </c>
      <c r="AW509" t="s" s="10">
        <v>1889</v>
      </c>
      <c r="AX509" t="s" s="10">
        <v>301</v>
      </c>
      <c r="AY509" t="s" s="10">
        <v>1229</v>
      </c>
      <c r="AZ509" t="s" s="10">
        <v>1230</v>
      </c>
      <c r="BA509" t="s" s="10">
        <v>1231</v>
      </c>
      <c r="BB509" t="s" s="10">
        <v>1242</v>
      </c>
      <c r="BC509" t="s" s="10">
        <v>1233</v>
      </c>
      <c r="BD509" s="11"/>
      <c r="BE509" s="11"/>
      <c r="BF509" s="11"/>
      <c r="BG509" s="11"/>
      <c r="BH509" t="s" s="10">
        <v>76</v>
      </c>
      <c r="BI509" t="s" s="10">
        <v>76</v>
      </c>
      <c r="BJ509" t="s" s="10">
        <v>76</v>
      </c>
      <c r="BK509" t="s" s="10">
        <v>76</v>
      </c>
      <c r="BL509" t="s" s="10">
        <v>76</v>
      </c>
      <c r="BM509" t="s" s="10">
        <v>1234</v>
      </c>
      <c r="BN509" t="s" s="10">
        <v>78</v>
      </c>
      <c r="BO509" t="s" s="19">
        <v>76</v>
      </c>
      <c r="BP509" s="8"/>
    </row>
    <row r="510" ht="15" customHeight="1" hidden="1">
      <c r="A510" t="s" s="13">
        <v>1890</v>
      </c>
      <c r="B510" s="14"/>
      <c r="C510" t="str" s="14" cm="1">
        <f t="array" ref="C510">_xlfn.IFERROR((VLOOKUP(A510,#REF!,2,FALSE)),"")</f>
      </c>
      <c r="D510" s="14"/>
      <c r="E510" t="s" s="15">
        <v>1224</v>
      </c>
      <c r="F510" s="14"/>
      <c r="G510" t="s" s="15">
        <v>1891</v>
      </c>
      <c r="H510" t="s" s="15">
        <v>1237</v>
      </c>
      <c r="I510" t="s" s="15">
        <v>111</v>
      </c>
      <c r="J510" t="s" s="15">
        <v>322</v>
      </c>
      <c r="K510" t="s" s="15">
        <v>113</v>
      </c>
      <c r="L510" t="s" s="15">
        <v>518</v>
      </c>
      <c r="M510" t="s" s="15">
        <v>1892</v>
      </c>
      <c r="N510" t="s" s="15">
        <v>1892</v>
      </c>
      <c r="O510" t="s" s="15">
        <v>322</v>
      </c>
      <c r="P510" t="s" s="15">
        <v>322</v>
      </c>
      <c r="Q510" t="s" s="15">
        <v>78</v>
      </c>
      <c r="R510" t="s" s="15">
        <v>83</v>
      </c>
      <c r="S510" s="14"/>
      <c r="T510" s="14"/>
      <c r="U510" s="14"/>
      <c r="V510" t="s" s="15">
        <v>69</v>
      </c>
      <c r="W510" s="14"/>
      <c r="X510" t="s" s="15">
        <v>69</v>
      </c>
      <c r="Y510" s="14"/>
      <c r="Z510" t="s" s="15">
        <v>205</v>
      </c>
      <c r="AA510" s="14"/>
      <c r="AB510" t="s" s="15">
        <v>520</v>
      </c>
      <c r="AC510" t="s" s="15">
        <v>1226</v>
      </c>
      <c r="AD510" s="14"/>
      <c r="AE510" s="14"/>
      <c r="AF510" s="14"/>
      <c r="AG510" t="s" s="15">
        <v>299</v>
      </c>
      <c r="AH510" t="s" s="15">
        <v>289</v>
      </c>
      <c r="AI510" t="s" s="15">
        <v>83</v>
      </c>
      <c r="AJ510" t="s" s="15">
        <v>83</v>
      </c>
      <c r="AK510" t="s" s="15">
        <v>1195</v>
      </c>
      <c r="AL510" t="s" s="15">
        <v>293</v>
      </c>
      <c r="AM510" t="s" s="15">
        <v>294</v>
      </c>
      <c r="AN510" t="s" s="15">
        <v>1893</v>
      </c>
      <c r="AO510" s="17">
        <v>4</v>
      </c>
      <c r="AP510" s="17">
        <v>4096</v>
      </c>
      <c r="AQ510" s="17">
        <v>249951</v>
      </c>
      <c r="AR510" s="17">
        <v>105435</v>
      </c>
      <c r="AS510" t="s" s="15">
        <v>1894</v>
      </c>
      <c r="AT510" t="s" s="15">
        <v>301</v>
      </c>
      <c r="AU510" s="14"/>
      <c r="AV510" s="14"/>
      <c r="AW510" t="s" s="15">
        <v>1895</v>
      </c>
      <c r="AX510" t="s" s="15">
        <v>301</v>
      </c>
      <c r="AY510" t="s" s="15">
        <v>1229</v>
      </c>
      <c r="AZ510" t="s" s="15">
        <v>1230</v>
      </c>
      <c r="BA510" t="s" s="15">
        <v>1231</v>
      </c>
      <c r="BB510" s="14"/>
      <c r="BC510" s="14"/>
      <c r="BD510" s="14"/>
      <c r="BE510" s="14"/>
      <c r="BF510" s="14"/>
      <c r="BG510" s="14"/>
      <c r="BH510" s="14"/>
      <c r="BI510" s="14"/>
      <c r="BJ510" s="14"/>
      <c r="BK510" s="14"/>
      <c r="BL510" s="14"/>
      <c r="BM510" s="14"/>
      <c r="BN510" t="s" s="15">
        <v>78</v>
      </c>
      <c r="BO510" s="16"/>
      <c r="BP510" s="8"/>
    </row>
    <row r="511" ht="15" customHeight="1">
      <c r="A511" t="s" s="9">
        <v>1896</v>
      </c>
      <c r="B511" s="11"/>
      <c r="C511" t="str" s="11" cm="1">
        <f t="array" ref="C511">_xlfn.IFERROR((VLOOKUP(A511,#REF!,2,FALSE)),"")</f>
      </c>
      <c r="D511" s="11"/>
      <c r="E511" s="11"/>
      <c r="F511" s="11"/>
      <c r="G511" t="s" s="10">
        <v>1897</v>
      </c>
      <c r="H511" t="s" s="10">
        <v>434</v>
      </c>
      <c r="I511" t="s" s="10">
        <v>111</v>
      </c>
      <c r="J511" t="s" s="10">
        <v>122</v>
      </c>
      <c r="K511" t="s" s="10">
        <v>113</v>
      </c>
      <c r="L511" t="s" s="10">
        <v>435</v>
      </c>
      <c r="M511" t="s" s="10">
        <v>1897</v>
      </c>
      <c r="N511" t="s" s="10">
        <v>1897</v>
      </c>
      <c r="O511" s="11"/>
      <c r="P511" t="s" s="10">
        <v>122</v>
      </c>
      <c r="Q511" t="s" s="10">
        <v>69</v>
      </c>
      <c r="R511" t="s" s="10">
        <v>83</v>
      </c>
      <c r="S511" s="11"/>
      <c r="T511" s="11"/>
      <c r="U511" s="11"/>
      <c r="V511" t="s" s="10">
        <v>69</v>
      </c>
      <c r="W511" s="11"/>
      <c r="X511" t="s" s="10">
        <v>69</v>
      </c>
      <c r="Y511" s="11"/>
      <c r="Z511" t="s" s="10">
        <v>436</v>
      </c>
      <c r="AA511" s="11"/>
      <c r="AB511" t="s" s="10">
        <v>437</v>
      </c>
      <c r="AC511" t="s" s="10">
        <v>1896</v>
      </c>
      <c r="AD511" t="s" s="10">
        <v>1898</v>
      </c>
      <c r="AE511" s="11"/>
      <c r="AF511" s="11"/>
      <c r="AG511" t="s" s="10">
        <v>299</v>
      </c>
      <c r="AH511" t="s" s="10">
        <v>289</v>
      </c>
      <c r="AI511" t="s" s="10">
        <v>440</v>
      </c>
      <c r="AJ511" s="11"/>
      <c r="AK511" t="s" s="10">
        <v>83</v>
      </c>
      <c r="AL511" t="s" s="10">
        <v>293</v>
      </c>
      <c r="AM511" t="s" s="10">
        <v>294</v>
      </c>
      <c r="AN511" t="s" s="10">
        <v>128</v>
      </c>
      <c r="AO511" s="18">
        <v>4</v>
      </c>
      <c r="AP511" s="18">
        <v>4644</v>
      </c>
      <c r="AQ511" s="18">
        <v>194421</v>
      </c>
      <c r="AR511" s="18">
        <v>194421</v>
      </c>
      <c r="AS511" t="s" s="10">
        <v>1899</v>
      </c>
      <c r="AT511" t="s" s="10">
        <v>301</v>
      </c>
      <c r="AU511" s="11"/>
      <c r="AV511" s="11"/>
      <c r="AW511" t="s" s="10">
        <v>1900</v>
      </c>
      <c r="AX511" s="11"/>
      <c r="AY511" s="11"/>
      <c r="AZ511" s="11"/>
      <c r="BA511" s="11"/>
      <c r="BB511" s="11"/>
      <c r="BC511" s="11"/>
      <c r="BD511" s="11"/>
      <c r="BE511" s="11"/>
      <c r="BF511" s="11"/>
      <c r="BG511" s="11"/>
      <c r="BH511" s="11"/>
      <c r="BI511" s="11"/>
      <c r="BJ511" s="11"/>
      <c r="BK511" s="11"/>
      <c r="BL511" s="11"/>
      <c r="BM511" s="11"/>
      <c r="BN511" t="s" s="10">
        <v>69</v>
      </c>
      <c r="BO511" s="12"/>
      <c r="BP511" s="8"/>
    </row>
    <row r="512" ht="15" customHeight="1">
      <c r="A512" t="s" s="13">
        <v>1901</v>
      </c>
      <c r="B512" s="14"/>
      <c r="C512" t="str" s="14" cm="1">
        <f t="array" ref="C512">_xlfn.IFERROR((VLOOKUP(A512,#REF!,2,FALSE)),"")</f>
      </c>
      <c r="D512" s="14"/>
      <c r="E512" s="14"/>
      <c r="F512" s="14"/>
      <c r="G512" t="s" s="15">
        <v>1902</v>
      </c>
      <c r="H512" t="s" s="15">
        <v>434</v>
      </c>
      <c r="I512" t="s" s="15">
        <v>111</v>
      </c>
      <c r="J512" t="s" s="15">
        <v>122</v>
      </c>
      <c r="K512" t="s" s="15">
        <v>113</v>
      </c>
      <c r="L512" t="s" s="15">
        <v>435</v>
      </c>
      <c r="M512" t="s" s="15">
        <v>1902</v>
      </c>
      <c r="N512" t="s" s="15">
        <v>1902</v>
      </c>
      <c r="O512" s="14"/>
      <c r="P512" t="s" s="15">
        <v>122</v>
      </c>
      <c r="Q512" t="s" s="15">
        <v>69</v>
      </c>
      <c r="R512" t="s" s="15">
        <v>83</v>
      </c>
      <c r="S512" s="14"/>
      <c r="T512" s="14"/>
      <c r="U512" s="14"/>
      <c r="V512" t="s" s="15">
        <v>69</v>
      </c>
      <c r="W512" s="14"/>
      <c r="X512" t="s" s="15">
        <v>69</v>
      </c>
      <c r="Y512" s="14"/>
      <c r="Z512" t="s" s="15">
        <v>436</v>
      </c>
      <c r="AA512" s="14"/>
      <c r="AB512" t="s" s="15">
        <v>437</v>
      </c>
      <c r="AC512" t="s" s="15">
        <v>1901</v>
      </c>
      <c r="AD512" t="s" s="15">
        <v>1903</v>
      </c>
      <c r="AE512" s="14"/>
      <c r="AF512" s="14"/>
      <c r="AG512" t="s" s="15">
        <v>299</v>
      </c>
      <c r="AH512" t="s" s="15">
        <v>289</v>
      </c>
      <c r="AI512" t="s" s="15">
        <v>440</v>
      </c>
      <c r="AJ512" s="14"/>
      <c r="AK512" t="s" s="15">
        <v>83</v>
      </c>
      <c r="AL512" t="s" s="15">
        <v>293</v>
      </c>
      <c r="AM512" t="s" s="15">
        <v>294</v>
      </c>
      <c r="AN512" t="s" s="15">
        <v>128</v>
      </c>
      <c r="AO512" s="17">
        <v>4</v>
      </c>
      <c r="AP512" s="17">
        <v>8192</v>
      </c>
      <c r="AQ512" s="17">
        <v>213132</v>
      </c>
      <c r="AR512" s="17">
        <v>213132</v>
      </c>
      <c r="AS512" t="s" s="15">
        <v>1904</v>
      </c>
      <c r="AT512" t="s" s="15">
        <v>301</v>
      </c>
      <c r="AU512" s="14"/>
      <c r="AV512" s="14"/>
      <c r="AW512" t="s" s="15">
        <v>1905</v>
      </c>
      <c r="AX512" s="14"/>
      <c r="AY512" s="14"/>
      <c r="AZ512" s="14"/>
      <c r="BA512" s="14"/>
      <c r="BB512" s="14"/>
      <c r="BC512" s="14"/>
      <c r="BD512" s="14"/>
      <c r="BE512" s="14"/>
      <c r="BF512" s="14"/>
      <c r="BG512" s="14"/>
      <c r="BH512" s="14"/>
      <c r="BI512" s="14"/>
      <c r="BJ512" s="14"/>
      <c r="BK512" s="14"/>
      <c r="BL512" s="14"/>
      <c r="BM512" s="14"/>
      <c r="BN512" t="s" s="15">
        <v>69</v>
      </c>
      <c r="BO512" s="16"/>
      <c r="BP512" s="8"/>
    </row>
    <row r="513" ht="15" customHeight="1" hidden="1">
      <c r="A513" t="s" s="9">
        <v>1906</v>
      </c>
      <c r="B513" s="11"/>
      <c r="C513" t="str" s="11" cm="1">
        <f t="array" ref="C513">_xlfn.IFERROR((VLOOKUP(A513,#REF!,2,FALSE)),"")</f>
      </c>
      <c r="D513" s="11"/>
      <c r="E513" s="11"/>
      <c r="F513" s="11"/>
      <c r="G513" t="s" s="10">
        <v>1907</v>
      </c>
      <c r="H513" t="s" s="10">
        <v>524</v>
      </c>
      <c r="I513" t="s" s="10">
        <v>111</v>
      </c>
      <c r="J513" t="s" s="10">
        <v>112</v>
      </c>
      <c r="K513" t="s" s="10">
        <v>113</v>
      </c>
      <c r="L513" t="s" s="10">
        <v>518</v>
      </c>
      <c r="M513" t="s" s="10">
        <v>1907</v>
      </c>
      <c r="N513" t="s" s="10">
        <v>1907</v>
      </c>
      <c r="O513" s="11"/>
      <c r="P513" t="s" s="10">
        <v>112</v>
      </c>
      <c r="Q513" t="s" s="10">
        <v>69</v>
      </c>
      <c r="R513" t="s" s="10">
        <v>83</v>
      </c>
      <c r="S513" s="11"/>
      <c r="T513" t="s" s="10">
        <v>69</v>
      </c>
      <c r="U513" s="11"/>
      <c r="V513" t="s" s="10">
        <v>69</v>
      </c>
      <c r="W513" s="11"/>
      <c r="X513" t="s" s="10">
        <v>69</v>
      </c>
      <c r="Y513" s="11"/>
      <c r="Z513" t="s" s="10">
        <v>552</v>
      </c>
      <c r="AA513" s="11"/>
      <c r="AB513" t="s" s="10">
        <v>1551</v>
      </c>
      <c r="AC513" t="s" s="10">
        <v>1906</v>
      </c>
      <c r="AD513" t="s" s="10">
        <v>1908</v>
      </c>
      <c r="AE513" s="11"/>
      <c r="AF513" s="11"/>
      <c r="AG513" t="s" s="10">
        <v>299</v>
      </c>
      <c r="AH513" t="s" s="10">
        <v>114</v>
      </c>
      <c r="AI513" t="s" s="10">
        <v>76</v>
      </c>
      <c r="AJ513" t="s" s="10">
        <v>76</v>
      </c>
      <c r="AK513" t="s" s="10">
        <v>524</v>
      </c>
      <c r="AL513" t="s" s="10">
        <v>293</v>
      </c>
      <c r="AM513" t="s" s="10">
        <v>294</v>
      </c>
      <c r="AN513" t="s" s="10">
        <v>116</v>
      </c>
      <c r="AO513" s="18">
        <v>4</v>
      </c>
      <c r="AP513" s="18">
        <v>16384</v>
      </c>
      <c r="AQ513" s="18">
        <v>119008</v>
      </c>
      <c r="AR513" s="18">
        <v>54856</v>
      </c>
      <c r="AS513" t="s" s="10">
        <v>1909</v>
      </c>
      <c r="AT513" s="11"/>
      <c r="AU513" s="11"/>
      <c r="AV513" s="11"/>
      <c r="AW513" s="11"/>
      <c r="AX513" s="11"/>
      <c r="AY513" s="11"/>
      <c r="AZ513" s="11"/>
      <c r="BA513" s="11"/>
      <c r="BB513" s="11"/>
      <c r="BC513" s="11"/>
      <c r="BD513" t="s" s="10">
        <v>366</v>
      </c>
      <c r="BE513" t="s" s="10">
        <v>394</v>
      </c>
      <c r="BF513" s="18">
        <v>4</v>
      </c>
      <c r="BG513" s="18">
        <v>16</v>
      </c>
      <c r="BH513" s="11"/>
      <c r="BI513" s="11"/>
      <c r="BJ513" s="11"/>
      <c r="BK513" s="11"/>
      <c r="BL513" s="11"/>
      <c r="BM513" s="11"/>
      <c r="BN513" t="s" s="10">
        <v>78</v>
      </c>
      <c r="BO513" s="12"/>
      <c r="BP513" s="8"/>
    </row>
    <row r="514" ht="15" customHeight="1" hidden="1">
      <c r="A514" t="s" s="13">
        <v>1910</v>
      </c>
      <c r="B514" s="14"/>
      <c r="C514" t="str" s="14" cm="1">
        <f t="array" ref="C514">_xlfn.IFERROR((VLOOKUP(A514,#REF!,2,FALSE)),"")</f>
      </c>
      <c r="D514" t="s" s="15">
        <v>70</v>
      </c>
      <c r="E514" t="s" s="15">
        <v>1701</v>
      </c>
      <c r="F514" s="14"/>
      <c r="G514" t="s" s="15">
        <v>1911</v>
      </c>
      <c r="H514" t="s" s="15">
        <v>524</v>
      </c>
      <c r="I514" t="s" s="15">
        <v>111</v>
      </c>
      <c r="J514" t="s" s="15">
        <v>122</v>
      </c>
      <c r="K514" t="s" s="15">
        <v>113</v>
      </c>
      <c r="L514" t="s" s="15">
        <v>518</v>
      </c>
      <c r="M514" t="s" s="15">
        <v>1911</v>
      </c>
      <c r="N514" t="s" s="15">
        <v>1911</v>
      </c>
      <c r="O514" s="14"/>
      <c r="P514" t="s" s="15">
        <v>122</v>
      </c>
      <c r="Q514" t="s" s="15">
        <v>69</v>
      </c>
      <c r="R514" t="s" s="15">
        <v>83</v>
      </c>
      <c r="S514" s="14"/>
      <c r="T514" t="s" s="15">
        <v>69</v>
      </c>
      <c r="U514" s="14"/>
      <c r="V514" t="s" s="15">
        <v>69</v>
      </c>
      <c r="W514" s="14"/>
      <c r="X514" t="s" s="15">
        <v>69</v>
      </c>
      <c r="Y514" s="14"/>
      <c r="Z514" t="s" s="15">
        <v>552</v>
      </c>
      <c r="AA514" s="14"/>
      <c r="AB514" t="s" s="15">
        <v>1551</v>
      </c>
      <c r="AC514" t="s" s="15">
        <v>1910</v>
      </c>
      <c r="AD514" t="s" s="15">
        <v>1912</v>
      </c>
      <c r="AE514" s="14"/>
      <c r="AF514" s="14"/>
      <c r="AG514" t="s" s="15">
        <v>299</v>
      </c>
      <c r="AH514" t="s" s="15">
        <v>289</v>
      </c>
      <c r="AI514" t="s" s="15">
        <v>76</v>
      </c>
      <c r="AJ514" t="s" s="15">
        <v>76</v>
      </c>
      <c r="AK514" t="s" s="15">
        <v>524</v>
      </c>
      <c r="AL514" t="s" s="15">
        <v>293</v>
      </c>
      <c r="AM514" t="s" s="15">
        <v>294</v>
      </c>
      <c r="AN514" t="s" s="15">
        <v>128</v>
      </c>
      <c r="AO514" s="17">
        <v>4</v>
      </c>
      <c r="AP514" s="17">
        <v>8192</v>
      </c>
      <c r="AQ514" s="17">
        <v>110684</v>
      </c>
      <c r="AR514" s="17">
        <v>110684</v>
      </c>
      <c r="AS514" t="s" s="15">
        <v>1913</v>
      </c>
      <c r="AT514" t="s" s="15">
        <v>301</v>
      </c>
      <c r="AU514" s="14"/>
      <c r="AV514" s="14"/>
      <c r="AW514" t="s" s="15">
        <v>1914</v>
      </c>
      <c r="AX514" s="14"/>
      <c r="AY514" s="14"/>
      <c r="AZ514" s="14"/>
      <c r="BA514" s="14"/>
      <c r="BB514" s="14"/>
      <c r="BC514" s="14"/>
      <c r="BD514" s="14"/>
      <c r="BE514" s="14"/>
      <c r="BF514" s="14"/>
      <c r="BG514" s="14"/>
      <c r="BH514" s="14"/>
      <c r="BI514" s="14"/>
      <c r="BJ514" s="14"/>
      <c r="BK514" s="14"/>
      <c r="BL514" s="14"/>
      <c r="BM514" s="14"/>
      <c r="BN514" t="s" s="15">
        <v>69</v>
      </c>
      <c r="BO514" s="16"/>
      <c r="BP514" s="8"/>
    </row>
    <row r="515" ht="15" customHeight="1" hidden="1">
      <c r="A515" t="s" s="9">
        <v>1915</v>
      </c>
      <c r="B515" s="11"/>
      <c r="C515" t="str" s="11" cm="1">
        <f t="array" ref="C515">_xlfn.IFERROR((VLOOKUP(A515,#REF!,2,FALSE)),"")</f>
      </c>
      <c r="D515" s="11"/>
      <c r="E515" s="11"/>
      <c r="F515" s="11"/>
      <c r="G515" t="s" s="10">
        <v>1916</v>
      </c>
      <c r="H515" t="s" s="10">
        <v>524</v>
      </c>
      <c r="I515" t="s" s="10">
        <v>111</v>
      </c>
      <c r="J515" t="s" s="10">
        <v>322</v>
      </c>
      <c r="K515" t="s" s="10">
        <v>113</v>
      </c>
      <c r="L515" t="s" s="10">
        <v>518</v>
      </c>
      <c r="M515" t="s" s="10">
        <v>1916</v>
      </c>
      <c r="N515" t="s" s="10">
        <v>1916</v>
      </c>
      <c r="O515" s="11"/>
      <c r="P515" t="s" s="10">
        <v>322</v>
      </c>
      <c r="Q515" t="s" s="10">
        <v>78</v>
      </c>
      <c r="R515" t="s" s="10">
        <v>83</v>
      </c>
      <c r="S515" s="11"/>
      <c r="T515" t="s" s="10">
        <v>69</v>
      </c>
      <c r="U515" s="11"/>
      <c r="V515" t="s" s="10">
        <v>69</v>
      </c>
      <c r="W515" s="11"/>
      <c r="X515" t="s" s="10">
        <v>69</v>
      </c>
      <c r="Y515" s="11"/>
      <c r="Z515" t="s" s="10">
        <v>552</v>
      </c>
      <c r="AA515" s="11"/>
      <c r="AB515" t="s" s="10">
        <v>1551</v>
      </c>
      <c r="AC515" s="11"/>
      <c r="AD515" s="11"/>
      <c r="AE515" s="11"/>
      <c r="AF515" s="11"/>
      <c r="AG515" t="s" s="10">
        <v>299</v>
      </c>
      <c r="AH515" t="s" s="10">
        <v>289</v>
      </c>
      <c r="AI515" t="s" s="10">
        <v>440</v>
      </c>
      <c r="AJ515" s="11"/>
      <c r="AK515" t="s" s="10">
        <v>524</v>
      </c>
      <c r="AL515" t="s" s="10">
        <v>293</v>
      </c>
      <c r="AM515" t="s" s="10">
        <v>294</v>
      </c>
      <c r="AN515" t="s" s="10">
        <v>1615</v>
      </c>
      <c r="AO515" s="18">
        <v>2</v>
      </c>
      <c r="AP515" s="18">
        <v>16384</v>
      </c>
      <c r="AQ515" s="18">
        <v>262347</v>
      </c>
      <c r="AR515" s="18">
        <v>117052</v>
      </c>
      <c r="AS515" t="s" s="10">
        <v>1917</v>
      </c>
      <c r="AT515" s="11"/>
      <c r="AU515" s="11"/>
      <c r="AV515" s="11"/>
      <c r="AW515" t="s" s="10">
        <v>1918</v>
      </c>
      <c r="AX515" s="11"/>
      <c r="AY515" s="11"/>
      <c r="AZ515" s="11"/>
      <c r="BA515" s="11"/>
      <c r="BB515" s="11"/>
      <c r="BC515" s="11"/>
      <c r="BD515" s="11"/>
      <c r="BE515" s="11"/>
      <c r="BF515" s="11"/>
      <c r="BG515" s="11"/>
      <c r="BH515" s="11"/>
      <c r="BI515" s="11"/>
      <c r="BJ515" s="11"/>
      <c r="BK515" s="11"/>
      <c r="BL515" s="11"/>
      <c r="BM515" s="11"/>
      <c r="BN515" t="s" s="10">
        <v>78</v>
      </c>
      <c r="BO515" s="12"/>
      <c r="BP515" s="8"/>
    </row>
    <row r="516" ht="15" customHeight="1" hidden="1">
      <c r="A516" t="s" s="13">
        <v>1919</v>
      </c>
      <c r="B516" s="14"/>
      <c r="C516" t="str" s="14" cm="1">
        <f t="array" ref="C516">_xlfn.IFERROR((VLOOKUP(A516,#REF!,2,FALSE)),"")</f>
      </c>
      <c r="D516" s="14"/>
      <c r="E516" s="14"/>
      <c r="F516" s="14"/>
      <c r="G516" t="s" s="15">
        <v>1920</v>
      </c>
      <c r="H516" t="s" s="15">
        <v>524</v>
      </c>
      <c r="I516" t="s" s="15">
        <v>111</v>
      </c>
      <c r="J516" t="s" s="15">
        <v>322</v>
      </c>
      <c r="K516" t="s" s="15">
        <v>113</v>
      </c>
      <c r="L516" t="s" s="15">
        <v>518</v>
      </c>
      <c r="M516" t="s" s="15">
        <v>1920</v>
      </c>
      <c r="N516" t="s" s="15">
        <v>1920</v>
      </c>
      <c r="O516" s="14"/>
      <c r="P516" t="s" s="15">
        <v>322</v>
      </c>
      <c r="Q516" t="s" s="15">
        <v>78</v>
      </c>
      <c r="R516" t="s" s="15">
        <v>323</v>
      </c>
      <c r="S516" s="14"/>
      <c r="T516" t="s" s="15">
        <v>69</v>
      </c>
      <c r="U516" s="14"/>
      <c r="V516" t="s" s="15">
        <v>69</v>
      </c>
      <c r="W516" s="14"/>
      <c r="X516" t="s" s="15">
        <v>69</v>
      </c>
      <c r="Y516" s="14"/>
      <c r="Z516" t="s" s="15">
        <v>552</v>
      </c>
      <c r="AA516" s="14"/>
      <c r="AB516" t="s" s="15">
        <v>1551</v>
      </c>
      <c r="AC516" s="14"/>
      <c r="AD516" s="14"/>
      <c r="AE516" s="14"/>
      <c r="AF516" s="14"/>
      <c r="AG516" t="s" s="15">
        <v>299</v>
      </c>
      <c r="AH516" t="s" s="15">
        <v>289</v>
      </c>
      <c r="AI516" t="s" s="15">
        <v>76</v>
      </c>
      <c r="AJ516" t="s" s="15">
        <v>76</v>
      </c>
      <c r="AK516" t="s" s="15">
        <v>524</v>
      </c>
      <c r="AL516" t="s" s="15">
        <v>293</v>
      </c>
      <c r="AM516" t="s" s="15">
        <v>294</v>
      </c>
      <c r="AN516" t="s" s="15">
        <v>566</v>
      </c>
      <c r="AO516" s="17">
        <v>4</v>
      </c>
      <c r="AP516" s="17">
        <v>8192</v>
      </c>
      <c r="AQ516" s="17">
        <v>151644</v>
      </c>
      <c r="AR516" s="17">
        <v>151644</v>
      </c>
      <c r="AS516" t="s" s="15">
        <v>1921</v>
      </c>
      <c r="AT516" s="14"/>
      <c r="AU516" s="14"/>
      <c r="AV516" s="14"/>
      <c r="AW516" t="s" s="15">
        <v>1922</v>
      </c>
      <c r="AX516" s="14"/>
      <c r="AY516" s="14"/>
      <c r="AZ516" s="14"/>
      <c r="BA516" s="14"/>
      <c r="BB516" s="14"/>
      <c r="BC516" s="14"/>
      <c r="BD516" s="14"/>
      <c r="BE516" s="14"/>
      <c r="BF516" s="14"/>
      <c r="BG516" s="14"/>
      <c r="BH516" s="14"/>
      <c r="BI516" s="14"/>
      <c r="BJ516" s="14"/>
      <c r="BK516" s="14"/>
      <c r="BL516" s="14"/>
      <c r="BM516" s="14"/>
      <c r="BN516" t="s" s="15">
        <v>78</v>
      </c>
      <c r="BO516" s="16"/>
      <c r="BP516" s="8"/>
    </row>
    <row r="517" ht="9" customHeight="1" hidden="1">
      <c r="A517" t="s" s="9">
        <v>1923</v>
      </c>
      <c r="B517" s="11"/>
      <c r="C517" t="str" s="11" cm="1">
        <f t="array" ref="C517">_xlfn.IFERROR((VLOOKUP(A517,#REF!,2,FALSE)),"")</f>
      </c>
      <c r="D517" s="11"/>
      <c r="E517" s="11"/>
      <c r="F517" s="11"/>
      <c r="G517" t="s" s="10">
        <v>1924</v>
      </c>
      <c r="H517" t="s" s="10">
        <v>524</v>
      </c>
      <c r="I517" t="s" s="10">
        <v>111</v>
      </c>
      <c r="J517" t="s" s="10">
        <v>322</v>
      </c>
      <c r="K517" t="s" s="10">
        <v>113</v>
      </c>
      <c r="L517" t="s" s="10">
        <v>518</v>
      </c>
      <c r="M517" t="s" s="10">
        <v>1924</v>
      </c>
      <c r="N517" t="s" s="10">
        <v>1924</v>
      </c>
      <c r="O517" s="11"/>
      <c r="P517" t="s" s="10">
        <v>322</v>
      </c>
      <c r="Q517" t="s" s="10">
        <v>78</v>
      </c>
      <c r="R517" t="s" s="10">
        <v>323</v>
      </c>
      <c r="S517" s="11"/>
      <c r="T517" t="s" s="10">
        <v>69</v>
      </c>
      <c r="U517" s="11"/>
      <c r="V517" t="s" s="10">
        <v>69</v>
      </c>
      <c r="W517" s="11"/>
      <c r="X517" t="s" s="10">
        <v>69</v>
      </c>
      <c r="Y517" s="11"/>
      <c r="Z517" t="s" s="10">
        <v>552</v>
      </c>
      <c r="AA517" s="11"/>
      <c r="AB517" t="s" s="10">
        <v>1551</v>
      </c>
      <c r="AC517" s="11"/>
      <c r="AD517" s="11"/>
      <c r="AE517" s="11"/>
      <c r="AF517" s="11"/>
      <c r="AG517" t="s" s="10">
        <v>299</v>
      </c>
      <c r="AH517" t="s" s="10">
        <v>289</v>
      </c>
      <c r="AI517" t="s" s="10">
        <v>76</v>
      </c>
      <c r="AJ517" t="s" s="10">
        <v>76</v>
      </c>
      <c r="AK517" t="s" s="10">
        <v>524</v>
      </c>
      <c r="AL517" t="s" s="10">
        <v>293</v>
      </c>
      <c r="AM517" t="s" s="10">
        <v>294</v>
      </c>
      <c r="AN517" t="s" s="10">
        <v>133</v>
      </c>
      <c r="AO517" s="18">
        <v>8</v>
      </c>
      <c r="AP517" s="18">
        <v>16384</v>
      </c>
      <c r="AQ517" s="18">
        <v>170195</v>
      </c>
      <c r="AR517" s="18">
        <v>170195</v>
      </c>
      <c r="AS517" t="s" s="10">
        <v>1925</v>
      </c>
      <c r="AT517" s="11"/>
      <c r="AU517" s="11"/>
      <c r="AV517" s="11"/>
      <c r="AW517" t="s" s="10">
        <v>1926</v>
      </c>
      <c r="AX517" s="11"/>
      <c r="AY517" s="11"/>
      <c r="AZ517" s="11"/>
      <c r="BA517" s="11"/>
      <c r="BB517" s="11"/>
      <c r="BC517" s="11"/>
      <c r="BD517" s="11"/>
      <c r="BE517" s="11"/>
      <c r="BF517" s="11"/>
      <c r="BG517" s="11"/>
      <c r="BH517" s="11"/>
      <c r="BI517" s="11"/>
      <c r="BJ517" s="11"/>
      <c r="BK517" s="11"/>
      <c r="BL517" s="11"/>
      <c r="BM517" s="11"/>
      <c r="BN517" t="s" s="10">
        <v>78</v>
      </c>
      <c r="BO517" s="12"/>
      <c r="BP517" s="8"/>
    </row>
    <row r="518" ht="15" customHeight="1" hidden="1">
      <c r="A518" t="s" s="13">
        <v>1927</v>
      </c>
      <c r="B518" s="14"/>
      <c r="C518" t="str" s="14" cm="1">
        <f t="array" ref="C518">_xlfn.IFERROR((VLOOKUP(A518,#REF!,2,FALSE)),"")</f>
      </c>
      <c r="D518" s="14"/>
      <c r="E518" t="s" s="15">
        <v>1928</v>
      </c>
      <c r="F518" s="14"/>
      <c r="G518" t="s" s="15">
        <v>1929</v>
      </c>
      <c r="H518" t="s" s="15">
        <v>1930</v>
      </c>
      <c r="I518" t="s" s="15">
        <v>111</v>
      </c>
      <c r="J518" t="s" s="15">
        <v>122</v>
      </c>
      <c r="K518" t="s" s="15">
        <v>113</v>
      </c>
      <c r="L518" t="s" s="15">
        <v>1445</v>
      </c>
      <c r="M518" t="s" s="15">
        <v>1931</v>
      </c>
      <c r="N518" t="s" s="15">
        <v>1931</v>
      </c>
      <c r="O518" t="s" s="15">
        <v>71</v>
      </c>
      <c r="P518" t="s" s="15">
        <v>122</v>
      </c>
      <c r="Q518" t="s" s="15">
        <v>69</v>
      </c>
      <c r="R518" t="s" s="15">
        <v>83</v>
      </c>
      <c r="S518" t="s" s="15">
        <v>69</v>
      </c>
      <c r="T518" s="14"/>
      <c r="U518" s="14"/>
      <c r="V518" t="s" s="15">
        <v>69</v>
      </c>
      <c r="W518" s="14"/>
      <c r="X518" t="s" s="15">
        <v>69</v>
      </c>
      <c r="Y518" s="14"/>
      <c r="Z518" t="s" s="15">
        <v>436</v>
      </c>
      <c r="AA518" s="14"/>
      <c r="AB518" t="s" s="15">
        <v>1446</v>
      </c>
      <c r="AC518" t="s" s="15">
        <v>1927</v>
      </c>
      <c r="AD518" s="14"/>
      <c r="AE518" s="14"/>
      <c r="AF518" s="14"/>
      <c r="AG518" t="s" s="15">
        <v>299</v>
      </c>
      <c r="AH518" t="s" s="15">
        <v>114</v>
      </c>
      <c r="AI518" s="14"/>
      <c r="AJ518" s="14"/>
      <c r="AK518" t="s" s="15">
        <v>79</v>
      </c>
      <c r="AL518" t="s" s="15">
        <v>293</v>
      </c>
      <c r="AM518" t="s" s="15">
        <v>294</v>
      </c>
      <c r="AN518" t="s" s="15">
        <v>128</v>
      </c>
      <c r="AO518" s="17">
        <v>8</v>
      </c>
      <c r="AP518" s="17">
        <v>16384</v>
      </c>
      <c r="AQ518" s="17">
        <v>528702</v>
      </c>
      <c r="AR518" s="17">
        <v>528702</v>
      </c>
      <c r="AS518" t="s" s="15">
        <v>1932</v>
      </c>
      <c r="AT518" s="14"/>
      <c r="AU518" s="14"/>
      <c r="AV518" s="14"/>
      <c r="AW518" s="14"/>
      <c r="AX518" s="14"/>
      <c r="AY518" s="14"/>
      <c r="AZ518" s="14"/>
      <c r="BA518" s="14"/>
      <c r="BB518" s="14"/>
      <c r="BC518" s="14"/>
      <c r="BD518" t="s" s="15">
        <v>310</v>
      </c>
      <c r="BE518" t="s" s="15">
        <v>311</v>
      </c>
      <c r="BF518" s="17">
        <v>8</v>
      </c>
      <c r="BG518" s="17">
        <v>16</v>
      </c>
      <c r="BH518" s="14"/>
      <c r="BI518" s="14"/>
      <c r="BJ518" s="14"/>
      <c r="BK518" s="14"/>
      <c r="BL518" s="14"/>
      <c r="BM518" s="14"/>
      <c r="BN518" t="s" s="15">
        <v>78</v>
      </c>
      <c r="BO518" s="16"/>
      <c r="BP518" s="8"/>
    </row>
    <row r="519" ht="15" customHeight="1" hidden="1">
      <c r="A519" t="s" s="9">
        <v>1933</v>
      </c>
      <c r="B519" s="11"/>
      <c r="C519" t="str" s="11" cm="1">
        <f t="array" ref="C519">_xlfn.IFERROR((VLOOKUP(A519,#REF!,2,FALSE)),"")</f>
      </c>
      <c r="D519" s="11"/>
      <c r="E519" s="11"/>
      <c r="F519" s="11"/>
      <c r="G519" t="s" s="10">
        <v>1934</v>
      </c>
      <c r="H519" t="s" s="10">
        <v>524</v>
      </c>
      <c r="I519" t="s" s="10">
        <v>111</v>
      </c>
      <c r="J519" t="s" s="10">
        <v>112</v>
      </c>
      <c r="K519" t="s" s="10">
        <v>113</v>
      </c>
      <c r="L519" t="s" s="10">
        <v>518</v>
      </c>
      <c r="M519" t="s" s="10">
        <v>1934</v>
      </c>
      <c r="N519" t="s" s="10">
        <v>1934</v>
      </c>
      <c r="O519" s="11"/>
      <c r="P519" t="s" s="10">
        <v>112</v>
      </c>
      <c r="Q519" t="s" s="10">
        <v>69</v>
      </c>
      <c r="R519" t="s" s="10">
        <v>83</v>
      </c>
      <c r="S519" s="11"/>
      <c r="T519" t="s" s="10">
        <v>69</v>
      </c>
      <c r="U519" s="11"/>
      <c r="V519" t="s" s="10">
        <v>69</v>
      </c>
      <c r="W519" s="11"/>
      <c r="X519" t="s" s="10">
        <v>69</v>
      </c>
      <c r="Y519" s="11"/>
      <c r="Z519" t="s" s="10">
        <v>552</v>
      </c>
      <c r="AA519" s="11"/>
      <c r="AB519" t="s" s="10">
        <v>1551</v>
      </c>
      <c r="AC519" t="s" s="10">
        <v>1933</v>
      </c>
      <c r="AD519" t="s" s="10">
        <v>1935</v>
      </c>
      <c r="AE519" s="11"/>
      <c r="AF519" s="11"/>
      <c r="AG519" t="s" s="10">
        <v>299</v>
      </c>
      <c r="AH519" t="s" s="10">
        <v>289</v>
      </c>
      <c r="AI519" t="s" s="10">
        <v>76</v>
      </c>
      <c r="AJ519" t="s" s="10">
        <v>76</v>
      </c>
      <c r="AK519" t="s" s="10">
        <v>524</v>
      </c>
      <c r="AL519" t="s" s="10">
        <v>293</v>
      </c>
      <c r="AM519" t="s" s="10">
        <v>294</v>
      </c>
      <c r="AN519" t="s" s="10">
        <v>128</v>
      </c>
      <c r="AO519" s="18">
        <v>4</v>
      </c>
      <c r="AP519" s="18">
        <v>8192</v>
      </c>
      <c r="AQ519" s="18">
        <v>161914</v>
      </c>
      <c r="AR519" s="18">
        <v>51652</v>
      </c>
      <c r="AS519" t="s" s="10">
        <v>1936</v>
      </c>
      <c r="AT519" s="11"/>
      <c r="AU519" s="11"/>
      <c r="AV519" s="11"/>
      <c r="AW519" t="s" s="10">
        <v>1937</v>
      </c>
      <c r="AX519" s="11"/>
      <c r="AY519" s="11"/>
      <c r="AZ519" s="11"/>
      <c r="BA519" s="11"/>
      <c r="BB519" s="11"/>
      <c r="BC519" s="11"/>
      <c r="BD519" s="11"/>
      <c r="BE519" s="11"/>
      <c r="BF519" s="11"/>
      <c r="BG519" s="11"/>
      <c r="BH519" s="11"/>
      <c r="BI519" s="11"/>
      <c r="BJ519" s="11"/>
      <c r="BK519" s="11"/>
      <c r="BL519" s="11"/>
      <c r="BM519" s="11"/>
      <c r="BN519" t="s" s="10">
        <v>78</v>
      </c>
      <c r="BO519" s="12"/>
      <c r="BP519" s="8"/>
    </row>
    <row r="520" ht="9" customHeight="1" hidden="1">
      <c r="A520" t="s" s="13">
        <v>1938</v>
      </c>
      <c r="B520" s="14"/>
      <c r="C520" t="str" s="14" cm="1">
        <f t="array" ref="C520">_xlfn.IFERROR((VLOOKUP(A520,#REF!,2,FALSE)),"")</f>
      </c>
      <c r="D520" s="14"/>
      <c r="E520" t="s" s="15">
        <v>1939</v>
      </c>
      <c r="F520" t="s" s="15">
        <v>1940</v>
      </c>
      <c r="G520" t="s" s="15">
        <v>1941</v>
      </c>
      <c r="H520" t="s" s="15">
        <v>1942</v>
      </c>
      <c r="I520" t="s" s="15">
        <v>111</v>
      </c>
      <c r="J520" t="s" s="15">
        <v>112</v>
      </c>
      <c r="K520" t="s" s="15">
        <v>113</v>
      </c>
      <c r="L520" t="s" s="15">
        <v>826</v>
      </c>
      <c r="M520" t="s" s="15">
        <v>1941</v>
      </c>
      <c r="N520" t="s" s="15">
        <v>1941</v>
      </c>
      <c r="O520" t="s" s="15">
        <v>517</v>
      </c>
      <c r="P520" t="s" s="15">
        <v>112</v>
      </c>
      <c r="Q520" t="s" s="15">
        <v>69</v>
      </c>
      <c r="R520" t="s" s="15">
        <v>83</v>
      </c>
      <c r="S520" s="14"/>
      <c r="T520" s="14"/>
      <c r="U520" s="14"/>
      <c r="V520" t="s" s="15">
        <v>69</v>
      </c>
      <c r="W520" s="14"/>
      <c r="X520" t="s" s="15">
        <v>69</v>
      </c>
      <c r="Y520" s="14"/>
      <c r="Z520" t="s" s="15">
        <v>205</v>
      </c>
      <c r="AA520" s="14"/>
      <c r="AB520" t="s" s="15">
        <v>520</v>
      </c>
      <c r="AC520" t="s" s="24">
        <v>1938</v>
      </c>
      <c r="AD520" t="s" s="15">
        <v>1943</v>
      </c>
      <c r="AE520" s="14"/>
      <c r="AF520" s="14"/>
      <c r="AG520" t="s" s="15">
        <v>299</v>
      </c>
      <c r="AH520" t="s" s="15">
        <v>114</v>
      </c>
      <c r="AI520" t="s" s="15">
        <v>290</v>
      </c>
      <c r="AJ520" t="s" s="15">
        <v>405</v>
      </c>
      <c r="AK520" t="s" s="15">
        <v>1195</v>
      </c>
      <c r="AL520" t="s" s="15">
        <v>293</v>
      </c>
      <c r="AM520" t="s" s="15">
        <v>294</v>
      </c>
      <c r="AN520" t="s" s="15">
        <v>128</v>
      </c>
      <c r="AO520" s="17">
        <v>4</v>
      </c>
      <c r="AP520" s="17">
        <v>4096</v>
      </c>
      <c r="AQ520" s="17">
        <v>157783</v>
      </c>
      <c r="AR520" s="17">
        <v>126726</v>
      </c>
      <c r="AS520" t="s" s="15">
        <v>1944</v>
      </c>
      <c r="AT520" t="s" s="15">
        <v>301</v>
      </c>
      <c r="AU520" t="s" s="15">
        <v>1174</v>
      </c>
      <c r="AV520" t="s" s="15">
        <v>83</v>
      </c>
      <c r="AW520" t="s" s="15">
        <v>83</v>
      </c>
      <c r="AX520" t="s" s="15">
        <v>83</v>
      </c>
      <c r="AY520" t="s" s="15">
        <v>309</v>
      </c>
      <c r="AZ520" t="s" s="15">
        <v>83</v>
      </c>
      <c r="BA520" t="s" s="15">
        <v>76</v>
      </c>
      <c r="BB520" t="s" s="15">
        <v>76</v>
      </c>
      <c r="BC520" t="s" s="15">
        <v>76</v>
      </c>
      <c r="BD520" t="s" s="15">
        <v>310</v>
      </c>
      <c r="BE520" t="s" s="15">
        <v>356</v>
      </c>
      <c r="BF520" s="17">
        <v>4</v>
      </c>
      <c r="BG520" s="17">
        <v>8</v>
      </c>
      <c r="BH520" t="s" s="15">
        <v>83</v>
      </c>
      <c r="BI520" t="s" s="15">
        <v>83</v>
      </c>
      <c r="BJ520" t="s" s="15">
        <v>83</v>
      </c>
      <c r="BK520" t="s" s="15">
        <v>83</v>
      </c>
      <c r="BL520" t="s" s="15">
        <v>83</v>
      </c>
      <c r="BM520" t="s" s="15">
        <v>312</v>
      </c>
      <c r="BN520" t="s" s="15">
        <v>78</v>
      </c>
      <c r="BO520" t="s" s="21">
        <v>76</v>
      </c>
      <c r="BP520" s="8"/>
    </row>
    <row r="521" ht="15" customHeight="1" hidden="1">
      <c r="A521" t="s" s="9">
        <v>1945</v>
      </c>
      <c r="B521" s="11"/>
      <c r="C521" t="str" s="11" cm="1">
        <f t="array" ref="C521">_xlfn.IFERROR((VLOOKUP(A521,#REF!,2,FALSE)),"")</f>
      </c>
      <c r="D521" s="11"/>
      <c r="E521" s="11"/>
      <c r="F521" s="11"/>
      <c r="G521" t="s" s="10">
        <v>1946</v>
      </c>
      <c r="H521" t="s" s="10">
        <v>524</v>
      </c>
      <c r="I521" t="s" s="10">
        <v>111</v>
      </c>
      <c r="J521" t="s" s="10">
        <v>122</v>
      </c>
      <c r="K521" t="s" s="10">
        <v>113</v>
      </c>
      <c r="L521" t="s" s="10">
        <v>518</v>
      </c>
      <c r="M521" t="s" s="10">
        <v>1946</v>
      </c>
      <c r="N521" t="s" s="10">
        <v>1946</v>
      </c>
      <c r="O521" s="11"/>
      <c r="P521" t="s" s="10">
        <v>122</v>
      </c>
      <c r="Q521" t="s" s="10">
        <v>69</v>
      </c>
      <c r="R521" t="s" s="10">
        <v>83</v>
      </c>
      <c r="S521" s="11"/>
      <c r="T521" t="s" s="10">
        <v>69</v>
      </c>
      <c r="U521" s="11"/>
      <c r="V521" t="s" s="10">
        <v>69</v>
      </c>
      <c r="W521" s="11"/>
      <c r="X521" t="s" s="10">
        <v>69</v>
      </c>
      <c r="Y521" s="11"/>
      <c r="Z521" t="s" s="10">
        <v>552</v>
      </c>
      <c r="AA521" s="11"/>
      <c r="AB521" t="s" s="10">
        <v>1551</v>
      </c>
      <c r="AC521" t="s" s="10">
        <v>1945</v>
      </c>
      <c r="AD521" s="11"/>
      <c r="AE521" s="11"/>
      <c r="AF521" s="11"/>
      <c r="AG521" t="s" s="10">
        <v>299</v>
      </c>
      <c r="AH521" t="s" s="10">
        <v>289</v>
      </c>
      <c r="AI521" t="s" s="10">
        <v>76</v>
      </c>
      <c r="AJ521" t="s" s="10">
        <v>76</v>
      </c>
      <c r="AK521" t="s" s="10">
        <v>524</v>
      </c>
      <c r="AL521" t="s" s="10">
        <v>293</v>
      </c>
      <c r="AM521" t="s" s="10">
        <v>294</v>
      </c>
      <c r="AN521" t="s" s="10">
        <v>128</v>
      </c>
      <c r="AO521" s="18">
        <v>4</v>
      </c>
      <c r="AP521" s="18">
        <v>16384</v>
      </c>
      <c r="AQ521" s="18">
        <v>170827</v>
      </c>
      <c r="AR521" s="18">
        <v>170827</v>
      </c>
      <c r="AS521" t="s" s="10">
        <v>1947</v>
      </c>
      <c r="AT521" s="11"/>
      <c r="AU521" s="11"/>
      <c r="AV521" s="11"/>
      <c r="AW521" t="s" s="10">
        <v>1948</v>
      </c>
      <c r="AX521" s="11"/>
      <c r="AY521" s="11"/>
      <c r="AZ521" s="11"/>
      <c r="BA521" s="11"/>
      <c r="BB521" s="11"/>
      <c r="BC521" s="11"/>
      <c r="BD521" t="s" s="10">
        <v>310</v>
      </c>
      <c r="BE521" t="s" s="10">
        <v>356</v>
      </c>
      <c r="BF521" s="28">
        <v>2</v>
      </c>
      <c r="BG521" s="28">
        <v>8</v>
      </c>
      <c r="BH521" s="11"/>
      <c r="BI521" s="11"/>
      <c r="BJ521" s="11"/>
      <c r="BK521" s="11"/>
      <c r="BL521" s="11"/>
      <c r="BM521" s="11"/>
      <c r="BN521" t="s" s="10">
        <v>69</v>
      </c>
      <c r="BO521" s="12"/>
      <c r="BP521" s="8"/>
    </row>
    <row r="522" ht="9" customHeight="1" hidden="1">
      <c r="A522" t="s" s="13">
        <v>1949</v>
      </c>
      <c r="B522" s="14"/>
      <c r="C522" t="str" s="14" cm="1">
        <f t="array" ref="C522">_xlfn.IFERROR((VLOOKUP(A522,#REF!,2,FALSE)),"")</f>
      </c>
      <c r="D522" s="14"/>
      <c r="E522" t="s" s="15">
        <v>1950</v>
      </c>
      <c r="F522" s="14"/>
      <c r="G522" t="s" s="15">
        <v>1951</v>
      </c>
      <c r="H522" t="s" s="15">
        <v>1952</v>
      </c>
      <c r="I522" t="s" s="15">
        <v>111</v>
      </c>
      <c r="J522" t="s" s="15">
        <v>112</v>
      </c>
      <c r="K522" t="s" s="15">
        <v>113</v>
      </c>
      <c r="L522" t="s" s="15">
        <v>76</v>
      </c>
      <c r="M522" t="s" s="15">
        <v>1951</v>
      </c>
      <c r="N522" t="s" s="15">
        <v>1951</v>
      </c>
      <c r="O522" s="14"/>
      <c r="P522" t="s" s="15">
        <v>112</v>
      </c>
      <c r="Q522" t="s" s="15">
        <v>69</v>
      </c>
      <c r="R522" t="s" s="15">
        <v>83</v>
      </c>
      <c r="S522" s="14"/>
      <c r="T522" t="s" s="15">
        <v>69</v>
      </c>
      <c r="U522" s="14"/>
      <c r="V522" t="s" s="15">
        <v>69</v>
      </c>
      <c r="W522" s="14"/>
      <c r="X522" t="s" s="15">
        <v>69</v>
      </c>
      <c r="Y522" s="14"/>
      <c r="Z522" t="s" s="15">
        <v>76</v>
      </c>
      <c r="AA522" s="14"/>
      <c r="AB522" t="s" s="15">
        <v>76</v>
      </c>
      <c r="AC522" t="s" s="15">
        <v>1949</v>
      </c>
      <c r="AD522" t="s" s="15">
        <v>1953</v>
      </c>
      <c r="AE522" s="14"/>
      <c r="AF522" s="14"/>
      <c r="AG522" t="s" s="15">
        <v>299</v>
      </c>
      <c r="AH522" t="s" s="15">
        <v>114</v>
      </c>
      <c r="AI522" t="s" s="15">
        <v>76</v>
      </c>
      <c r="AJ522" t="s" s="15">
        <v>76</v>
      </c>
      <c r="AK522" t="s" s="15">
        <v>524</v>
      </c>
      <c r="AL522" t="s" s="15">
        <v>293</v>
      </c>
      <c r="AM522" t="s" s="15">
        <v>294</v>
      </c>
      <c r="AN522" t="s" s="15">
        <v>1770</v>
      </c>
      <c r="AO522" s="17">
        <v>4</v>
      </c>
      <c r="AP522" s="17">
        <v>4096</v>
      </c>
      <c r="AQ522" s="17">
        <v>75860</v>
      </c>
      <c r="AR522" s="17">
        <v>60728</v>
      </c>
      <c r="AS522" t="s" s="15">
        <v>1954</v>
      </c>
      <c r="AT522" t="s" s="15">
        <v>301</v>
      </c>
      <c r="AU522" s="14"/>
      <c r="AV522" s="14"/>
      <c r="AW522" s="14"/>
      <c r="AX522" s="14"/>
      <c r="AY522" s="14"/>
      <c r="AZ522" s="14"/>
      <c r="BA522" s="14"/>
      <c r="BB522" s="14"/>
      <c r="BC522" s="14"/>
      <c r="BD522" t="s" s="15">
        <v>310</v>
      </c>
      <c r="BE522" t="s" s="15">
        <v>356</v>
      </c>
      <c r="BF522" s="17">
        <v>4</v>
      </c>
      <c r="BG522" s="17">
        <v>8</v>
      </c>
      <c r="BH522" s="14"/>
      <c r="BI522" s="14"/>
      <c r="BJ522" s="14"/>
      <c r="BK522" s="14"/>
      <c r="BL522" s="14"/>
      <c r="BM522" s="14"/>
      <c r="BN522" t="s" s="15">
        <v>78</v>
      </c>
      <c r="BO522" s="16"/>
      <c r="BP522" s="8"/>
    </row>
    <row r="523" ht="9" customHeight="1" hidden="1">
      <c r="A523" t="s" s="9">
        <v>1955</v>
      </c>
      <c r="B523" s="11"/>
      <c r="C523" t="str" s="11" cm="1">
        <f t="array" ref="C523">_xlfn.IFERROR((VLOOKUP(A523,#REF!,2,FALSE)),"")</f>
      </c>
      <c r="D523" s="11"/>
      <c r="E523" t="s" s="10">
        <v>1956</v>
      </c>
      <c r="F523" s="11"/>
      <c r="G523" t="s" s="10">
        <v>1957</v>
      </c>
      <c r="H523" t="s" s="10">
        <v>1958</v>
      </c>
      <c r="I523" t="s" s="10">
        <v>111</v>
      </c>
      <c r="J523" t="s" s="10">
        <v>112</v>
      </c>
      <c r="K523" t="s" s="10">
        <v>113</v>
      </c>
      <c r="L523" t="s" s="10">
        <v>76</v>
      </c>
      <c r="M523" t="s" s="10">
        <v>1957</v>
      </c>
      <c r="N523" t="s" s="10">
        <v>1957</v>
      </c>
      <c r="O523" s="11"/>
      <c r="P523" t="s" s="10">
        <v>112</v>
      </c>
      <c r="Q523" t="s" s="10">
        <v>78</v>
      </c>
      <c r="R523" t="s" s="10">
        <v>83</v>
      </c>
      <c r="S523" s="11"/>
      <c r="T523" t="s" s="10">
        <v>69</v>
      </c>
      <c r="U523" s="11"/>
      <c r="V523" t="s" s="10">
        <v>69</v>
      </c>
      <c r="W523" s="11"/>
      <c r="X523" t="s" s="10">
        <v>69</v>
      </c>
      <c r="Y523" s="11"/>
      <c r="Z523" t="s" s="10">
        <v>76</v>
      </c>
      <c r="AA523" s="11"/>
      <c r="AB523" t="s" s="10">
        <v>76</v>
      </c>
      <c r="AC523" s="11"/>
      <c r="AD523" s="11"/>
      <c r="AE523" s="11"/>
      <c r="AF523" s="11"/>
      <c r="AG523" t="s" s="10">
        <v>299</v>
      </c>
      <c r="AH523" s="11"/>
      <c r="AI523" t="s" s="10">
        <v>76</v>
      </c>
      <c r="AJ523" t="s" s="10">
        <v>76</v>
      </c>
      <c r="AK523" t="s" s="10">
        <v>524</v>
      </c>
      <c r="AL523" t="s" s="10">
        <v>293</v>
      </c>
      <c r="AM523" t="s" s="10">
        <v>294</v>
      </c>
      <c r="AN523" t="s" s="10">
        <v>142</v>
      </c>
      <c r="AO523" s="18">
        <v>4</v>
      </c>
      <c r="AP523" s="18">
        <v>4096</v>
      </c>
      <c r="AQ523" s="18">
        <v>45140</v>
      </c>
      <c r="AR523" s="18">
        <v>28562</v>
      </c>
      <c r="AS523" t="s" s="10">
        <v>1959</v>
      </c>
      <c r="AT523" t="s" s="10">
        <v>301</v>
      </c>
      <c r="AU523" s="11"/>
      <c r="AV523" s="11"/>
      <c r="AW523" s="11"/>
      <c r="AX523" s="11"/>
      <c r="AY523" s="11"/>
      <c r="AZ523" s="11"/>
      <c r="BA523" s="11"/>
      <c r="BB523" s="11"/>
      <c r="BC523" s="11"/>
      <c r="BD523" t="s" s="10">
        <v>366</v>
      </c>
      <c r="BE523" t="s" s="10">
        <v>394</v>
      </c>
      <c r="BF523" s="28">
        <v>2</v>
      </c>
      <c r="BG523" s="28">
        <v>8</v>
      </c>
      <c r="BH523" s="11"/>
      <c r="BI523" s="11"/>
      <c r="BJ523" s="11"/>
      <c r="BK523" s="11"/>
      <c r="BL523" s="11"/>
      <c r="BM523" s="11"/>
      <c r="BN523" t="s" s="10">
        <v>78</v>
      </c>
      <c r="BO523" s="12"/>
      <c r="BP523" s="8"/>
    </row>
    <row r="524" ht="9" customHeight="1" hidden="1">
      <c r="A524" t="s" s="13">
        <v>1960</v>
      </c>
      <c r="B524" s="14"/>
      <c r="C524" t="str" s="14" cm="1">
        <f t="array" ref="C524">_xlfn.IFERROR((VLOOKUP(A524,#REF!,2,FALSE)),"")</f>
      </c>
      <c r="D524" t="s" s="15">
        <v>70</v>
      </c>
      <c r="E524" t="s" s="15">
        <v>1961</v>
      </c>
      <c r="F524" t="s" s="15">
        <v>76</v>
      </c>
      <c r="G524" t="s" s="15">
        <v>1324</v>
      </c>
      <c r="H524" t="s" s="15">
        <v>1324</v>
      </c>
      <c r="I524" t="s" s="15">
        <v>111</v>
      </c>
      <c r="J524" t="s" s="15">
        <v>469</v>
      </c>
      <c r="K524" t="s" s="15">
        <v>113</v>
      </c>
      <c r="L524" t="s" s="15">
        <v>472</v>
      </c>
      <c r="M524" t="s" s="15">
        <v>1962</v>
      </c>
      <c r="N524" t="s" s="15">
        <v>1324</v>
      </c>
      <c r="O524" t="s" s="15">
        <v>1162</v>
      </c>
      <c r="P524" t="s" s="15">
        <v>469</v>
      </c>
      <c r="Q524" t="s" s="15">
        <v>69</v>
      </c>
      <c r="R524" t="s" s="15">
        <v>83</v>
      </c>
      <c r="S524" s="14"/>
      <c r="T524" s="14"/>
      <c r="U524" s="14"/>
      <c r="V524" t="s" s="15">
        <v>69</v>
      </c>
      <c r="W524" s="14"/>
      <c r="X524" t="s" s="15">
        <v>78</v>
      </c>
      <c r="Y524" s="14"/>
      <c r="Z524" t="s" s="15">
        <v>1327</v>
      </c>
      <c r="AA524" s="14"/>
      <c r="AB524" t="s" s="15">
        <v>472</v>
      </c>
      <c r="AC524" t="s" s="15">
        <v>1960</v>
      </c>
      <c r="AD524" t="s" s="15">
        <v>1963</v>
      </c>
      <c r="AE524" s="14"/>
      <c r="AF524" s="14"/>
      <c r="AG524" t="s" s="15">
        <v>299</v>
      </c>
      <c r="AH524" t="s" s="15">
        <v>114</v>
      </c>
      <c r="AI524" t="s" s="15">
        <v>76</v>
      </c>
      <c r="AJ524" t="s" s="15">
        <v>76</v>
      </c>
      <c r="AK524" t="s" s="15">
        <v>79</v>
      </c>
      <c r="AL524" t="s" s="15">
        <v>293</v>
      </c>
      <c r="AM524" t="s" s="15">
        <v>294</v>
      </c>
      <c r="AN524" t="s" s="15">
        <v>128</v>
      </c>
      <c r="AO524" s="17">
        <v>4</v>
      </c>
      <c r="AP524" s="17">
        <v>4096</v>
      </c>
      <c r="AQ524" s="17">
        <v>157787</v>
      </c>
      <c r="AR524" s="17">
        <v>157787</v>
      </c>
      <c r="AS524" t="s" s="15">
        <v>1964</v>
      </c>
      <c r="AT524" t="s" s="15">
        <v>301</v>
      </c>
      <c r="AU524" s="14"/>
      <c r="AV524" t="s" s="15">
        <v>76</v>
      </c>
      <c r="AW524" t="s" s="15">
        <v>83</v>
      </c>
      <c r="AX524" t="s" s="15">
        <v>83</v>
      </c>
      <c r="AY524" t="s" s="15">
        <v>309</v>
      </c>
      <c r="AZ524" t="s" s="15">
        <v>83</v>
      </c>
      <c r="BA524" t="s" s="15">
        <v>76</v>
      </c>
      <c r="BB524" t="s" s="15">
        <v>76</v>
      </c>
      <c r="BC524" t="s" s="15">
        <v>76</v>
      </c>
      <c r="BD524" t="s" s="15">
        <v>310</v>
      </c>
      <c r="BE524" t="s" s="15">
        <v>356</v>
      </c>
      <c r="BF524" s="17">
        <v>4</v>
      </c>
      <c r="BG524" s="17">
        <v>8</v>
      </c>
      <c r="BH524" t="s" s="15">
        <v>83</v>
      </c>
      <c r="BI524" t="s" s="15">
        <v>83</v>
      </c>
      <c r="BJ524" t="s" s="15">
        <v>83</v>
      </c>
      <c r="BK524" t="s" s="15">
        <v>83</v>
      </c>
      <c r="BL524" t="s" s="15">
        <v>83</v>
      </c>
      <c r="BM524" t="s" s="15">
        <v>312</v>
      </c>
      <c r="BN524" t="s" s="15">
        <v>78</v>
      </c>
      <c r="BO524" t="s" s="21">
        <v>76</v>
      </c>
      <c r="BP524" s="8"/>
    </row>
    <row r="525" ht="15" customHeight="1">
      <c r="A525" t="s" s="9">
        <v>1965</v>
      </c>
      <c r="B525" s="11"/>
      <c r="C525" t="str" s="11" cm="1">
        <f t="array" ref="C525">_xlfn.IFERROR((VLOOKUP(A525,#REF!,2,FALSE)),"")</f>
      </c>
      <c r="D525" s="11"/>
      <c r="E525" t="s" s="10">
        <v>1421</v>
      </c>
      <c r="F525" s="11"/>
      <c r="G525" t="s" s="10">
        <v>1966</v>
      </c>
      <c r="H525" t="s" s="10">
        <v>329</v>
      </c>
      <c r="I525" t="s" s="10">
        <v>111</v>
      </c>
      <c r="J525" t="s" s="10">
        <v>122</v>
      </c>
      <c r="K525" t="s" s="10">
        <v>210</v>
      </c>
      <c r="L525" t="s" s="10">
        <v>76</v>
      </c>
      <c r="M525" t="s" s="10">
        <v>1966</v>
      </c>
      <c r="N525" t="s" s="10">
        <v>1966</v>
      </c>
      <c r="O525" s="11"/>
      <c r="P525" t="s" s="10">
        <v>122</v>
      </c>
      <c r="Q525" t="s" s="10">
        <v>69</v>
      </c>
      <c r="R525" t="s" s="10">
        <v>83</v>
      </c>
      <c r="S525" s="11"/>
      <c r="T525" s="11"/>
      <c r="U525" s="11"/>
      <c r="V525" t="s" s="10">
        <v>69</v>
      </c>
      <c r="W525" s="11"/>
      <c r="X525" t="s" s="10">
        <v>69</v>
      </c>
      <c r="Y525" s="11"/>
      <c r="Z525" t="s" s="10">
        <v>205</v>
      </c>
      <c r="AA525" s="11"/>
      <c r="AB525" t="s" s="10">
        <v>330</v>
      </c>
      <c r="AC525" t="s" s="10">
        <v>1965</v>
      </c>
      <c r="AD525" t="s" s="10">
        <v>1967</v>
      </c>
      <c r="AE525" s="11"/>
      <c r="AF525" t="s" s="10">
        <v>329</v>
      </c>
      <c r="AG525" t="s" s="10">
        <v>299</v>
      </c>
      <c r="AH525" t="s" s="10">
        <v>114</v>
      </c>
      <c r="AI525" t="s" s="10">
        <v>332</v>
      </c>
      <c r="AJ525" t="s" s="10">
        <v>333</v>
      </c>
      <c r="AK525" t="s" s="10">
        <v>83</v>
      </c>
      <c r="AL525" t="s" s="10">
        <v>293</v>
      </c>
      <c r="AM525" t="s" s="10">
        <v>294</v>
      </c>
      <c r="AN525" t="s" s="10">
        <v>187</v>
      </c>
      <c r="AO525" s="18">
        <v>8</v>
      </c>
      <c r="AP525" s="18">
        <v>32768</v>
      </c>
      <c r="AQ525" s="18">
        <v>1868001</v>
      </c>
      <c r="AR525" s="18">
        <v>1868001</v>
      </c>
      <c r="AS525" t="s" s="10">
        <v>1968</v>
      </c>
      <c r="AT525" t="s" s="10">
        <v>301</v>
      </c>
      <c r="AU525" s="11"/>
      <c r="AV525" s="11"/>
      <c r="AW525" s="11"/>
      <c r="AX525" s="11"/>
      <c r="AY525" s="11"/>
      <c r="AZ525" s="11"/>
      <c r="BA525" s="11"/>
      <c r="BB525" s="11"/>
      <c r="BC525" s="11"/>
      <c r="BD525" t="s" s="10">
        <v>366</v>
      </c>
      <c r="BE525" t="s" s="10">
        <v>367</v>
      </c>
      <c r="BF525" s="18">
        <v>8</v>
      </c>
      <c r="BG525" s="18">
        <v>32</v>
      </c>
      <c r="BH525" s="11"/>
      <c r="BI525" s="11"/>
      <c r="BJ525" s="11"/>
      <c r="BK525" s="11"/>
      <c r="BL525" s="11"/>
      <c r="BM525" s="11"/>
      <c r="BN525" t="s" s="10">
        <v>69</v>
      </c>
      <c r="BO525" s="12"/>
      <c r="BP525" s="8"/>
    </row>
    <row r="526" ht="9" customHeight="1" hidden="1">
      <c r="A526" t="s" s="13">
        <v>1969</v>
      </c>
      <c r="B526" s="14"/>
      <c r="C526" t="str" s="14" cm="1">
        <f t="array" ref="C526">_xlfn.IFERROR((VLOOKUP(A526,#REF!,2,FALSE)),"")</f>
      </c>
      <c r="D526" s="14"/>
      <c r="E526" t="s" s="15">
        <v>1421</v>
      </c>
      <c r="F526" s="14"/>
      <c r="G526" t="s" s="15">
        <v>1970</v>
      </c>
      <c r="H526" t="s" s="15">
        <v>329</v>
      </c>
      <c r="I526" t="s" s="15">
        <v>111</v>
      </c>
      <c r="J526" t="s" s="15">
        <v>122</v>
      </c>
      <c r="K526" t="s" s="15">
        <v>210</v>
      </c>
      <c r="L526" t="s" s="15">
        <v>76</v>
      </c>
      <c r="M526" t="s" s="15">
        <v>1970</v>
      </c>
      <c r="N526" t="s" s="15">
        <v>1970</v>
      </c>
      <c r="O526" s="14"/>
      <c r="P526" t="s" s="15">
        <v>122</v>
      </c>
      <c r="Q526" t="s" s="15">
        <v>69</v>
      </c>
      <c r="R526" t="s" s="15">
        <v>83</v>
      </c>
      <c r="S526" s="14"/>
      <c r="T526" s="14"/>
      <c r="U526" s="14"/>
      <c r="V526" t="s" s="15">
        <v>69</v>
      </c>
      <c r="W526" s="14"/>
      <c r="X526" t="s" s="15">
        <v>69</v>
      </c>
      <c r="Y526" s="14"/>
      <c r="Z526" t="s" s="15">
        <v>205</v>
      </c>
      <c r="AA526" s="14"/>
      <c r="AB526" t="s" s="15">
        <v>330</v>
      </c>
      <c r="AC526" t="s" s="15">
        <v>1969</v>
      </c>
      <c r="AD526" t="s" s="15">
        <v>1971</v>
      </c>
      <c r="AE526" s="14"/>
      <c r="AF526" t="s" s="15">
        <v>329</v>
      </c>
      <c r="AG526" t="s" s="15">
        <v>299</v>
      </c>
      <c r="AH526" t="s" s="15">
        <v>114</v>
      </c>
      <c r="AI526" t="s" s="15">
        <v>332</v>
      </c>
      <c r="AJ526" t="s" s="15">
        <v>333</v>
      </c>
      <c r="AK526" t="s" s="15">
        <v>83</v>
      </c>
      <c r="AL526" t="s" s="15">
        <v>293</v>
      </c>
      <c r="AM526" t="s" s="15">
        <v>294</v>
      </c>
      <c r="AN526" t="s" s="15">
        <v>187</v>
      </c>
      <c r="AO526" s="17">
        <v>8</v>
      </c>
      <c r="AP526" s="17">
        <v>16384</v>
      </c>
      <c r="AQ526" s="17">
        <v>344324</v>
      </c>
      <c r="AR526" s="17">
        <v>344324</v>
      </c>
      <c r="AS526" t="s" s="15">
        <v>1972</v>
      </c>
      <c r="AT526" t="s" s="15">
        <v>301</v>
      </c>
      <c r="AU526" s="14"/>
      <c r="AV526" s="14"/>
      <c r="AW526" s="14"/>
      <c r="AX526" s="14"/>
      <c r="AY526" s="14"/>
      <c r="AZ526" s="14"/>
      <c r="BA526" s="14"/>
      <c r="BB526" s="14"/>
      <c r="BC526" s="14"/>
      <c r="BD526" t="s" s="15">
        <v>310</v>
      </c>
      <c r="BE526" t="s" s="15">
        <v>311</v>
      </c>
      <c r="BF526" s="17">
        <v>8</v>
      </c>
      <c r="BG526" s="17">
        <v>16</v>
      </c>
      <c r="BH526" s="14"/>
      <c r="BI526" s="14"/>
      <c r="BJ526" s="14"/>
      <c r="BK526" s="14"/>
      <c r="BL526" s="14"/>
      <c r="BM526" s="14"/>
      <c r="BN526" t="s" s="15">
        <v>78</v>
      </c>
      <c r="BO526" s="16"/>
      <c r="BP526" s="8"/>
    </row>
    <row r="527" ht="9" customHeight="1" hidden="1">
      <c r="A527" t="s" s="9">
        <v>1973</v>
      </c>
      <c r="B527" s="11"/>
      <c r="C527" t="str" s="11" cm="1">
        <f t="array" ref="C527">_xlfn.IFERROR((VLOOKUP(A527,#REF!,2,FALSE)),"")</f>
      </c>
      <c r="D527" s="11"/>
      <c r="E527" t="s" s="10">
        <v>1974</v>
      </c>
      <c r="F527" s="11"/>
      <c r="G527" t="s" s="10">
        <v>1975</v>
      </c>
      <c r="H527" t="s" s="10">
        <v>25</v>
      </c>
      <c r="I527" t="s" s="10">
        <v>111</v>
      </c>
      <c r="J527" t="s" s="10">
        <v>517</v>
      </c>
      <c r="K527" t="s" s="10">
        <v>113</v>
      </c>
      <c r="L527" t="s" s="10">
        <v>518</v>
      </c>
      <c r="M527" t="s" s="10">
        <v>1975</v>
      </c>
      <c r="N527" t="s" s="10">
        <v>1975</v>
      </c>
      <c r="O527" s="11"/>
      <c r="P527" t="s" s="10">
        <v>517</v>
      </c>
      <c r="Q527" t="s" s="10">
        <v>69</v>
      </c>
      <c r="R527" t="s" s="10">
        <v>83</v>
      </c>
      <c r="S527" s="11"/>
      <c r="T527" s="11"/>
      <c r="U527" s="11"/>
      <c r="V527" t="s" s="10">
        <v>69</v>
      </c>
      <c r="W527" s="11"/>
      <c r="X527" t="s" s="10">
        <v>69</v>
      </c>
      <c r="Y527" t="s" s="10">
        <v>69</v>
      </c>
      <c r="Z527" t="s" s="10">
        <v>1976</v>
      </c>
      <c r="AA527" s="11"/>
      <c r="AB527" t="s" s="10">
        <v>1977</v>
      </c>
      <c r="AC527" t="s" s="25">
        <v>1973</v>
      </c>
      <c r="AD527" t="s" s="10">
        <v>1978</v>
      </c>
      <c r="AE527" s="11"/>
      <c r="AF527" s="11"/>
      <c r="AG527" t="s" s="10">
        <v>299</v>
      </c>
      <c r="AH527" t="s" s="10">
        <v>114</v>
      </c>
      <c r="AI527" t="s" s="10">
        <v>290</v>
      </c>
      <c r="AJ527" t="s" s="10">
        <v>473</v>
      </c>
      <c r="AK527" t="s" s="10">
        <v>83</v>
      </c>
      <c r="AL527" t="s" s="10">
        <v>293</v>
      </c>
      <c r="AM527" t="s" s="10">
        <v>294</v>
      </c>
      <c r="AN527" t="s" s="10">
        <v>128</v>
      </c>
      <c r="AO527" s="18">
        <v>4</v>
      </c>
      <c r="AP527" s="18">
        <v>4096</v>
      </c>
      <c r="AQ527" s="18">
        <v>157784</v>
      </c>
      <c r="AR527" s="18">
        <v>96194</v>
      </c>
      <c r="AS527" t="s" s="10">
        <v>1979</v>
      </c>
      <c r="AT527" t="s" s="10">
        <v>301</v>
      </c>
      <c r="AU527" s="11"/>
      <c r="AV527" s="11"/>
      <c r="AW527" t="s" s="10">
        <v>83</v>
      </c>
      <c r="AX527" t="s" s="10">
        <v>83</v>
      </c>
      <c r="AY527" t="s" s="10">
        <v>309</v>
      </c>
      <c r="AZ527" t="s" s="10">
        <v>83</v>
      </c>
      <c r="BA527" t="s" s="10">
        <v>76</v>
      </c>
      <c r="BB527" t="s" s="10">
        <v>76</v>
      </c>
      <c r="BC527" t="s" s="10">
        <v>76</v>
      </c>
      <c r="BD527" t="s" s="10">
        <v>310</v>
      </c>
      <c r="BE527" t="s" s="10">
        <v>356</v>
      </c>
      <c r="BF527" s="18">
        <v>4</v>
      </c>
      <c r="BG527" s="18">
        <v>8</v>
      </c>
      <c r="BH527" t="s" s="10">
        <v>83</v>
      </c>
      <c r="BI527" t="s" s="10">
        <v>83</v>
      </c>
      <c r="BJ527" t="s" s="10">
        <v>83</v>
      </c>
      <c r="BK527" t="s" s="10">
        <v>83</v>
      </c>
      <c r="BL527" t="s" s="10">
        <v>83</v>
      </c>
      <c r="BM527" t="s" s="10">
        <v>312</v>
      </c>
      <c r="BN527" t="s" s="10">
        <v>78</v>
      </c>
      <c r="BO527" t="s" s="19">
        <v>76</v>
      </c>
      <c r="BP527" s="8"/>
    </row>
    <row r="528" ht="9" customHeight="1" hidden="1">
      <c r="A528" t="s" s="13">
        <v>1980</v>
      </c>
      <c r="B528" s="14"/>
      <c r="C528" t="str" s="14" cm="1">
        <f t="array" ref="C528">_xlfn.IFERROR((VLOOKUP(A528,#REF!,2,FALSE)),"")</f>
      </c>
      <c r="D528" s="14"/>
      <c r="E528" t="s" s="15">
        <v>1974</v>
      </c>
      <c r="F528" s="14"/>
      <c r="G528" t="s" s="15">
        <v>1981</v>
      </c>
      <c r="H528" t="s" s="15">
        <v>25</v>
      </c>
      <c r="I528" t="s" s="15">
        <v>111</v>
      </c>
      <c r="J528" t="s" s="15">
        <v>322</v>
      </c>
      <c r="K528" t="s" s="15">
        <v>113</v>
      </c>
      <c r="L528" t="s" s="15">
        <v>518</v>
      </c>
      <c r="M528" t="s" s="15">
        <v>1982</v>
      </c>
      <c r="N528" t="s" s="15">
        <v>1982</v>
      </c>
      <c r="O528" s="14"/>
      <c r="P528" t="s" s="15">
        <v>322</v>
      </c>
      <c r="Q528" t="s" s="15">
        <v>69</v>
      </c>
      <c r="R528" t="s" s="15">
        <v>83</v>
      </c>
      <c r="S528" s="14"/>
      <c r="T528" s="14"/>
      <c r="U528" s="14"/>
      <c r="V528" t="s" s="15">
        <v>69</v>
      </c>
      <c r="W528" s="14"/>
      <c r="X528" t="s" s="15">
        <v>69</v>
      </c>
      <c r="Y528" t="s" s="15">
        <v>69</v>
      </c>
      <c r="Z528" t="s" s="15">
        <v>1976</v>
      </c>
      <c r="AA528" s="14"/>
      <c r="AB528" t="s" s="15">
        <v>1977</v>
      </c>
      <c r="AC528" t="s" s="24">
        <v>1980</v>
      </c>
      <c r="AD528" t="s" s="15">
        <v>1983</v>
      </c>
      <c r="AE528" s="14"/>
      <c r="AF528" s="14"/>
      <c r="AG528" t="s" s="15">
        <v>299</v>
      </c>
      <c r="AH528" t="s" s="15">
        <v>114</v>
      </c>
      <c r="AI528" t="s" s="15">
        <v>290</v>
      </c>
      <c r="AJ528" t="s" s="15">
        <v>333</v>
      </c>
      <c r="AK528" t="s" s="15">
        <v>83</v>
      </c>
      <c r="AL528" t="s" s="15">
        <v>293</v>
      </c>
      <c r="AM528" t="s" s="15">
        <v>294</v>
      </c>
      <c r="AN528" t="s" s="15">
        <v>128</v>
      </c>
      <c r="AO528" s="17">
        <v>1</v>
      </c>
      <c r="AP528" s="17">
        <v>2048</v>
      </c>
      <c r="AQ528" s="17">
        <v>206931</v>
      </c>
      <c r="AR528" s="17">
        <v>48734</v>
      </c>
      <c r="AS528" t="s" s="15">
        <v>1984</v>
      </c>
      <c r="AT528" t="s" s="15">
        <v>301</v>
      </c>
      <c r="AU528" s="14"/>
      <c r="AV528" s="14"/>
      <c r="AW528" t="s" s="15">
        <v>83</v>
      </c>
      <c r="AX528" t="s" s="15">
        <v>83</v>
      </c>
      <c r="AY528" t="s" s="15">
        <v>309</v>
      </c>
      <c r="AZ528" t="s" s="15">
        <v>83</v>
      </c>
      <c r="BA528" t="s" s="15">
        <v>76</v>
      </c>
      <c r="BB528" t="s" s="15">
        <v>76</v>
      </c>
      <c r="BC528" t="s" s="15">
        <v>76</v>
      </c>
      <c r="BD528" t="s" s="15">
        <v>310</v>
      </c>
      <c r="BE528" t="s" s="15">
        <v>419</v>
      </c>
      <c r="BF528" s="17">
        <v>2</v>
      </c>
      <c r="BG528" s="17">
        <v>4</v>
      </c>
      <c r="BH528" t="s" s="15">
        <v>83</v>
      </c>
      <c r="BI528" t="s" s="15">
        <v>83</v>
      </c>
      <c r="BJ528" t="s" s="15">
        <v>83</v>
      </c>
      <c r="BK528" t="s" s="15">
        <v>83</v>
      </c>
      <c r="BL528" t="s" s="15">
        <v>83</v>
      </c>
      <c r="BM528" t="s" s="15">
        <v>312</v>
      </c>
      <c r="BN528" t="s" s="15">
        <v>78</v>
      </c>
      <c r="BO528" t="s" s="21">
        <v>76</v>
      </c>
      <c r="BP528" s="8"/>
    </row>
    <row r="529" ht="13.55" customHeight="1">
      <c r="A529" t="s" s="9">
        <v>1985</v>
      </c>
      <c r="B529" s="11"/>
      <c r="C529" t="str" s="11" cm="1">
        <f t="array" ref="C529">_xlfn.IFERROR((VLOOKUP(A529,#REF!,2,FALSE)),"")</f>
      </c>
      <c r="D529" s="11"/>
      <c r="E529" t="s" s="10">
        <v>1986</v>
      </c>
      <c r="F529" s="11"/>
      <c r="G529" t="s" s="10">
        <v>1987</v>
      </c>
      <c r="H529" t="s" s="10">
        <v>25</v>
      </c>
      <c r="I529" t="s" s="10">
        <v>111</v>
      </c>
      <c r="J529" t="s" s="10">
        <v>122</v>
      </c>
      <c r="K529" t="s" s="10">
        <v>113</v>
      </c>
      <c r="L529" t="s" s="10">
        <v>518</v>
      </c>
      <c r="M529" t="s" s="10">
        <v>1987</v>
      </c>
      <c r="N529" t="s" s="10">
        <v>1987</v>
      </c>
      <c r="O529" s="11"/>
      <c r="P529" t="s" s="10">
        <v>122</v>
      </c>
      <c r="Q529" t="s" s="10">
        <v>69</v>
      </c>
      <c r="R529" t="s" s="10">
        <v>83</v>
      </c>
      <c r="S529" s="11"/>
      <c r="T529" s="11"/>
      <c r="U529" s="11"/>
      <c r="V529" t="s" s="10">
        <v>69</v>
      </c>
      <c r="W529" s="11"/>
      <c r="X529" t="s" s="10">
        <v>69</v>
      </c>
      <c r="Y529" t="s" s="10">
        <v>69</v>
      </c>
      <c r="Z529" t="s" s="10">
        <v>1976</v>
      </c>
      <c r="AA529" s="11"/>
      <c r="AB529" t="s" s="10">
        <v>1977</v>
      </c>
      <c r="AC529" t="s" s="25">
        <v>1985</v>
      </c>
      <c r="AD529" t="s" s="10">
        <v>1988</v>
      </c>
      <c r="AE529" s="11"/>
      <c r="AF529" t="s" s="10">
        <v>1989</v>
      </c>
      <c r="AG529" t="s" s="10">
        <v>299</v>
      </c>
      <c r="AH529" t="s" s="10">
        <v>114</v>
      </c>
      <c r="AI529" t="s" s="10">
        <v>332</v>
      </c>
      <c r="AJ529" t="s" s="10">
        <v>523</v>
      </c>
      <c r="AK529" t="s" s="10">
        <v>83</v>
      </c>
      <c r="AL529" t="s" s="10">
        <v>293</v>
      </c>
      <c r="AM529" t="s" s="10">
        <v>294</v>
      </c>
      <c r="AN529" t="s" s="10">
        <v>128</v>
      </c>
      <c r="AO529" s="18">
        <v>4</v>
      </c>
      <c r="AP529" s="18">
        <v>16384</v>
      </c>
      <c r="AQ529" s="18">
        <v>221301</v>
      </c>
      <c r="AR529" s="18">
        <v>221301</v>
      </c>
      <c r="AS529" t="s" s="10">
        <v>1990</v>
      </c>
      <c r="AT529" t="s" s="10">
        <v>301</v>
      </c>
      <c r="AU529" s="11"/>
      <c r="AV529" s="11"/>
      <c r="AW529" s="11"/>
      <c r="AX529" s="11"/>
      <c r="AY529" s="11"/>
      <c r="AZ529" s="11"/>
      <c r="BA529" s="11"/>
      <c r="BB529" s="11"/>
      <c r="BC529" s="11"/>
      <c r="BD529" t="s" s="10">
        <v>366</v>
      </c>
      <c r="BE529" t="s" s="10">
        <v>394</v>
      </c>
      <c r="BF529" s="18">
        <v>4</v>
      </c>
      <c r="BG529" s="18">
        <v>16</v>
      </c>
      <c r="BH529" s="11"/>
      <c r="BI529" s="11"/>
      <c r="BJ529" s="11"/>
      <c r="BK529" s="11"/>
      <c r="BL529" s="11"/>
      <c r="BM529" s="11"/>
      <c r="BN529" t="s" s="10">
        <v>69</v>
      </c>
      <c r="BO529" s="12"/>
      <c r="BP529" s="8"/>
    </row>
    <row r="530" ht="13.55" customHeight="1">
      <c r="A530" t="s" s="13">
        <v>1991</v>
      </c>
      <c r="B530" s="14"/>
      <c r="C530" t="str" s="14" cm="1">
        <f t="array" ref="C530">_xlfn.IFERROR((VLOOKUP(A530,#REF!,2,FALSE)),"")</f>
      </c>
      <c r="D530" s="14"/>
      <c r="E530" s="14"/>
      <c r="F530" s="14"/>
      <c r="G530" t="s" s="15">
        <v>1992</v>
      </c>
      <c r="H530" t="s" s="15">
        <v>25</v>
      </c>
      <c r="I530" t="s" s="15">
        <v>111</v>
      </c>
      <c r="J530" t="s" s="15">
        <v>122</v>
      </c>
      <c r="K530" t="s" s="15">
        <v>113</v>
      </c>
      <c r="L530" t="s" s="15">
        <v>518</v>
      </c>
      <c r="M530" t="s" s="15">
        <v>1993</v>
      </c>
      <c r="N530" t="s" s="15">
        <v>1993</v>
      </c>
      <c r="O530" s="14"/>
      <c r="P530" t="s" s="15">
        <v>122</v>
      </c>
      <c r="Q530" t="s" s="15">
        <v>69</v>
      </c>
      <c r="R530" t="s" s="15">
        <v>83</v>
      </c>
      <c r="S530" s="14"/>
      <c r="T530" s="14"/>
      <c r="U530" s="14"/>
      <c r="V530" t="s" s="15">
        <v>69</v>
      </c>
      <c r="W530" s="14"/>
      <c r="X530" t="s" s="15">
        <v>69</v>
      </c>
      <c r="Y530" t="s" s="15">
        <v>69</v>
      </c>
      <c r="Z530" t="s" s="15">
        <v>1976</v>
      </c>
      <c r="AA530" s="14"/>
      <c r="AB530" t="s" s="15">
        <v>1977</v>
      </c>
      <c r="AC530" t="s" s="15">
        <v>1991</v>
      </c>
      <c r="AD530" t="s" s="15">
        <v>1994</v>
      </c>
      <c r="AE530" s="14"/>
      <c r="AF530" t="s" s="15">
        <v>1989</v>
      </c>
      <c r="AG530" t="s" s="15">
        <v>299</v>
      </c>
      <c r="AH530" t="s" s="15">
        <v>114</v>
      </c>
      <c r="AI530" t="s" s="15">
        <v>332</v>
      </c>
      <c r="AJ530" t="s" s="15">
        <v>523</v>
      </c>
      <c r="AK530" t="s" s="15">
        <v>83</v>
      </c>
      <c r="AL530" t="s" s="15">
        <v>293</v>
      </c>
      <c r="AM530" t="s" s="15">
        <v>294</v>
      </c>
      <c r="AN530" t="s" s="15">
        <v>128</v>
      </c>
      <c r="AO530" s="17">
        <v>4</v>
      </c>
      <c r="AP530" s="17">
        <v>16384</v>
      </c>
      <c r="AQ530" s="17">
        <v>221346</v>
      </c>
      <c r="AR530" s="17">
        <v>221346</v>
      </c>
      <c r="AS530" t="s" s="15">
        <v>1995</v>
      </c>
      <c r="AT530" t="s" s="15">
        <v>301</v>
      </c>
      <c r="AU530" s="14"/>
      <c r="AV530" s="14"/>
      <c r="AW530" s="14"/>
      <c r="AX530" s="14"/>
      <c r="AY530" s="14"/>
      <c r="AZ530" s="14"/>
      <c r="BA530" s="14"/>
      <c r="BB530" s="14"/>
      <c r="BC530" s="14"/>
      <c r="BD530" t="s" s="15">
        <v>366</v>
      </c>
      <c r="BE530" t="s" s="15">
        <v>394</v>
      </c>
      <c r="BF530" s="17">
        <v>4</v>
      </c>
      <c r="BG530" s="17">
        <v>16</v>
      </c>
      <c r="BH530" s="14"/>
      <c r="BI530" s="14"/>
      <c r="BJ530" s="14"/>
      <c r="BK530" s="14"/>
      <c r="BL530" s="14"/>
      <c r="BM530" s="14"/>
      <c r="BN530" t="s" s="15">
        <v>69</v>
      </c>
      <c r="BO530" s="16"/>
      <c r="BP530" s="8"/>
    </row>
    <row r="531" ht="9" customHeight="1" hidden="1">
      <c r="A531" t="s" s="9">
        <v>1996</v>
      </c>
      <c r="B531" s="11"/>
      <c r="C531" t="str" s="11" cm="1">
        <f t="array" ref="C531">_xlfn.IFERROR((VLOOKUP(A531,#REF!,2,FALSE)),"")</f>
      </c>
      <c r="D531" s="11"/>
      <c r="E531" t="s" s="10">
        <v>1997</v>
      </c>
      <c r="F531" s="11"/>
      <c r="G531" t="s" s="10">
        <v>1998</v>
      </c>
      <c r="H531" t="s" s="10">
        <v>1999</v>
      </c>
      <c r="I531" t="s" s="10">
        <v>73</v>
      </c>
      <c r="J531" t="s" s="10">
        <v>74</v>
      </c>
      <c r="K531" t="s" s="10">
        <v>113</v>
      </c>
      <c r="L531" t="s" s="10">
        <v>76</v>
      </c>
      <c r="M531" t="s" s="10">
        <v>1998</v>
      </c>
      <c r="N531" t="s" s="10">
        <v>1998</v>
      </c>
      <c r="O531" t="s" s="10">
        <v>71</v>
      </c>
      <c r="P531" t="s" s="10">
        <v>469</v>
      </c>
      <c r="Q531" t="s" s="10">
        <v>69</v>
      </c>
      <c r="R531" t="s" s="10">
        <v>71</v>
      </c>
      <c r="S531" s="11"/>
      <c r="T531" s="11"/>
      <c r="U531" s="11"/>
      <c r="V531" t="s" s="10">
        <v>69</v>
      </c>
      <c r="W531" t="s" s="10">
        <v>2000</v>
      </c>
      <c r="X531" t="s" s="10">
        <v>69</v>
      </c>
      <c r="Y531" s="11"/>
      <c r="Z531" t="s" s="10">
        <v>76</v>
      </c>
      <c r="AA531" s="11"/>
      <c r="AB531" t="s" s="10">
        <v>76</v>
      </c>
      <c r="AC531" t="s" s="10">
        <v>1996</v>
      </c>
      <c r="AD531" t="s" s="10">
        <v>2001</v>
      </c>
      <c r="AE531" s="11"/>
      <c r="AF531" s="11"/>
      <c r="AG531" t="s" s="10">
        <v>299</v>
      </c>
      <c r="AH531" t="s" s="10">
        <v>106</v>
      </c>
      <c r="AI531" t="s" s="10">
        <v>76</v>
      </c>
      <c r="AJ531" t="s" s="10">
        <v>76</v>
      </c>
      <c r="AK531" t="s" s="10">
        <v>79</v>
      </c>
      <c r="AL531" t="s" s="10">
        <v>293</v>
      </c>
      <c r="AM531" t="s" s="10">
        <v>196</v>
      </c>
      <c r="AN531" t="s" s="10">
        <v>128</v>
      </c>
      <c r="AO531" s="18">
        <v>2</v>
      </c>
      <c r="AP531" s="18">
        <v>16384</v>
      </c>
      <c r="AQ531" s="18">
        <v>118879</v>
      </c>
      <c r="AR531" s="18">
        <v>118879</v>
      </c>
      <c r="AS531" t="s" s="10">
        <v>2002</v>
      </c>
      <c r="AT531" t="s" s="10">
        <v>301</v>
      </c>
      <c r="AU531" s="11"/>
      <c r="AV531" s="11"/>
      <c r="AW531" s="11"/>
      <c r="AX531" s="11"/>
      <c r="AY531" s="11"/>
      <c r="AZ531" s="11"/>
      <c r="BA531" s="11"/>
      <c r="BB531" s="11"/>
      <c r="BC531" s="11"/>
      <c r="BD531" t="s" s="10">
        <v>310</v>
      </c>
      <c r="BE531" t="s" s="10">
        <v>356</v>
      </c>
      <c r="BF531" s="28">
        <v>2</v>
      </c>
      <c r="BG531" s="28">
        <v>8</v>
      </c>
      <c r="BH531" s="11"/>
      <c r="BI531" s="11"/>
      <c r="BJ531" s="11"/>
      <c r="BK531" s="11"/>
      <c r="BL531" s="11"/>
      <c r="BM531" s="11"/>
      <c r="BN531" s="11"/>
      <c r="BO531" s="12"/>
      <c r="BP531" s="8"/>
    </row>
    <row r="532" ht="9" customHeight="1" hidden="1">
      <c r="A532" t="s" s="13">
        <v>2003</v>
      </c>
      <c r="B532" s="14"/>
      <c r="C532" t="str" s="14" cm="1">
        <f t="array" ref="C532">_xlfn.IFERROR((VLOOKUP(A532,#REF!,2,FALSE)),"")</f>
      </c>
      <c r="D532" s="14"/>
      <c r="E532" t="s" s="15">
        <v>1997</v>
      </c>
      <c r="F532" s="14"/>
      <c r="G532" t="s" s="15">
        <v>2004</v>
      </c>
      <c r="H532" t="s" s="15">
        <v>1999</v>
      </c>
      <c r="I532" t="s" s="15">
        <v>73</v>
      </c>
      <c r="J532" t="s" s="15">
        <v>74</v>
      </c>
      <c r="K532" t="s" s="15">
        <v>113</v>
      </c>
      <c r="L532" t="s" s="15">
        <v>76</v>
      </c>
      <c r="M532" t="s" s="15">
        <v>2004</v>
      </c>
      <c r="N532" t="s" s="15">
        <v>2004</v>
      </c>
      <c r="O532" t="s" s="15">
        <v>71</v>
      </c>
      <c r="P532" t="s" s="15">
        <v>469</v>
      </c>
      <c r="Q532" t="s" s="15">
        <v>69</v>
      </c>
      <c r="R532" t="s" s="15">
        <v>71</v>
      </c>
      <c r="S532" s="14"/>
      <c r="T532" s="14"/>
      <c r="U532" s="14"/>
      <c r="V532" t="s" s="15">
        <v>69</v>
      </c>
      <c r="W532" t="s" s="15">
        <v>2003</v>
      </c>
      <c r="X532" t="s" s="15">
        <v>69</v>
      </c>
      <c r="Y532" s="14"/>
      <c r="Z532" t="s" s="15">
        <v>76</v>
      </c>
      <c r="AA532" s="14"/>
      <c r="AB532" t="s" s="15">
        <v>76</v>
      </c>
      <c r="AC532" t="s" s="15">
        <v>2003</v>
      </c>
      <c r="AD532" t="s" s="15">
        <v>2005</v>
      </c>
      <c r="AE532" s="14"/>
      <c r="AF532" s="14"/>
      <c r="AG532" t="s" s="15">
        <v>299</v>
      </c>
      <c r="AH532" t="s" s="15">
        <v>106</v>
      </c>
      <c r="AI532" t="s" s="15">
        <v>76</v>
      </c>
      <c r="AJ532" t="s" s="15">
        <v>76</v>
      </c>
      <c r="AK532" t="s" s="15">
        <v>79</v>
      </c>
      <c r="AL532" t="s" s="15">
        <v>293</v>
      </c>
      <c r="AM532" t="s" s="15">
        <v>196</v>
      </c>
      <c r="AN532" t="s" s="15">
        <v>128</v>
      </c>
      <c r="AO532" s="17">
        <v>2</v>
      </c>
      <c r="AP532" s="17">
        <v>16384</v>
      </c>
      <c r="AQ532" s="17">
        <v>118900</v>
      </c>
      <c r="AR532" s="17">
        <v>118900</v>
      </c>
      <c r="AS532" t="s" s="15">
        <v>675</v>
      </c>
      <c r="AT532" t="s" s="15">
        <v>301</v>
      </c>
      <c r="AU532" s="14"/>
      <c r="AV532" s="14"/>
      <c r="AW532" s="14"/>
      <c r="AX532" s="14"/>
      <c r="AY532" s="14"/>
      <c r="AZ532" s="14"/>
      <c r="BA532" s="14"/>
      <c r="BB532" s="14"/>
      <c r="BC532" s="14"/>
      <c r="BD532" t="s" s="15">
        <v>310</v>
      </c>
      <c r="BE532" t="s" s="15">
        <v>356</v>
      </c>
      <c r="BF532" s="14"/>
      <c r="BG532" s="14"/>
      <c r="BH532" s="14"/>
      <c r="BI532" s="14"/>
      <c r="BJ532" s="14"/>
      <c r="BK532" s="14"/>
      <c r="BL532" s="14"/>
      <c r="BM532" s="14"/>
      <c r="BN532" s="14"/>
      <c r="BO532" s="16"/>
      <c r="BP532" s="8"/>
    </row>
    <row r="533" ht="9" customHeight="1" hidden="1">
      <c r="A533" t="s" s="9">
        <v>2006</v>
      </c>
      <c r="B533" s="11"/>
      <c r="C533" t="str" s="11" cm="1">
        <f t="array" ref="C533">_xlfn.IFERROR((VLOOKUP(A533,#REF!,2,FALSE)),"")</f>
      </c>
      <c r="D533" s="11"/>
      <c r="E533" s="11"/>
      <c r="F533" s="11"/>
      <c r="G533" t="s" s="10">
        <v>2007</v>
      </c>
      <c r="H533" t="s" s="10">
        <v>524</v>
      </c>
      <c r="I533" t="s" s="10">
        <v>111</v>
      </c>
      <c r="J533" t="s" s="10">
        <v>322</v>
      </c>
      <c r="K533" t="s" s="10">
        <v>113</v>
      </c>
      <c r="L533" t="s" s="10">
        <v>518</v>
      </c>
      <c r="M533" t="s" s="10">
        <v>2007</v>
      </c>
      <c r="N533" t="s" s="10">
        <v>2007</v>
      </c>
      <c r="O533" s="11"/>
      <c r="P533" t="s" s="10">
        <v>322</v>
      </c>
      <c r="Q533" t="s" s="10">
        <v>78</v>
      </c>
      <c r="R533" t="s" s="10">
        <v>323</v>
      </c>
      <c r="S533" s="11"/>
      <c r="T533" t="s" s="10">
        <v>69</v>
      </c>
      <c r="U533" s="11"/>
      <c r="V533" t="s" s="10">
        <v>69</v>
      </c>
      <c r="W533" s="11"/>
      <c r="X533" t="s" s="10">
        <v>69</v>
      </c>
      <c r="Y533" s="11"/>
      <c r="Z533" t="s" s="10">
        <v>552</v>
      </c>
      <c r="AA533" s="11"/>
      <c r="AB533" t="s" s="10">
        <v>1551</v>
      </c>
      <c r="AC533" s="11"/>
      <c r="AD533" s="11"/>
      <c r="AE533" s="11"/>
      <c r="AF533" s="11"/>
      <c r="AG533" t="s" s="10">
        <v>299</v>
      </c>
      <c r="AH533" t="s" s="10">
        <v>289</v>
      </c>
      <c r="AI533" t="s" s="10">
        <v>76</v>
      </c>
      <c r="AJ533" t="s" s="10">
        <v>76</v>
      </c>
      <c r="AK533" t="s" s="10">
        <v>524</v>
      </c>
      <c r="AL533" t="s" s="10">
        <v>293</v>
      </c>
      <c r="AM533" t="s" s="10">
        <v>294</v>
      </c>
      <c r="AN533" t="s" s="10">
        <v>142</v>
      </c>
      <c r="AO533" s="18">
        <v>4</v>
      </c>
      <c r="AP533" s="18">
        <v>4096</v>
      </c>
      <c r="AQ533" s="18">
        <v>147544</v>
      </c>
      <c r="AR533" s="18">
        <v>147544</v>
      </c>
      <c r="AS533" t="s" s="10">
        <v>2008</v>
      </c>
      <c r="AT533" s="11"/>
      <c r="AU533" s="11"/>
      <c r="AV533" s="11"/>
      <c r="AW533" t="s" s="10">
        <v>2009</v>
      </c>
      <c r="AX533" s="11"/>
      <c r="AY533" s="11"/>
      <c r="AZ533" s="11"/>
      <c r="BA533" s="11"/>
      <c r="BB533" s="11"/>
      <c r="BC533" s="11"/>
      <c r="BD533" t="s" s="10">
        <v>310</v>
      </c>
      <c r="BE533" t="s" s="10">
        <v>356</v>
      </c>
      <c r="BF533" s="11"/>
      <c r="BG533" s="11"/>
      <c r="BH533" s="11"/>
      <c r="BI533" s="11"/>
      <c r="BJ533" s="11"/>
      <c r="BK533" s="11"/>
      <c r="BL533" s="11"/>
      <c r="BM533" s="11"/>
      <c r="BN533" t="s" s="10">
        <v>78</v>
      </c>
      <c r="BO533" s="12"/>
      <c r="BP533" s="8"/>
    </row>
    <row r="534" ht="9" customHeight="1" hidden="1">
      <c r="A534" t="s" s="26">
        <v>2010</v>
      </c>
      <c r="B534" s="34"/>
      <c r="C534" t="str" s="14" cm="1">
        <f t="array" ref="C534">_xlfn.IFERROR((VLOOKUP(A534,#REF!,2,FALSE)),"")</f>
      </c>
      <c r="D534" s="14"/>
      <c r="E534" s="14"/>
      <c r="F534" s="14"/>
      <c r="G534" t="s" s="15">
        <v>2011</v>
      </c>
      <c r="H534" t="s" s="15">
        <v>524</v>
      </c>
      <c r="I534" t="s" s="15">
        <v>111</v>
      </c>
      <c r="J534" t="s" s="15">
        <v>322</v>
      </c>
      <c r="K534" t="s" s="15">
        <v>113</v>
      </c>
      <c r="L534" t="s" s="15">
        <v>518</v>
      </c>
      <c r="M534" t="s" s="15">
        <v>2011</v>
      </c>
      <c r="N534" t="s" s="15">
        <v>2011</v>
      </c>
      <c r="O534" s="14"/>
      <c r="P534" t="s" s="15">
        <v>322</v>
      </c>
      <c r="Q534" t="s" s="15">
        <v>78</v>
      </c>
      <c r="R534" t="s" s="15">
        <v>323</v>
      </c>
      <c r="S534" s="14"/>
      <c r="T534" t="s" s="15">
        <v>69</v>
      </c>
      <c r="U534" s="14"/>
      <c r="V534" t="s" s="15">
        <v>69</v>
      </c>
      <c r="W534" s="14"/>
      <c r="X534" t="s" s="15">
        <v>69</v>
      </c>
      <c r="Y534" s="14"/>
      <c r="Z534" t="s" s="15">
        <v>552</v>
      </c>
      <c r="AA534" s="14"/>
      <c r="AB534" t="s" s="15">
        <v>1551</v>
      </c>
      <c r="AC534" s="14"/>
      <c r="AD534" s="14"/>
      <c r="AE534" s="14"/>
      <c r="AF534" s="14"/>
      <c r="AG534" t="s" s="15">
        <v>299</v>
      </c>
      <c r="AH534" t="s" s="15">
        <v>289</v>
      </c>
      <c r="AI534" t="s" s="15">
        <v>76</v>
      </c>
      <c r="AJ534" t="s" s="15">
        <v>76</v>
      </c>
      <c r="AK534" t="s" s="15">
        <v>524</v>
      </c>
      <c r="AL534" t="s" s="15">
        <v>293</v>
      </c>
      <c r="AM534" t="s" s="15">
        <v>294</v>
      </c>
      <c r="AN534" t="s" s="15">
        <v>133</v>
      </c>
      <c r="AO534" s="17">
        <v>4</v>
      </c>
      <c r="AP534" s="17">
        <v>8192</v>
      </c>
      <c r="AQ534" s="17">
        <v>131205</v>
      </c>
      <c r="AR534" s="17">
        <v>131205</v>
      </c>
      <c r="AS534" t="s" s="15">
        <v>2012</v>
      </c>
      <c r="AT534" s="14"/>
      <c r="AU534" s="14"/>
      <c r="AV534" s="14"/>
      <c r="AW534" t="s" s="15">
        <v>2013</v>
      </c>
      <c r="AX534" s="14"/>
      <c r="AY534" s="14"/>
      <c r="AZ534" s="14"/>
      <c r="BA534" s="14"/>
      <c r="BB534" s="14"/>
      <c r="BC534" s="14"/>
      <c r="BD534" t="s" s="15">
        <v>310</v>
      </c>
      <c r="BE534" t="s" s="24">
        <v>419</v>
      </c>
      <c r="BF534" s="20"/>
      <c r="BG534" s="20"/>
      <c r="BH534" s="14"/>
      <c r="BI534" s="14"/>
      <c r="BJ534" s="14"/>
      <c r="BK534" s="14"/>
      <c r="BL534" s="14"/>
      <c r="BM534" s="14"/>
      <c r="BN534" t="s" s="15">
        <v>78</v>
      </c>
      <c r="BO534" s="16"/>
      <c r="BP534" s="8"/>
    </row>
    <row r="535" ht="9" customHeight="1" hidden="1">
      <c r="A535" t="s" s="9">
        <v>2014</v>
      </c>
      <c r="B535" s="11"/>
      <c r="C535" t="str" s="11" cm="1">
        <f t="array" ref="C535">_xlfn.IFERROR((VLOOKUP(A535,#REF!,2,FALSE)),"")</f>
      </c>
      <c r="D535" s="11"/>
      <c r="E535" t="s" s="10">
        <v>2015</v>
      </c>
      <c r="F535" s="11"/>
      <c r="G535" t="s" s="10">
        <v>2016</v>
      </c>
      <c r="H535" t="s" s="10">
        <v>2016</v>
      </c>
      <c r="I535" t="s" s="10">
        <v>73</v>
      </c>
      <c r="J535" t="s" s="10">
        <v>74</v>
      </c>
      <c r="K535" t="s" s="10">
        <v>113</v>
      </c>
      <c r="L535" t="s" s="10">
        <v>76</v>
      </c>
      <c r="M535" t="s" s="10">
        <v>2016</v>
      </c>
      <c r="N535" t="s" s="10">
        <v>2016</v>
      </c>
      <c r="O535" t="s" s="10">
        <v>71</v>
      </c>
      <c r="P535" t="s" s="10">
        <v>74</v>
      </c>
      <c r="Q535" t="s" s="10">
        <v>78</v>
      </c>
      <c r="R535" t="s" s="10">
        <v>71</v>
      </c>
      <c r="S535" s="11"/>
      <c r="T535" s="11"/>
      <c r="U535" s="11"/>
      <c r="V535" t="s" s="10">
        <v>78</v>
      </c>
      <c r="W535" t="s" s="10">
        <v>2014</v>
      </c>
      <c r="X535" t="s" s="10">
        <v>69</v>
      </c>
      <c r="Y535" s="11"/>
      <c r="Z535" t="s" s="10">
        <v>76</v>
      </c>
      <c r="AA535" s="11"/>
      <c r="AB535" t="s" s="10">
        <v>76</v>
      </c>
      <c r="AC535" s="11"/>
      <c r="AD535" s="11"/>
      <c r="AE535" s="11"/>
      <c r="AF535" s="11"/>
      <c r="AG535" s="11"/>
      <c r="AH535" s="11"/>
      <c r="AI535" t="s" s="10">
        <v>76</v>
      </c>
      <c r="AJ535" t="s" s="10">
        <v>76</v>
      </c>
      <c r="AK535" t="s" s="10">
        <v>79</v>
      </c>
      <c r="AL535" s="11"/>
      <c r="AM535" s="11"/>
      <c r="AN535" s="11"/>
      <c r="AO535" s="11"/>
      <c r="AP535" s="11"/>
      <c r="AQ535" s="11"/>
      <c r="AR535" s="11"/>
      <c r="AS535" s="11"/>
      <c r="AT535" s="11"/>
      <c r="AU535" s="11"/>
      <c r="AV535" s="11"/>
      <c r="AW535" s="11"/>
      <c r="AX535" s="11"/>
      <c r="AY535" s="11"/>
      <c r="AZ535" s="11"/>
      <c r="BA535" s="11"/>
      <c r="BB535" s="11"/>
      <c r="BC535" s="11"/>
      <c r="BD535" t="s" s="10">
        <v>366</v>
      </c>
      <c r="BE535" t="s" s="10">
        <v>367</v>
      </c>
      <c r="BF535" s="11"/>
      <c r="BG535" s="11"/>
      <c r="BH535" s="11"/>
      <c r="BI535" s="11"/>
      <c r="BJ535" s="11"/>
      <c r="BK535" s="11"/>
      <c r="BL535" s="11"/>
      <c r="BM535" s="11"/>
      <c r="BN535" s="11"/>
      <c r="BO535" s="12"/>
      <c r="BP535" s="8"/>
    </row>
    <row r="536" ht="9" customHeight="1" hidden="1">
      <c r="A536" t="s" s="13">
        <v>2017</v>
      </c>
      <c r="B536" s="14"/>
      <c r="C536" t="str" s="14" cm="1">
        <f t="array" ref="C536">_xlfn.IFERROR((VLOOKUP(A536,#REF!,2,FALSE)),"")</f>
      </c>
      <c r="D536" s="14"/>
      <c r="E536" t="s" s="15">
        <v>2015</v>
      </c>
      <c r="F536" s="14"/>
      <c r="G536" t="s" s="15">
        <v>2018</v>
      </c>
      <c r="H536" t="s" s="15">
        <v>2018</v>
      </c>
      <c r="I536" t="s" s="15">
        <v>73</v>
      </c>
      <c r="J536" t="s" s="15">
        <v>74</v>
      </c>
      <c r="K536" t="s" s="15">
        <v>113</v>
      </c>
      <c r="L536" t="s" s="15">
        <v>76</v>
      </c>
      <c r="M536" t="s" s="15">
        <v>2018</v>
      </c>
      <c r="N536" t="s" s="15">
        <v>2018</v>
      </c>
      <c r="O536" t="s" s="15">
        <v>71</v>
      </c>
      <c r="P536" t="s" s="15">
        <v>74</v>
      </c>
      <c r="Q536" t="s" s="15">
        <v>78</v>
      </c>
      <c r="R536" t="s" s="15">
        <v>71</v>
      </c>
      <c r="S536" s="14"/>
      <c r="T536" s="14"/>
      <c r="U536" s="14"/>
      <c r="V536" t="s" s="15">
        <v>78</v>
      </c>
      <c r="W536" t="s" s="15">
        <v>2017</v>
      </c>
      <c r="X536" t="s" s="15">
        <v>69</v>
      </c>
      <c r="Y536" s="14"/>
      <c r="Z536" t="s" s="15">
        <v>76</v>
      </c>
      <c r="AA536" s="14"/>
      <c r="AB536" t="s" s="15">
        <v>76</v>
      </c>
      <c r="AC536" s="14"/>
      <c r="AD536" s="14"/>
      <c r="AE536" s="14"/>
      <c r="AF536" s="14"/>
      <c r="AG536" s="14"/>
      <c r="AH536" s="14"/>
      <c r="AI536" t="s" s="15">
        <v>76</v>
      </c>
      <c r="AJ536" t="s" s="15">
        <v>76</v>
      </c>
      <c r="AK536" t="s" s="15">
        <v>79</v>
      </c>
      <c r="AL536" s="14"/>
      <c r="AM536" s="14"/>
      <c r="AN536" s="14"/>
      <c r="AO536" s="14"/>
      <c r="AP536" s="14"/>
      <c r="AQ536" s="14"/>
      <c r="AR536" s="14"/>
      <c r="AS536" s="14"/>
      <c r="AT536" s="14"/>
      <c r="AU536" s="14"/>
      <c r="AV536" s="14"/>
      <c r="AW536" s="14"/>
      <c r="AX536" s="14"/>
      <c r="AY536" s="14"/>
      <c r="AZ536" s="14"/>
      <c r="BA536" s="14"/>
      <c r="BB536" s="14"/>
      <c r="BC536" s="14"/>
      <c r="BD536" t="s" s="15">
        <v>366</v>
      </c>
      <c r="BE536" t="s" s="15">
        <v>367</v>
      </c>
      <c r="BF536" s="14"/>
      <c r="BG536" s="14"/>
      <c r="BH536" s="14"/>
      <c r="BI536" s="14"/>
      <c r="BJ536" s="14"/>
      <c r="BK536" s="14"/>
      <c r="BL536" s="14"/>
      <c r="BM536" s="14"/>
      <c r="BN536" s="14"/>
      <c r="BO536" s="16"/>
      <c r="BP536" s="8"/>
    </row>
    <row r="537" ht="9" customHeight="1" hidden="1">
      <c r="A537" t="s" s="9">
        <v>2019</v>
      </c>
      <c r="B537" s="11"/>
      <c r="C537" t="str" s="11" cm="1">
        <f t="array" ref="C537">_xlfn.IFERROR((VLOOKUP(A537,#REF!,2,FALSE)),"")</f>
      </c>
      <c r="D537" t="s" s="10">
        <v>70</v>
      </c>
      <c r="E537" t="s" s="10">
        <v>392</v>
      </c>
      <c r="F537" s="11"/>
      <c r="G537" t="s" s="10">
        <v>2020</v>
      </c>
      <c r="H537" t="s" s="10">
        <v>492</v>
      </c>
      <c r="I537" t="s" s="10">
        <v>111</v>
      </c>
      <c r="J537" t="s" s="10">
        <v>452</v>
      </c>
      <c r="K537" t="s" s="10">
        <v>113</v>
      </c>
      <c r="L537" t="s" s="10">
        <v>493</v>
      </c>
      <c r="M537" t="s" s="10">
        <v>2021</v>
      </c>
      <c r="N537" t="s" s="10">
        <v>2021</v>
      </c>
      <c r="O537" s="11"/>
      <c r="P537" t="s" s="10">
        <v>452</v>
      </c>
      <c r="Q537" t="s" s="10">
        <v>69</v>
      </c>
      <c r="R537" t="s" s="10">
        <v>83</v>
      </c>
      <c r="S537" s="11"/>
      <c r="T537" s="11"/>
      <c r="U537" s="11"/>
      <c r="V537" t="s" s="10">
        <v>69</v>
      </c>
      <c r="W537" s="11"/>
      <c r="X537" t="s" s="10">
        <v>69</v>
      </c>
      <c r="Y537" s="11"/>
      <c r="Z537" t="s" s="10">
        <v>495</v>
      </c>
      <c r="AA537" s="11"/>
      <c r="AB537" t="s" s="10">
        <v>495</v>
      </c>
      <c r="AC537" t="s" s="10">
        <v>2019</v>
      </c>
      <c r="AD537" t="s" s="10">
        <v>2022</v>
      </c>
      <c r="AE537" s="11"/>
      <c r="AF537" t="s" s="10">
        <v>492</v>
      </c>
      <c r="AG537" s="11"/>
      <c r="AH537" t="s" s="10">
        <v>114</v>
      </c>
      <c r="AI537" t="s" s="10">
        <v>332</v>
      </c>
      <c r="AJ537" t="s" s="10">
        <v>333</v>
      </c>
      <c r="AK537" t="s" s="10">
        <v>83</v>
      </c>
      <c r="AL537" t="s" s="10">
        <v>293</v>
      </c>
      <c r="AM537" t="s" s="10">
        <v>294</v>
      </c>
      <c r="AN537" t="s" s="10">
        <v>128</v>
      </c>
      <c r="AO537" s="18">
        <v>8</v>
      </c>
      <c r="AP537" s="18">
        <v>32768</v>
      </c>
      <c r="AQ537" s="18">
        <v>698924</v>
      </c>
      <c r="AR537" s="18">
        <v>529020</v>
      </c>
      <c r="AS537" t="s" s="10">
        <v>2023</v>
      </c>
      <c r="AT537" s="11"/>
      <c r="AU537" s="11"/>
      <c r="AV537" s="11"/>
      <c r="AW537" s="11"/>
      <c r="AX537" s="11"/>
      <c r="AY537" s="11"/>
      <c r="AZ537" s="11"/>
      <c r="BA537" s="11"/>
      <c r="BB537" s="11"/>
      <c r="BC537" s="11"/>
      <c r="BD537" t="s" s="10">
        <v>366</v>
      </c>
      <c r="BE537" t="s" s="10">
        <v>367</v>
      </c>
      <c r="BF537" s="18">
        <v>8</v>
      </c>
      <c r="BG537" s="18">
        <v>32</v>
      </c>
      <c r="BH537" s="11"/>
      <c r="BI537" s="11"/>
      <c r="BJ537" s="11"/>
      <c r="BK537" s="11"/>
      <c r="BL537" s="11"/>
      <c r="BM537" s="11"/>
      <c r="BN537" t="s" s="10">
        <v>78</v>
      </c>
      <c r="BO537" s="12"/>
      <c r="BP537" s="8"/>
    </row>
    <row r="538" ht="9" customHeight="1" hidden="1">
      <c r="A538" t="s" s="13">
        <v>2024</v>
      </c>
      <c r="B538" s="14"/>
      <c r="C538" t="str" s="14" cm="1">
        <f t="array" ref="C538">_xlfn.IFERROR((VLOOKUP(A538,#REF!,2,FALSE)),"")</f>
      </c>
      <c r="D538" s="14"/>
      <c r="E538" s="14"/>
      <c r="F538" s="14"/>
      <c r="G538" t="s" s="15">
        <v>2025</v>
      </c>
      <c r="H538" t="s" s="15">
        <v>2026</v>
      </c>
      <c r="I538" t="s" s="15">
        <v>111</v>
      </c>
      <c r="J538" t="s" s="15">
        <v>122</v>
      </c>
      <c r="K538" t="s" s="15">
        <v>113</v>
      </c>
      <c r="L538" t="s" s="15">
        <v>76</v>
      </c>
      <c r="M538" t="s" s="15">
        <v>2025</v>
      </c>
      <c r="N538" t="s" s="15">
        <v>2025</v>
      </c>
      <c r="O538" s="14"/>
      <c r="P538" t="s" s="15">
        <v>122</v>
      </c>
      <c r="Q538" t="s" s="15">
        <v>69</v>
      </c>
      <c r="R538" t="s" s="15">
        <v>83</v>
      </c>
      <c r="S538" s="14"/>
      <c r="T538" s="14"/>
      <c r="U538" s="14"/>
      <c r="V538" t="s" s="15">
        <v>69</v>
      </c>
      <c r="W538" s="14"/>
      <c r="X538" t="s" s="15">
        <v>69</v>
      </c>
      <c r="Y538" s="14"/>
      <c r="Z538" t="s" s="15">
        <v>76</v>
      </c>
      <c r="AA538" s="14"/>
      <c r="AB538" t="s" s="15">
        <v>76</v>
      </c>
      <c r="AC538" t="s" s="15">
        <v>2024</v>
      </c>
      <c r="AD538" t="s" s="15">
        <v>2027</v>
      </c>
      <c r="AE538" s="14"/>
      <c r="AF538" s="14"/>
      <c r="AG538" t="s" s="15">
        <v>299</v>
      </c>
      <c r="AH538" t="s" s="15">
        <v>106</v>
      </c>
      <c r="AI538" t="s" s="15">
        <v>76</v>
      </c>
      <c r="AJ538" t="s" s="15">
        <v>76</v>
      </c>
      <c r="AK538" t="s" s="15">
        <v>79</v>
      </c>
      <c r="AL538" t="s" s="15">
        <v>293</v>
      </c>
      <c r="AM538" t="s" s="15">
        <v>294</v>
      </c>
      <c r="AN538" t="s" s="15">
        <v>128</v>
      </c>
      <c r="AO538" s="17">
        <v>4</v>
      </c>
      <c r="AP538" s="17">
        <v>12288</v>
      </c>
      <c r="AQ538" s="17">
        <v>946287</v>
      </c>
      <c r="AR538" s="17">
        <v>518081</v>
      </c>
      <c r="AS538" t="s" s="15">
        <v>2028</v>
      </c>
      <c r="AT538" t="s" s="15">
        <v>301</v>
      </c>
      <c r="AU538" s="14"/>
      <c r="AV538" s="14"/>
      <c r="AW538" s="14"/>
      <c r="AX538" s="14"/>
      <c r="AY538" s="14"/>
      <c r="AZ538" s="14"/>
      <c r="BA538" s="14"/>
      <c r="BB538" s="14"/>
      <c r="BC538" s="14"/>
      <c r="BD538" s="14"/>
      <c r="BE538" s="14"/>
      <c r="BF538" s="14"/>
      <c r="BG538" s="14"/>
      <c r="BH538" s="14"/>
      <c r="BI538" s="14"/>
      <c r="BJ538" s="14"/>
      <c r="BK538" s="14"/>
      <c r="BL538" s="14"/>
      <c r="BM538" s="14"/>
      <c r="BN538" t="s" s="15">
        <v>78</v>
      </c>
      <c r="BO538" s="16"/>
      <c r="BP538" s="8"/>
    </row>
    <row r="539" ht="9" customHeight="1" hidden="1">
      <c r="A539" t="s" s="9">
        <v>2029</v>
      </c>
      <c r="B539" s="11"/>
      <c r="C539" t="str" s="11" cm="1">
        <f t="array" ref="C539">_xlfn.IFERROR((VLOOKUP(A539,#REF!,2,FALSE)),"")</f>
      </c>
      <c r="D539" s="11"/>
      <c r="E539" s="11"/>
      <c r="F539" s="11"/>
      <c r="G539" t="s" s="10">
        <v>2030</v>
      </c>
      <c r="H539" t="s" s="10">
        <v>2031</v>
      </c>
      <c r="I539" t="s" s="10">
        <v>111</v>
      </c>
      <c r="J539" t="s" s="10">
        <v>469</v>
      </c>
      <c r="K539" t="s" s="10">
        <v>113</v>
      </c>
      <c r="L539" t="s" s="10">
        <v>76</v>
      </c>
      <c r="M539" t="s" s="10">
        <v>2030</v>
      </c>
      <c r="N539" t="s" s="10">
        <v>2030</v>
      </c>
      <c r="O539" s="11"/>
      <c r="P539" t="s" s="10">
        <v>469</v>
      </c>
      <c r="Q539" t="s" s="10">
        <v>69</v>
      </c>
      <c r="R539" t="s" s="10">
        <v>83</v>
      </c>
      <c r="S539" s="11"/>
      <c r="T539" s="11"/>
      <c r="U539" s="11"/>
      <c r="V539" t="s" s="10">
        <v>69</v>
      </c>
      <c r="W539" s="11"/>
      <c r="X539" t="s" s="10">
        <v>69</v>
      </c>
      <c r="Y539" s="11"/>
      <c r="Z539" t="s" s="10">
        <v>76</v>
      </c>
      <c r="AA539" s="11"/>
      <c r="AB539" t="s" s="10">
        <v>76</v>
      </c>
      <c r="AC539" t="s" s="10">
        <v>2029</v>
      </c>
      <c r="AD539" t="s" s="10">
        <v>2032</v>
      </c>
      <c r="AE539" s="11"/>
      <c r="AF539" s="11"/>
      <c r="AG539" t="s" s="10">
        <v>299</v>
      </c>
      <c r="AH539" t="s" s="10">
        <v>106</v>
      </c>
      <c r="AI539" t="s" s="10">
        <v>76</v>
      </c>
      <c r="AJ539" t="s" s="10">
        <v>76</v>
      </c>
      <c r="AK539" t="s" s="10">
        <v>79</v>
      </c>
      <c r="AL539" t="s" s="10">
        <v>293</v>
      </c>
      <c r="AM539" t="s" s="10">
        <v>294</v>
      </c>
      <c r="AN539" t="s" s="10">
        <v>128</v>
      </c>
      <c r="AO539" s="18">
        <v>4</v>
      </c>
      <c r="AP539" s="18">
        <v>16384</v>
      </c>
      <c r="AQ539" s="18">
        <v>579700</v>
      </c>
      <c r="AR539" s="18">
        <v>579700</v>
      </c>
      <c r="AS539" t="s" s="10">
        <v>2033</v>
      </c>
      <c r="AT539" t="s" s="10">
        <v>301</v>
      </c>
      <c r="AU539" s="11"/>
      <c r="AV539" s="11"/>
      <c r="AW539" s="11"/>
      <c r="AX539" s="11"/>
      <c r="AY539" s="11"/>
      <c r="AZ539" s="11"/>
      <c r="BA539" s="11"/>
      <c r="BB539" s="11"/>
      <c r="BC539" s="11"/>
      <c r="BD539" s="11"/>
      <c r="BE539" s="11"/>
      <c r="BF539" s="11"/>
      <c r="BG539" s="11"/>
      <c r="BH539" s="11"/>
      <c r="BI539" s="11"/>
      <c r="BJ539" s="11"/>
      <c r="BK539" s="11"/>
      <c r="BL539" s="11"/>
      <c r="BM539" s="11"/>
      <c r="BN539" t="s" s="10">
        <v>78</v>
      </c>
      <c r="BO539" s="12"/>
      <c r="BP539" s="8"/>
    </row>
    <row r="540" ht="9" customHeight="1" hidden="1">
      <c r="A540" t="s" s="13">
        <v>2034</v>
      </c>
      <c r="B540" s="14"/>
      <c r="C540" t="str" s="14" cm="1">
        <f t="array" ref="C540">_xlfn.IFERROR((VLOOKUP(A540,#REF!,2,FALSE)),"")</f>
      </c>
      <c r="D540" s="14"/>
      <c r="E540" t="s" s="15">
        <v>2035</v>
      </c>
      <c r="F540" s="14"/>
      <c r="G540" t="s" s="15">
        <v>2036</v>
      </c>
      <c r="H540" t="s" s="15">
        <v>2037</v>
      </c>
      <c r="I540" t="s" s="15">
        <v>111</v>
      </c>
      <c r="J540" t="s" s="15">
        <v>122</v>
      </c>
      <c r="K540" t="s" s="15">
        <v>113</v>
      </c>
      <c r="L540" t="s" s="15">
        <v>76</v>
      </c>
      <c r="M540" t="s" s="15">
        <v>2036</v>
      </c>
      <c r="N540" t="s" s="15">
        <v>2036</v>
      </c>
      <c r="O540" s="14"/>
      <c r="P540" t="s" s="15">
        <v>122</v>
      </c>
      <c r="Q540" t="s" s="15">
        <v>69</v>
      </c>
      <c r="R540" t="s" s="15">
        <v>83</v>
      </c>
      <c r="S540" s="14"/>
      <c r="T540" s="14"/>
      <c r="U540" s="14"/>
      <c r="V540" t="s" s="15">
        <v>69</v>
      </c>
      <c r="W540" s="14"/>
      <c r="X540" t="s" s="15">
        <v>69</v>
      </c>
      <c r="Y540" s="14"/>
      <c r="Z540" t="s" s="15">
        <v>76</v>
      </c>
      <c r="AA540" s="14"/>
      <c r="AB540" t="s" s="15">
        <v>76</v>
      </c>
      <c r="AC540" t="s" s="15">
        <v>2034</v>
      </c>
      <c r="AD540" s="14"/>
      <c r="AE540" s="14"/>
      <c r="AF540" s="14"/>
      <c r="AG540" t="s" s="15">
        <v>299</v>
      </c>
      <c r="AH540" t="s" s="15">
        <v>106</v>
      </c>
      <c r="AI540" t="s" s="15">
        <v>76</v>
      </c>
      <c r="AJ540" t="s" s="15">
        <v>76</v>
      </c>
      <c r="AK540" t="s" s="15">
        <v>79</v>
      </c>
      <c r="AL540" t="s" s="15">
        <v>293</v>
      </c>
      <c r="AM540" t="s" s="15">
        <v>294</v>
      </c>
      <c r="AN540" t="s" s="15">
        <v>128</v>
      </c>
      <c r="AO540" s="17">
        <v>2</v>
      </c>
      <c r="AP540" s="17">
        <v>8192</v>
      </c>
      <c r="AQ540" s="17">
        <v>213074</v>
      </c>
      <c r="AR540" s="17">
        <v>213074</v>
      </c>
      <c r="AS540" t="s" s="15">
        <v>2038</v>
      </c>
      <c r="AT540" s="14"/>
      <c r="AU540" s="14"/>
      <c r="AV540" s="14"/>
      <c r="AW540" s="14"/>
      <c r="AX540" s="14"/>
      <c r="AY540" s="14"/>
      <c r="AZ540" s="14"/>
      <c r="BA540" s="14"/>
      <c r="BB540" s="14"/>
      <c r="BC540" s="14"/>
      <c r="BD540" s="14"/>
      <c r="BE540" s="14"/>
      <c r="BF540" s="14"/>
      <c r="BG540" s="14"/>
      <c r="BH540" s="14"/>
      <c r="BI540" s="14"/>
      <c r="BJ540" s="14"/>
      <c r="BK540" s="14"/>
      <c r="BL540" s="14"/>
      <c r="BM540" s="14"/>
      <c r="BN540" t="s" s="15">
        <v>69</v>
      </c>
      <c r="BO540" s="16"/>
      <c r="BP540" s="8"/>
    </row>
    <row r="541" ht="9" customHeight="1" hidden="1">
      <c r="A541" t="s" s="9">
        <v>2039</v>
      </c>
      <c r="B541" s="11"/>
      <c r="C541" t="str" s="11" cm="1">
        <f t="array" ref="C541">_xlfn.IFERROR((VLOOKUP(A541,#REF!,2,FALSE)),"")</f>
      </c>
      <c r="D541" s="11"/>
      <c r="E541" t="s" s="10">
        <v>1997</v>
      </c>
      <c r="F541" s="11"/>
      <c r="G541" t="s" s="10">
        <v>2036</v>
      </c>
      <c r="H541" t="s" s="10">
        <v>2037</v>
      </c>
      <c r="I541" t="s" s="10">
        <v>73</v>
      </c>
      <c r="J541" t="s" s="10">
        <v>74</v>
      </c>
      <c r="K541" t="s" s="10">
        <v>113</v>
      </c>
      <c r="L541" t="s" s="10">
        <v>76</v>
      </c>
      <c r="M541" t="s" s="10">
        <v>2040</v>
      </c>
      <c r="N541" t="s" s="10">
        <v>2036</v>
      </c>
      <c r="O541" t="s" s="10">
        <v>71</v>
      </c>
      <c r="P541" t="s" s="10">
        <v>322</v>
      </c>
      <c r="Q541" t="s" s="10">
        <v>69</v>
      </c>
      <c r="R541" t="s" s="10">
        <v>71</v>
      </c>
      <c r="S541" s="11"/>
      <c r="T541" s="11"/>
      <c r="U541" s="11"/>
      <c r="V541" t="s" s="10">
        <v>78</v>
      </c>
      <c r="W541" t="s" s="10">
        <v>2039</v>
      </c>
      <c r="X541" t="s" s="10">
        <v>78</v>
      </c>
      <c r="Y541" s="11"/>
      <c r="Z541" t="s" s="10">
        <v>76</v>
      </c>
      <c r="AA541" s="11"/>
      <c r="AB541" t="s" s="10">
        <v>76</v>
      </c>
      <c r="AC541" t="s" s="10">
        <v>2039</v>
      </c>
      <c r="AD541" s="11"/>
      <c r="AE541" s="11"/>
      <c r="AF541" s="11"/>
      <c r="AG541" t="s" s="10">
        <v>299</v>
      </c>
      <c r="AH541" t="s" s="10">
        <v>106</v>
      </c>
      <c r="AI541" t="s" s="10">
        <v>76</v>
      </c>
      <c r="AJ541" t="s" s="10">
        <v>76</v>
      </c>
      <c r="AK541" t="s" s="10">
        <v>79</v>
      </c>
      <c r="AL541" t="s" s="10">
        <v>293</v>
      </c>
      <c r="AM541" t="s" s="10">
        <v>196</v>
      </c>
      <c r="AN541" s="11"/>
      <c r="AO541" s="18">
        <v>2</v>
      </c>
      <c r="AP541" s="18">
        <v>8192</v>
      </c>
      <c r="AQ541" s="18">
        <v>477063</v>
      </c>
      <c r="AR541" s="18">
        <v>281870</v>
      </c>
      <c r="AS541" t="s" s="10">
        <v>2041</v>
      </c>
      <c r="AT541" t="s" s="10">
        <v>301</v>
      </c>
      <c r="AU541" s="11"/>
      <c r="AV541" s="11"/>
      <c r="AW541" s="11"/>
      <c r="AX541" s="11"/>
      <c r="AY541" s="11"/>
      <c r="AZ541" s="11"/>
      <c r="BA541" s="11"/>
      <c r="BB541" s="11"/>
      <c r="BC541" s="11"/>
      <c r="BD541" s="11"/>
      <c r="BE541" s="11"/>
      <c r="BF541" s="11"/>
      <c r="BG541" s="11"/>
      <c r="BH541" s="11"/>
      <c r="BI541" s="11"/>
      <c r="BJ541" s="11"/>
      <c r="BK541" s="11"/>
      <c r="BL541" s="11"/>
      <c r="BM541" s="11"/>
      <c r="BN541" s="11"/>
      <c r="BO541" s="12"/>
      <c r="BP541" s="8"/>
    </row>
    <row r="542" ht="9" customHeight="1" hidden="1">
      <c r="A542" t="s" s="13">
        <v>2042</v>
      </c>
      <c r="B542" s="14"/>
      <c r="C542" t="str" s="14" cm="1">
        <f t="array" ref="C542">_xlfn.IFERROR((VLOOKUP(A542,#REF!,2,FALSE)),"")</f>
      </c>
      <c r="D542" t="s" s="15">
        <v>70</v>
      </c>
      <c r="E542" t="s" s="15">
        <v>2035</v>
      </c>
      <c r="F542" s="14"/>
      <c r="G542" t="s" s="15">
        <v>2043</v>
      </c>
      <c r="H542" t="s" s="15">
        <v>2037</v>
      </c>
      <c r="I542" t="s" s="15">
        <v>111</v>
      </c>
      <c r="J542" t="s" s="15">
        <v>452</v>
      </c>
      <c r="K542" t="s" s="15">
        <v>113</v>
      </c>
      <c r="L542" t="s" s="15">
        <v>76</v>
      </c>
      <c r="M542" t="s" s="15">
        <v>2043</v>
      </c>
      <c r="N542" t="s" s="15">
        <v>2043</v>
      </c>
      <c r="O542" s="14"/>
      <c r="P542" t="s" s="15">
        <v>452</v>
      </c>
      <c r="Q542" t="s" s="15">
        <v>69</v>
      </c>
      <c r="R542" t="s" s="15">
        <v>83</v>
      </c>
      <c r="S542" s="14"/>
      <c r="T542" s="14"/>
      <c r="U542" s="14"/>
      <c r="V542" t="s" s="15">
        <v>69</v>
      </c>
      <c r="W542" s="14"/>
      <c r="X542" t="s" s="15">
        <v>69</v>
      </c>
      <c r="Y542" s="14"/>
      <c r="Z542" t="s" s="15">
        <v>76</v>
      </c>
      <c r="AA542" s="14"/>
      <c r="AB542" t="s" s="15">
        <v>76</v>
      </c>
      <c r="AC542" t="s" s="15">
        <v>2042</v>
      </c>
      <c r="AD542" s="14"/>
      <c r="AE542" s="14"/>
      <c r="AF542" s="14"/>
      <c r="AG542" t="s" s="15">
        <v>288</v>
      </c>
      <c r="AH542" t="s" s="15">
        <v>106</v>
      </c>
      <c r="AI542" t="s" s="15">
        <v>76</v>
      </c>
      <c r="AJ542" t="s" s="15">
        <v>76</v>
      </c>
      <c r="AK542" t="s" s="15">
        <v>79</v>
      </c>
      <c r="AL542" t="s" s="15">
        <v>293</v>
      </c>
      <c r="AM542" t="s" s="15">
        <v>294</v>
      </c>
      <c r="AN542" t="s" s="15">
        <v>128</v>
      </c>
      <c r="AO542" s="17">
        <v>2</v>
      </c>
      <c r="AP542" s="17">
        <v>8192</v>
      </c>
      <c r="AQ542" s="17">
        <v>213286</v>
      </c>
      <c r="AR542" s="17">
        <v>213286</v>
      </c>
      <c r="AS542" t="s" s="15">
        <v>2044</v>
      </c>
      <c r="AT542" s="14"/>
      <c r="AU542" s="14"/>
      <c r="AV542" s="14"/>
      <c r="AW542" s="14"/>
      <c r="AX542" s="14"/>
      <c r="AY542" s="14"/>
      <c r="AZ542" s="14"/>
      <c r="BA542" s="14"/>
      <c r="BB542" s="14"/>
      <c r="BC542" s="14"/>
      <c r="BD542" s="14"/>
      <c r="BE542" s="14"/>
      <c r="BF542" s="14"/>
      <c r="BG542" s="14"/>
      <c r="BH542" s="14"/>
      <c r="BI542" s="14"/>
      <c r="BJ542" s="14"/>
      <c r="BK542" s="14"/>
      <c r="BL542" s="14"/>
      <c r="BM542" s="14"/>
      <c r="BN542" t="s" s="15">
        <v>78</v>
      </c>
      <c r="BO542" s="16"/>
      <c r="BP542" s="8"/>
    </row>
    <row r="543" ht="9" customHeight="1" hidden="1">
      <c r="A543" t="s" s="9">
        <v>2045</v>
      </c>
      <c r="B543" s="11"/>
      <c r="C543" t="str" s="11" cm="1">
        <f t="array" ref="C543">_xlfn.IFERROR((VLOOKUP(A543,#REF!,2,FALSE)),"")</f>
      </c>
      <c r="D543" t="s" s="10">
        <v>70</v>
      </c>
      <c r="E543" t="s" s="10">
        <v>195</v>
      </c>
      <c r="F543" s="11"/>
      <c r="G543" t="s" s="10">
        <v>2046</v>
      </c>
      <c r="H543" t="s" s="10">
        <v>2037</v>
      </c>
      <c r="I543" t="s" s="10">
        <v>73</v>
      </c>
      <c r="J543" t="s" s="10">
        <v>74</v>
      </c>
      <c r="K543" t="s" s="10">
        <v>113</v>
      </c>
      <c r="L543" t="s" s="10">
        <v>76</v>
      </c>
      <c r="M543" t="s" s="10">
        <v>2046</v>
      </c>
      <c r="N543" s="11"/>
      <c r="O543" t="s" s="10">
        <v>71</v>
      </c>
      <c r="P543" t="s" s="10">
        <v>322</v>
      </c>
      <c r="Q543" t="s" s="10">
        <v>69</v>
      </c>
      <c r="R543" t="s" s="10">
        <v>71</v>
      </c>
      <c r="S543" s="11"/>
      <c r="T543" s="11"/>
      <c r="U543" s="11"/>
      <c r="V543" t="s" s="10">
        <v>78</v>
      </c>
      <c r="W543" t="s" s="10">
        <v>2045</v>
      </c>
      <c r="X543" t="s" s="10">
        <v>78</v>
      </c>
      <c r="Y543" s="11"/>
      <c r="Z543" t="s" s="10">
        <v>76</v>
      </c>
      <c r="AA543" s="11"/>
      <c r="AB543" t="s" s="10">
        <v>76</v>
      </c>
      <c r="AC543" t="s" s="10">
        <v>2045</v>
      </c>
      <c r="AD543" s="11"/>
      <c r="AE543" s="11"/>
      <c r="AF543" s="11"/>
      <c r="AG543" t="s" s="10">
        <v>288</v>
      </c>
      <c r="AH543" t="s" s="10">
        <v>106</v>
      </c>
      <c r="AI543" t="s" s="10">
        <v>76</v>
      </c>
      <c r="AJ543" t="s" s="10">
        <v>76</v>
      </c>
      <c r="AK543" t="s" s="10">
        <v>79</v>
      </c>
      <c r="AL543" t="s" s="10">
        <v>293</v>
      </c>
      <c r="AM543" t="s" s="10">
        <v>196</v>
      </c>
      <c r="AN543" s="11"/>
      <c r="AO543" s="18">
        <v>2</v>
      </c>
      <c r="AP543" s="18">
        <v>8192</v>
      </c>
      <c r="AQ543" s="18">
        <v>463032</v>
      </c>
      <c r="AR543" s="18">
        <v>258257</v>
      </c>
      <c r="AS543" t="s" s="10">
        <v>2047</v>
      </c>
      <c r="AT543" s="11"/>
      <c r="AU543" s="11"/>
      <c r="AV543" s="11"/>
      <c r="AW543" s="11"/>
      <c r="AX543" s="11"/>
      <c r="AY543" s="11"/>
      <c r="AZ543" s="11"/>
      <c r="BA543" s="11"/>
      <c r="BB543" s="11"/>
      <c r="BC543" s="11"/>
      <c r="BD543" s="11"/>
      <c r="BE543" s="11"/>
      <c r="BF543" s="11"/>
      <c r="BG543" s="11"/>
      <c r="BH543" s="11"/>
      <c r="BI543" s="11"/>
      <c r="BJ543" s="11"/>
      <c r="BK543" s="11"/>
      <c r="BL543" s="11"/>
      <c r="BM543" s="11"/>
      <c r="BN543" s="11"/>
      <c r="BO543" s="12"/>
      <c r="BP543" s="8"/>
    </row>
    <row r="544" ht="9" customHeight="1" hidden="1">
      <c r="A544" t="s" s="13">
        <v>2048</v>
      </c>
      <c r="B544" s="14"/>
      <c r="C544" t="str" s="14" cm="1">
        <f t="array" ref="C544">_xlfn.IFERROR((VLOOKUP(A544,#REF!,2,FALSE)),"")</f>
      </c>
      <c r="D544" s="14"/>
      <c r="E544" s="14"/>
      <c r="F544" s="14"/>
      <c r="G544" t="s" s="15">
        <v>2049</v>
      </c>
      <c r="H544" t="s" s="15">
        <v>2037</v>
      </c>
      <c r="I544" t="s" s="15">
        <v>111</v>
      </c>
      <c r="J544" t="s" s="15">
        <v>122</v>
      </c>
      <c r="K544" t="s" s="15">
        <v>113</v>
      </c>
      <c r="L544" t="s" s="15">
        <v>76</v>
      </c>
      <c r="M544" t="s" s="15">
        <v>2049</v>
      </c>
      <c r="N544" t="s" s="15">
        <v>2049</v>
      </c>
      <c r="O544" s="14"/>
      <c r="P544" t="s" s="15">
        <v>122</v>
      </c>
      <c r="Q544" t="s" s="15">
        <v>78</v>
      </c>
      <c r="R544" t="s" s="15">
        <v>83</v>
      </c>
      <c r="S544" s="14"/>
      <c r="T544" s="14"/>
      <c r="U544" s="14"/>
      <c r="V544" t="s" s="15">
        <v>69</v>
      </c>
      <c r="W544" s="14"/>
      <c r="X544" t="s" s="15">
        <v>69</v>
      </c>
      <c r="Y544" s="14"/>
      <c r="Z544" t="s" s="15">
        <v>76</v>
      </c>
      <c r="AA544" s="14"/>
      <c r="AB544" t="s" s="15">
        <v>76</v>
      </c>
      <c r="AC544" s="14"/>
      <c r="AD544" s="14"/>
      <c r="AE544" s="14"/>
      <c r="AF544" s="14"/>
      <c r="AG544" t="s" s="15">
        <v>299</v>
      </c>
      <c r="AH544" t="s" s="15">
        <v>106</v>
      </c>
      <c r="AI544" t="s" s="15">
        <v>76</v>
      </c>
      <c r="AJ544" t="s" s="15">
        <v>76</v>
      </c>
      <c r="AK544" t="s" s="15">
        <v>79</v>
      </c>
      <c r="AL544" t="s" s="15">
        <v>293</v>
      </c>
      <c r="AM544" t="s" s="15">
        <v>294</v>
      </c>
      <c r="AN544" t="s" s="15">
        <v>128</v>
      </c>
      <c r="AO544" s="17">
        <v>4</v>
      </c>
      <c r="AP544" s="17">
        <v>8192</v>
      </c>
      <c r="AQ544" s="17">
        <v>315508</v>
      </c>
      <c r="AR544" s="17">
        <v>315508</v>
      </c>
      <c r="AS544" t="s" s="15">
        <v>2050</v>
      </c>
      <c r="AT544" s="14"/>
      <c r="AU544" s="14"/>
      <c r="AV544" s="14"/>
      <c r="AW544" s="14"/>
      <c r="AX544" s="14"/>
      <c r="AY544" s="14"/>
      <c r="AZ544" s="14"/>
      <c r="BA544" s="14"/>
      <c r="BB544" s="14"/>
      <c r="BC544" s="14"/>
      <c r="BD544" s="14"/>
      <c r="BE544" s="14"/>
      <c r="BF544" s="14"/>
      <c r="BG544" s="14"/>
      <c r="BH544" s="14"/>
      <c r="BI544" s="14"/>
      <c r="BJ544" s="14"/>
      <c r="BK544" s="14"/>
      <c r="BL544" s="14"/>
      <c r="BM544" s="14"/>
      <c r="BN544" t="s" s="15">
        <v>69</v>
      </c>
      <c r="BO544" s="16"/>
      <c r="BP544" s="8"/>
    </row>
    <row r="545" ht="9" customHeight="1" hidden="1">
      <c r="A545" t="s" s="9">
        <v>2051</v>
      </c>
      <c r="B545" s="11"/>
      <c r="C545" t="str" s="11" cm="1">
        <f t="array" ref="C545">_xlfn.IFERROR((VLOOKUP(A545,#REF!,2,FALSE)),"")</f>
      </c>
      <c r="D545" t="s" s="10">
        <v>70</v>
      </c>
      <c r="E545" t="s" s="10">
        <v>450</v>
      </c>
      <c r="F545" s="11"/>
      <c r="G545" t="s" s="10">
        <v>2052</v>
      </c>
      <c r="H545" t="s" s="10">
        <v>2037</v>
      </c>
      <c r="I545" t="s" s="10">
        <v>111</v>
      </c>
      <c r="J545" t="s" s="10">
        <v>452</v>
      </c>
      <c r="K545" t="s" s="10">
        <v>113</v>
      </c>
      <c r="L545" t="s" s="10">
        <v>76</v>
      </c>
      <c r="M545" t="s" s="10">
        <v>2052</v>
      </c>
      <c r="N545" t="s" s="10">
        <v>2052</v>
      </c>
      <c r="O545" s="11"/>
      <c r="P545" t="s" s="10">
        <v>452</v>
      </c>
      <c r="Q545" t="s" s="10">
        <v>69</v>
      </c>
      <c r="R545" t="s" s="10">
        <v>83</v>
      </c>
      <c r="S545" s="11"/>
      <c r="T545" s="11"/>
      <c r="U545" s="11"/>
      <c r="V545" t="s" s="10">
        <v>69</v>
      </c>
      <c r="W545" s="11"/>
      <c r="X545" t="s" s="10">
        <v>69</v>
      </c>
      <c r="Y545" s="11"/>
      <c r="Z545" t="s" s="10">
        <v>76</v>
      </c>
      <c r="AA545" s="11"/>
      <c r="AB545" t="s" s="10">
        <v>76</v>
      </c>
      <c r="AC545" t="s" s="10">
        <v>2051</v>
      </c>
      <c r="AD545" s="11"/>
      <c r="AE545" s="11"/>
      <c r="AF545" s="11"/>
      <c r="AG545" t="s" s="10">
        <v>288</v>
      </c>
      <c r="AH545" t="s" s="10">
        <v>106</v>
      </c>
      <c r="AI545" t="s" s="10">
        <v>76</v>
      </c>
      <c r="AJ545" t="s" s="10">
        <v>76</v>
      </c>
      <c r="AK545" t="s" s="10">
        <v>79</v>
      </c>
      <c r="AL545" t="s" s="10">
        <v>293</v>
      </c>
      <c r="AM545" t="s" s="10">
        <v>294</v>
      </c>
      <c r="AN545" t="s" s="10">
        <v>128</v>
      </c>
      <c r="AO545" s="18">
        <v>4</v>
      </c>
      <c r="AP545" s="18">
        <v>8192</v>
      </c>
      <c r="AQ545" s="18">
        <v>315623</v>
      </c>
      <c r="AR545" s="18">
        <v>315623</v>
      </c>
      <c r="AS545" t="s" s="10">
        <v>2053</v>
      </c>
      <c r="AT545" s="11"/>
      <c r="AU545" s="11"/>
      <c r="AV545" s="11"/>
      <c r="AW545" s="11"/>
      <c r="AX545" s="11"/>
      <c r="AY545" s="11"/>
      <c r="AZ545" s="11"/>
      <c r="BA545" s="11"/>
      <c r="BB545" s="11"/>
      <c r="BC545" s="11"/>
      <c r="BD545" s="11"/>
      <c r="BE545" s="11"/>
      <c r="BF545" s="11"/>
      <c r="BG545" s="11"/>
      <c r="BH545" s="11"/>
      <c r="BI545" s="11"/>
      <c r="BJ545" s="11"/>
      <c r="BK545" s="11"/>
      <c r="BL545" s="11"/>
      <c r="BM545" s="11"/>
      <c r="BN545" t="s" s="10">
        <v>78</v>
      </c>
      <c r="BO545" s="12"/>
      <c r="BP545" s="8"/>
    </row>
    <row r="546" ht="15" customHeight="1" hidden="1">
      <c r="A546" t="s" s="13">
        <v>2054</v>
      </c>
      <c r="B546" s="14"/>
      <c r="C546" t="str" s="14" cm="1">
        <f t="array" ref="C546">_xlfn.IFERROR((VLOOKUP(A546,#REF!,2,FALSE)),"")</f>
      </c>
      <c r="D546" s="14"/>
      <c r="E546" s="14"/>
      <c r="F546" s="14"/>
      <c r="G546" t="s" s="15">
        <v>2055</v>
      </c>
      <c r="H546" t="s" s="15">
        <v>524</v>
      </c>
      <c r="I546" t="s" s="15">
        <v>111</v>
      </c>
      <c r="J546" t="s" s="15">
        <v>112</v>
      </c>
      <c r="K546" t="s" s="15">
        <v>113</v>
      </c>
      <c r="L546" t="s" s="15">
        <v>518</v>
      </c>
      <c r="M546" t="s" s="15">
        <v>2055</v>
      </c>
      <c r="N546" t="s" s="15">
        <v>2055</v>
      </c>
      <c r="O546" s="14"/>
      <c r="P546" t="s" s="15">
        <v>112</v>
      </c>
      <c r="Q546" t="s" s="15">
        <v>78</v>
      </c>
      <c r="R546" t="s" s="15">
        <v>323</v>
      </c>
      <c r="S546" s="14"/>
      <c r="T546" t="s" s="15">
        <v>69</v>
      </c>
      <c r="U546" s="14"/>
      <c r="V546" t="s" s="15">
        <v>78</v>
      </c>
      <c r="W546" s="14"/>
      <c r="X546" t="s" s="15">
        <v>69</v>
      </c>
      <c r="Y546" s="14"/>
      <c r="Z546" t="s" s="15">
        <v>552</v>
      </c>
      <c r="AA546" s="14"/>
      <c r="AB546" t="s" s="15">
        <v>1551</v>
      </c>
      <c r="AC546" s="14"/>
      <c r="AD546" s="14"/>
      <c r="AE546" s="14"/>
      <c r="AF546" s="14"/>
      <c r="AG546" t="s" s="15">
        <v>299</v>
      </c>
      <c r="AH546" t="s" s="15">
        <v>289</v>
      </c>
      <c r="AI546" t="s" s="15">
        <v>76</v>
      </c>
      <c r="AJ546" t="s" s="15">
        <v>76</v>
      </c>
      <c r="AK546" t="s" s="15">
        <v>524</v>
      </c>
      <c r="AL546" t="s" s="15">
        <v>293</v>
      </c>
      <c r="AM546" t="s" s="15">
        <v>294</v>
      </c>
      <c r="AN546" s="14"/>
      <c r="AO546" s="17">
        <v>2</v>
      </c>
      <c r="AP546" s="17">
        <v>8192</v>
      </c>
      <c r="AQ546" s="17">
        <v>136311</v>
      </c>
      <c r="AR546" s="17">
        <v>136311</v>
      </c>
      <c r="AS546" t="s" s="15">
        <v>2056</v>
      </c>
      <c r="AT546" s="14"/>
      <c r="AU546" s="14"/>
      <c r="AV546" s="14"/>
      <c r="AW546" t="s" s="15">
        <v>2057</v>
      </c>
      <c r="AX546" s="14"/>
      <c r="AY546" s="14"/>
      <c r="AZ546" s="14"/>
      <c r="BA546" s="14"/>
      <c r="BB546" s="14"/>
      <c r="BC546" s="14"/>
      <c r="BD546" s="14"/>
      <c r="BE546" s="14"/>
      <c r="BF546" s="14"/>
      <c r="BG546" s="14"/>
      <c r="BH546" s="14"/>
      <c r="BI546" s="14"/>
      <c r="BJ546" s="14"/>
      <c r="BK546" s="14"/>
      <c r="BL546" s="14"/>
      <c r="BM546" s="14"/>
      <c r="BN546" t="s" s="15">
        <v>78</v>
      </c>
      <c r="BO546" s="16"/>
      <c r="BP546" s="8"/>
    </row>
    <row r="547" ht="15" customHeight="1" hidden="1">
      <c r="A547" t="s" s="9">
        <v>2058</v>
      </c>
      <c r="B547" s="11"/>
      <c r="C547" t="str" s="11" cm="1">
        <f t="array" ref="C547">_xlfn.IFERROR((VLOOKUP(A547,#REF!,2,FALSE)),"")</f>
      </c>
      <c r="D547" s="11"/>
      <c r="E547" s="11"/>
      <c r="F547" s="11"/>
      <c r="G547" t="s" s="10">
        <v>2059</v>
      </c>
      <c r="H547" t="s" s="10">
        <v>524</v>
      </c>
      <c r="I547" t="s" s="10">
        <v>111</v>
      </c>
      <c r="J547" t="s" s="10">
        <v>112</v>
      </c>
      <c r="K547" t="s" s="10">
        <v>113</v>
      </c>
      <c r="L547" t="s" s="10">
        <v>518</v>
      </c>
      <c r="M547" t="s" s="10">
        <v>2059</v>
      </c>
      <c r="N547" t="s" s="10">
        <v>2059</v>
      </c>
      <c r="O547" s="11"/>
      <c r="P547" t="s" s="10">
        <v>112</v>
      </c>
      <c r="Q547" t="s" s="10">
        <v>78</v>
      </c>
      <c r="R547" t="s" s="10">
        <v>323</v>
      </c>
      <c r="S547" s="11"/>
      <c r="T547" t="s" s="10">
        <v>69</v>
      </c>
      <c r="U547" s="11"/>
      <c r="V547" t="s" s="10">
        <v>69</v>
      </c>
      <c r="W547" s="11"/>
      <c r="X547" t="s" s="10">
        <v>69</v>
      </c>
      <c r="Y547" s="11"/>
      <c r="Z547" t="s" s="10">
        <v>552</v>
      </c>
      <c r="AA547" s="11"/>
      <c r="AB547" t="s" s="10">
        <v>1551</v>
      </c>
      <c r="AC547" s="11"/>
      <c r="AD547" s="11"/>
      <c r="AE547" s="11"/>
      <c r="AF547" s="11"/>
      <c r="AG547" t="s" s="10">
        <v>299</v>
      </c>
      <c r="AH547" t="s" s="10">
        <v>289</v>
      </c>
      <c r="AI547" t="s" s="10">
        <v>76</v>
      </c>
      <c r="AJ547" t="s" s="10">
        <v>76</v>
      </c>
      <c r="AK547" t="s" s="10">
        <v>524</v>
      </c>
      <c r="AL547" t="s" s="10">
        <v>293</v>
      </c>
      <c r="AM547" t="s" s="10">
        <v>294</v>
      </c>
      <c r="AN547" t="s" s="10">
        <v>1577</v>
      </c>
      <c r="AO547" s="18">
        <v>2</v>
      </c>
      <c r="AP547" s="18">
        <v>8192</v>
      </c>
      <c r="AQ547" s="18">
        <v>136377</v>
      </c>
      <c r="AR547" s="18">
        <v>136377</v>
      </c>
      <c r="AS547" t="s" s="10">
        <v>2060</v>
      </c>
      <c r="AT547" s="11"/>
      <c r="AU547" s="11"/>
      <c r="AV547" s="11"/>
      <c r="AW547" t="s" s="10">
        <v>2061</v>
      </c>
      <c r="AX547" s="11"/>
      <c r="AY547" s="11"/>
      <c r="AZ547" s="11"/>
      <c r="BA547" s="11"/>
      <c r="BB547" s="11"/>
      <c r="BC547" s="11"/>
      <c r="BD547" s="11"/>
      <c r="BE547" s="11"/>
      <c r="BF547" s="11"/>
      <c r="BG547" s="11"/>
      <c r="BH547" s="11"/>
      <c r="BI547" s="11"/>
      <c r="BJ547" s="11"/>
      <c r="BK547" s="11"/>
      <c r="BL547" s="11"/>
      <c r="BM547" s="11"/>
      <c r="BN547" t="s" s="10">
        <v>78</v>
      </c>
      <c r="BO547" s="12"/>
      <c r="BP547" s="8"/>
    </row>
    <row r="548" ht="15" customHeight="1">
      <c r="A548" t="s" s="13">
        <v>2062</v>
      </c>
      <c r="B548" s="14"/>
      <c r="C548" t="str" s="14" cm="1">
        <f t="array" ref="C548">_xlfn.IFERROR((VLOOKUP(A548,#REF!,2,FALSE)),"")</f>
      </c>
      <c r="D548" s="14"/>
      <c r="E548" s="14"/>
      <c r="F548" s="14"/>
      <c r="G548" t="s" s="15">
        <v>2063</v>
      </c>
      <c r="H548" t="s" s="15">
        <v>2064</v>
      </c>
      <c r="I548" t="s" s="15">
        <v>111</v>
      </c>
      <c r="J548" t="s" s="15">
        <v>122</v>
      </c>
      <c r="K548" t="s" s="15">
        <v>105</v>
      </c>
      <c r="L548" t="s" s="15">
        <v>76</v>
      </c>
      <c r="M548" t="s" s="15">
        <v>2065</v>
      </c>
      <c r="N548" t="s" s="15">
        <v>2063</v>
      </c>
      <c r="O548" s="14"/>
      <c r="P548" t="s" s="15">
        <v>122</v>
      </c>
      <c r="Q548" t="s" s="15">
        <v>69</v>
      </c>
      <c r="R548" t="s" s="15">
        <v>83</v>
      </c>
      <c r="S548" s="14"/>
      <c r="T548" s="14"/>
      <c r="U548" s="14"/>
      <c r="V548" t="s" s="15">
        <v>69</v>
      </c>
      <c r="W548" s="14"/>
      <c r="X548" t="s" s="15">
        <v>69</v>
      </c>
      <c r="Y548" s="14"/>
      <c r="Z548" t="s" s="15">
        <v>2066</v>
      </c>
      <c r="AA548" s="14"/>
      <c r="AB548" t="s" s="15">
        <v>2067</v>
      </c>
      <c r="AC548" t="s" s="15">
        <v>2062</v>
      </c>
      <c r="AD548" t="s" s="15">
        <v>2068</v>
      </c>
      <c r="AE548" s="14"/>
      <c r="AF548" t="s" s="15">
        <v>76</v>
      </c>
      <c r="AG548" t="s" s="15">
        <v>299</v>
      </c>
      <c r="AH548" t="s" s="15">
        <v>114</v>
      </c>
      <c r="AI548" t="s" s="15">
        <v>332</v>
      </c>
      <c r="AJ548" t="s" s="15">
        <v>798</v>
      </c>
      <c r="AK548" t="s" s="15">
        <v>83</v>
      </c>
      <c r="AL548" t="s" s="15">
        <v>293</v>
      </c>
      <c r="AM548" t="s" s="15">
        <v>294</v>
      </c>
      <c r="AN548" t="s" s="15">
        <v>128</v>
      </c>
      <c r="AO548" s="17">
        <v>4</v>
      </c>
      <c r="AP548" s="17">
        <v>8192</v>
      </c>
      <c r="AQ548" s="17">
        <v>131197</v>
      </c>
      <c r="AR548" s="17">
        <v>131197</v>
      </c>
      <c r="AS548" t="s" s="15">
        <v>2069</v>
      </c>
      <c r="AT548" t="s" s="15">
        <v>301</v>
      </c>
      <c r="AU548" s="14"/>
      <c r="AV548" s="14"/>
      <c r="AW548" s="14"/>
      <c r="AX548" s="14"/>
      <c r="AY548" s="14"/>
      <c r="AZ548" s="14"/>
      <c r="BA548" s="14"/>
      <c r="BB548" s="14"/>
      <c r="BC548" s="14"/>
      <c r="BD548" t="s" s="15">
        <v>310</v>
      </c>
      <c r="BE548" t="s" s="15">
        <v>356</v>
      </c>
      <c r="BF548" s="17">
        <v>4</v>
      </c>
      <c r="BG548" s="17">
        <v>8</v>
      </c>
      <c r="BH548" s="14"/>
      <c r="BI548" s="14"/>
      <c r="BJ548" s="14"/>
      <c r="BK548" s="14"/>
      <c r="BL548" s="14"/>
      <c r="BM548" s="14"/>
      <c r="BN548" t="s" s="15">
        <v>69</v>
      </c>
      <c r="BO548" s="16"/>
      <c r="BP548" s="8"/>
    </row>
    <row r="549" ht="15" customHeight="1">
      <c r="A549" t="s" s="9">
        <v>2070</v>
      </c>
      <c r="B549" s="11"/>
      <c r="C549" t="str" s="11" cm="1">
        <f t="array" ref="C549">_xlfn.IFERROR((VLOOKUP(A549,#REF!,2,FALSE)),"")</f>
      </c>
      <c r="D549" s="11"/>
      <c r="E549" s="11"/>
      <c r="F549" s="11"/>
      <c r="G549" t="s" s="10">
        <v>2071</v>
      </c>
      <c r="H549" t="s" s="10">
        <v>2064</v>
      </c>
      <c r="I549" t="s" s="10">
        <v>111</v>
      </c>
      <c r="J549" t="s" s="10">
        <v>122</v>
      </c>
      <c r="K549" t="s" s="10">
        <v>105</v>
      </c>
      <c r="L549" t="s" s="10">
        <v>76</v>
      </c>
      <c r="M549" t="s" s="10">
        <v>2072</v>
      </c>
      <c r="N549" t="s" s="10">
        <v>2071</v>
      </c>
      <c r="O549" s="11"/>
      <c r="P549" t="s" s="10">
        <v>122</v>
      </c>
      <c r="Q549" t="s" s="10">
        <v>69</v>
      </c>
      <c r="R549" t="s" s="10">
        <v>83</v>
      </c>
      <c r="S549" s="11"/>
      <c r="T549" s="11"/>
      <c r="U549" s="11"/>
      <c r="V549" t="s" s="10">
        <v>69</v>
      </c>
      <c r="W549" s="11"/>
      <c r="X549" t="s" s="10">
        <v>69</v>
      </c>
      <c r="Y549" s="11"/>
      <c r="Z549" t="s" s="10">
        <v>2066</v>
      </c>
      <c r="AA549" s="11"/>
      <c r="AB549" t="s" s="10">
        <v>2067</v>
      </c>
      <c r="AC549" t="s" s="10">
        <v>2070</v>
      </c>
      <c r="AD549" t="s" s="10">
        <v>2073</v>
      </c>
      <c r="AE549" s="11"/>
      <c r="AF549" t="s" s="10">
        <v>76</v>
      </c>
      <c r="AG549" t="s" s="10">
        <v>299</v>
      </c>
      <c r="AH549" t="s" s="10">
        <v>114</v>
      </c>
      <c r="AI549" t="s" s="10">
        <v>332</v>
      </c>
      <c r="AJ549" t="s" s="10">
        <v>798</v>
      </c>
      <c r="AK549" t="s" s="10">
        <v>83</v>
      </c>
      <c r="AL549" t="s" s="10">
        <v>293</v>
      </c>
      <c r="AM549" t="s" s="10">
        <v>294</v>
      </c>
      <c r="AN549" t="s" s="10">
        <v>128</v>
      </c>
      <c r="AO549" s="18">
        <v>4</v>
      </c>
      <c r="AP549" s="18">
        <v>8192</v>
      </c>
      <c r="AQ549" s="18">
        <v>131191</v>
      </c>
      <c r="AR549" s="18">
        <v>131191</v>
      </c>
      <c r="AS549" t="s" s="10">
        <v>2074</v>
      </c>
      <c r="AT549" t="s" s="10">
        <v>301</v>
      </c>
      <c r="AU549" s="11"/>
      <c r="AV549" s="11"/>
      <c r="AW549" s="11"/>
      <c r="AX549" s="11"/>
      <c r="AY549" s="11"/>
      <c r="AZ549" s="11"/>
      <c r="BA549" s="11"/>
      <c r="BB549" s="11"/>
      <c r="BC549" s="11"/>
      <c r="BD549" t="s" s="10">
        <v>310</v>
      </c>
      <c r="BE549" t="s" s="10">
        <v>356</v>
      </c>
      <c r="BF549" s="18">
        <v>4</v>
      </c>
      <c r="BG549" s="18">
        <v>8</v>
      </c>
      <c r="BH549" s="11"/>
      <c r="BI549" s="11"/>
      <c r="BJ549" s="11"/>
      <c r="BK549" s="11"/>
      <c r="BL549" s="11"/>
      <c r="BM549" s="11"/>
      <c r="BN549" t="s" s="10">
        <v>69</v>
      </c>
      <c r="BO549" s="12"/>
      <c r="BP549" s="8"/>
    </row>
    <row r="550" ht="15" customHeight="1">
      <c r="A550" t="s" s="13">
        <v>2075</v>
      </c>
      <c r="B550" s="14"/>
      <c r="C550" t="str" s="14" cm="1">
        <f t="array" ref="C550">_xlfn.IFERROR((VLOOKUP(A550,#REF!,2,FALSE)),"")</f>
      </c>
      <c r="D550" s="14"/>
      <c r="E550" s="14"/>
      <c r="F550" s="14"/>
      <c r="G550" t="s" s="15">
        <v>2076</v>
      </c>
      <c r="H550" t="s" s="15">
        <v>2064</v>
      </c>
      <c r="I550" t="s" s="15">
        <v>111</v>
      </c>
      <c r="J550" t="s" s="15">
        <v>122</v>
      </c>
      <c r="K550" t="s" s="15">
        <v>105</v>
      </c>
      <c r="L550" t="s" s="15">
        <v>76</v>
      </c>
      <c r="M550" t="s" s="15">
        <v>2077</v>
      </c>
      <c r="N550" t="s" s="15">
        <v>2076</v>
      </c>
      <c r="O550" s="14"/>
      <c r="P550" t="s" s="15">
        <v>122</v>
      </c>
      <c r="Q550" t="s" s="15">
        <v>69</v>
      </c>
      <c r="R550" t="s" s="15">
        <v>83</v>
      </c>
      <c r="S550" s="14"/>
      <c r="T550" s="14"/>
      <c r="U550" s="14"/>
      <c r="V550" t="s" s="15">
        <v>69</v>
      </c>
      <c r="W550" s="14"/>
      <c r="X550" t="s" s="15">
        <v>69</v>
      </c>
      <c r="Y550" s="14"/>
      <c r="Z550" t="s" s="15">
        <v>2066</v>
      </c>
      <c r="AA550" s="14"/>
      <c r="AB550" t="s" s="15">
        <v>2067</v>
      </c>
      <c r="AC550" t="s" s="15">
        <v>2075</v>
      </c>
      <c r="AD550" t="s" s="15">
        <v>2078</v>
      </c>
      <c r="AE550" s="14"/>
      <c r="AF550" t="s" s="15">
        <v>76</v>
      </c>
      <c r="AG550" t="s" s="15">
        <v>299</v>
      </c>
      <c r="AH550" t="s" s="15">
        <v>114</v>
      </c>
      <c r="AI550" t="s" s="15">
        <v>332</v>
      </c>
      <c r="AJ550" t="s" s="15">
        <v>798</v>
      </c>
      <c r="AK550" t="s" s="15">
        <v>83</v>
      </c>
      <c r="AL550" t="s" s="15">
        <v>293</v>
      </c>
      <c r="AM550" t="s" s="15">
        <v>294</v>
      </c>
      <c r="AN550" t="s" s="15">
        <v>128</v>
      </c>
      <c r="AO550" s="17">
        <v>4</v>
      </c>
      <c r="AP550" s="17">
        <v>8192</v>
      </c>
      <c r="AQ550" s="17">
        <v>131229</v>
      </c>
      <c r="AR550" s="17">
        <v>131229</v>
      </c>
      <c r="AS550" t="s" s="15">
        <v>2079</v>
      </c>
      <c r="AT550" t="s" s="15">
        <v>301</v>
      </c>
      <c r="AU550" s="14"/>
      <c r="AV550" s="14"/>
      <c r="AW550" s="14"/>
      <c r="AX550" s="14"/>
      <c r="AY550" s="14"/>
      <c r="AZ550" s="14"/>
      <c r="BA550" s="14"/>
      <c r="BB550" s="14"/>
      <c r="BC550" s="14"/>
      <c r="BD550" t="s" s="15">
        <v>310</v>
      </c>
      <c r="BE550" t="s" s="15">
        <v>356</v>
      </c>
      <c r="BF550" s="17">
        <v>4</v>
      </c>
      <c r="BG550" s="17">
        <v>8</v>
      </c>
      <c r="BH550" s="14"/>
      <c r="BI550" s="14"/>
      <c r="BJ550" s="14"/>
      <c r="BK550" s="14"/>
      <c r="BL550" s="14"/>
      <c r="BM550" s="14"/>
      <c r="BN550" t="s" s="15">
        <v>69</v>
      </c>
      <c r="BO550" s="16"/>
      <c r="BP550" s="8"/>
    </row>
    <row r="551" ht="9" customHeight="1" hidden="1">
      <c r="A551" t="s" s="9">
        <v>2080</v>
      </c>
      <c r="B551" s="11"/>
      <c r="C551" t="str" s="11" cm="1">
        <f t="array" ref="C551">_xlfn.IFERROR((VLOOKUP(A551,#REF!,2,FALSE)),"")</f>
      </c>
      <c r="D551" s="11"/>
      <c r="E551" s="11"/>
      <c r="F551" s="11"/>
      <c r="G551" t="s" s="10">
        <v>2081</v>
      </c>
      <c r="H551" t="s" s="10">
        <v>2081</v>
      </c>
      <c r="I551" t="s" s="10">
        <v>111</v>
      </c>
      <c r="J551" t="s" s="10">
        <v>122</v>
      </c>
      <c r="K551" t="s" s="10">
        <v>113</v>
      </c>
      <c r="L551" t="s" s="10">
        <v>76</v>
      </c>
      <c r="M551" t="s" s="10">
        <v>2081</v>
      </c>
      <c r="N551" t="s" s="10">
        <v>2081</v>
      </c>
      <c r="O551" s="11"/>
      <c r="P551" t="s" s="10">
        <v>122</v>
      </c>
      <c r="Q551" t="s" s="10">
        <v>78</v>
      </c>
      <c r="R551" t="s" s="10">
        <v>83</v>
      </c>
      <c r="S551" s="11"/>
      <c r="T551" s="11"/>
      <c r="U551" s="11"/>
      <c r="V551" t="s" s="10">
        <v>69</v>
      </c>
      <c r="W551" s="11"/>
      <c r="X551" t="s" s="10">
        <v>69</v>
      </c>
      <c r="Y551" s="11"/>
      <c r="Z551" t="s" s="10">
        <v>76</v>
      </c>
      <c r="AA551" s="11"/>
      <c r="AB551" t="s" s="10">
        <v>76</v>
      </c>
      <c r="AC551" s="11"/>
      <c r="AD551" s="11"/>
      <c r="AE551" s="11"/>
      <c r="AF551" s="11"/>
      <c r="AG551" t="s" s="10">
        <v>299</v>
      </c>
      <c r="AH551" t="s" s="10">
        <v>106</v>
      </c>
      <c r="AI551" t="s" s="10">
        <v>76</v>
      </c>
      <c r="AJ551" t="s" s="10">
        <v>76</v>
      </c>
      <c r="AK551" t="s" s="10">
        <v>79</v>
      </c>
      <c r="AL551" t="s" s="10">
        <v>293</v>
      </c>
      <c r="AM551" t="s" s="10">
        <v>294</v>
      </c>
      <c r="AN551" t="s" s="10">
        <v>2082</v>
      </c>
      <c r="AO551" s="18">
        <v>4</v>
      </c>
      <c r="AP551" s="18">
        <v>8192</v>
      </c>
      <c r="AQ551" s="18">
        <v>213082</v>
      </c>
      <c r="AR551" s="18">
        <v>213082</v>
      </c>
      <c r="AS551" t="s" s="10">
        <v>2083</v>
      </c>
      <c r="AT551" t="s" s="10">
        <v>301</v>
      </c>
      <c r="AU551" s="11"/>
      <c r="AV551" s="11"/>
      <c r="AW551" s="11"/>
      <c r="AX551" s="11"/>
      <c r="AY551" s="11"/>
      <c r="AZ551" s="11"/>
      <c r="BA551" s="11"/>
      <c r="BB551" s="11"/>
      <c r="BC551" s="11"/>
      <c r="BD551" s="11"/>
      <c r="BE551" s="11"/>
      <c r="BF551" s="11"/>
      <c r="BG551" s="11"/>
      <c r="BH551" s="11"/>
      <c r="BI551" s="11"/>
      <c r="BJ551" s="11"/>
      <c r="BK551" s="11"/>
      <c r="BL551" s="11"/>
      <c r="BM551" s="11"/>
      <c r="BN551" t="s" s="10">
        <v>69</v>
      </c>
      <c r="BO551" s="12"/>
      <c r="BP551" s="8"/>
    </row>
    <row r="552" ht="9" customHeight="1" hidden="1">
      <c r="A552" t="s" s="13">
        <v>2084</v>
      </c>
      <c r="B552" s="14"/>
      <c r="C552" t="str" s="14" cm="1">
        <f t="array" ref="C552">_xlfn.IFERROR((VLOOKUP(A552,#REF!,2,FALSE)),"")</f>
      </c>
      <c r="D552" s="14"/>
      <c r="E552" s="14"/>
      <c r="F552" s="14"/>
      <c r="G552" t="s" s="15">
        <v>2085</v>
      </c>
      <c r="H552" t="s" s="15">
        <v>2085</v>
      </c>
      <c r="I552" t="s" s="15">
        <v>111</v>
      </c>
      <c r="J552" t="s" s="15">
        <v>122</v>
      </c>
      <c r="K552" t="s" s="15">
        <v>113</v>
      </c>
      <c r="L552" t="s" s="15">
        <v>76</v>
      </c>
      <c r="M552" t="s" s="15">
        <v>2085</v>
      </c>
      <c r="N552" t="s" s="15">
        <v>2085</v>
      </c>
      <c r="O552" s="14"/>
      <c r="P552" t="s" s="15">
        <v>122</v>
      </c>
      <c r="Q552" t="s" s="15">
        <v>78</v>
      </c>
      <c r="R552" t="s" s="15">
        <v>83</v>
      </c>
      <c r="S552" s="14"/>
      <c r="T552" s="14"/>
      <c r="U552" s="14"/>
      <c r="V552" t="s" s="15">
        <v>69</v>
      </c>
      <c r="W552" s="14"/>
      <c r="X552" t="s" s="15">
        <v>69</v>
      </c>
      <c r="Y552" s="14"/>
      <c r="Z552" t="s" s="15">
        <v>76</v>
      </c>
      <c r="AA552" s="14"/>
      <c r="AB552" t="s" s="15">
        <v>76</v>
      </c>
      <c r="AC552" s="14"/>
      <c r="AD552" s="14"/>
      <c r="AE552" s="14"/>
      <c r="AF552" s="14"/>
      <c r="AG552" t="s" s="15">
        <v>299</v>
      </c>
      <c r="AH552" t="s" s="15">
        <v>106</v>
      </c>
      <c r="AI552" t="s" s="15">
        <v>76</v>
      </c>
      <c r="AJ552" t="s" s="15">
        <v>76</v>
      </c>
      <c r="AK552" t="s" s="15">
        <v>79</v>
      </c>
      <c r="AL552" t="s" s="15">
        <v>293</v>
      </c>
      <c r="AM552" t="s" s="15">
        <v>294</v>
      </c>
      <c r="AN552" t="s" s="15">
        <v>2082</v>
      </c>
      <c r="AO552" s="17">
        <v>4</v>
      </c>
      <c r="AP552" s="17">
        <v>8192</v>
      </c>
      <c r="AQ552" s="17">
        <v>435076</v>
      </c>
      <c r="AR552" s="17">
        <v>232265</v>
      </c>
      <c r="AS552" t="s" s="15">
        <v>2086</v>
      </c>
      <c r="AT552" t="s" s="15">
        <v>301</v>
      </c>
      <c r="AU552" s="14"/>
      <c r="AV552" s="14"/>
      <c r="AW552" s="14"/>
      <c r="AX552" s="14"/>
      <c r="AY552" s="14"/>
      <c r="AZ552" s="14"/>
      <c r="BA552" s="14"/>
      <c r="BB552" s="14"/>
      <c r="BC552" s="14"/>
      <c r="BD552" s="14"/>
      <c r="BE552" s="14"/>
      <c r="BF552" s="14"/>
      <c r="BG552" s="14"/>
      <c r="BH552" s="14"/>
      <c r="BI552" s="14"/>
      <c r="BJ552" s="14"/>
      <c r="BK552" s="14"/>
      <c r="BL552" s="14"/>
      <c r="BM552" s="14"/>
      <c r="BN552" t="s" s="15">
        <v>69</v>
      </c>
      <c r="BO552" s="16"/>
      <c r="BP552" s="8"/>
    </row>
    <row r="553" ht="9" customHeight="1" hidden="1">
      <c r="A553" t="s" s="9">
        <v>2087</v>
      </c>
      <c r="B553" s="11"/>
      <c r="C553" t="str" s="11" cm="1">
        <f t="array" ref="C553">_xlfn.IFERROR((VLOOKUP(A553,#REF!,2,FALSE)),"")</f>
      </c>
      <c r="D553" t="s" s="10">
        <v>70</v>
      </c>
      <c r="E553" t="s" s="10">
        <v>450</v>
      </c>
      <c r="F553" s="11"/>
      <c r="G553" t="s" s="10">
        <v>2088</v>
      </c>
      <c r="H553" t="s" s="10">
        <v>2088</v>
      </c>
      <c r="I553" t="s" s="10">
        <v>111</v>
      </c>
      <c r="J553" t="s" s="10">
        <v>122</v>
      </c>
      <c r="K553" t="s" s="10">
        <v>113</v>
      </c>
      <c r="L553" t="s" s="10">
        <v>76</v>
      </c>
      <c r="M553" t="s" s="10">
        <v>2088</v>
      </c>
      <c r="N553" t="s" s="10">
        <v>2088</v>
      </c>
      <c r="O553" t="s" s="10">
        <v>71</v>
      </c>
      <c r="P553" t="s" s="10">
        <v>122</v>
      </c>
      <c r="Q553" t="s" s="10">
        <v>78</v>
      </c>
      <c r="R553" t="s" s="10">
        <v>83</v>
      </c>
      <c r="S553" s="11"/>
      <c r="T553" s="11"/>
      <c r="U553" s="11"/>
      <c r="V553" t="s" s="10">
        <v>69</v>
      </c>
      <c r="W553" s="11"/>
      <c r="X553" t="s" s="10">
        <v>69</v>
      </c>
      <c r="Y553" s="11"/>
      <c r="Z553" t="s" s="10">
        <v>76</v>
      </c>
      <c r="AA553" s="11"/>
      <c r="AB553" t="s" s="10">
        <v>76</v>
      </c>
      <c r="AC553" s="11"/>
      <c r="AD553" s="11"/>
      <c r="AE553" s="11"/>
      <c r="AF553" s="11"/>
      <c r="AG553" t="s" s="10">
        <v>453</v>
      </c>
      <c r="AH553" t="s" s="10">
        <v>106</v>
      </c>
      <c r="AI553" t="s" s="10">
        <v>76</v>
      </c>
      <c r="AJ553" t="s" s="10">
        <v>76</v>
      </c>
      <c r="AK553" t="s" s="10">
        <v>79</v>
      </c>
      <c r="AL553" t="s" s="10">
        <v>293</v>
      </c>
      <c r="AM553" t="s" s="10">
        <v>294</v>
      </c>
      <c r="AN553" t="s" s="10">
        <v>2089</v>
      </c>
      <c r="AO553" s="18">
        <v>4</v>
      </c>
      <c r="AP553" s="18">
        <v>8192</v>
      </c>
      <c r="AQ553" s="18">
        <v>436076</v>
      </c>
      <c r="AR553" s="18">
        <v>241921</v>
      </c>
      <c r="AS553" t="s" s="10">
        <v>2090</v>
      </c>
      <c r="AT553" s="11"/>
      <c r="AU553" s="11"/>
      <c r="AV553" s="11"/>
      <c r="AW553" s="11"/>
      <c r="AX553" s="11"/>
      <c r="AY553" s="11"/>
      <c r="AZ553" s="11"/>
      <c r="BA553" s="11"/>
      <c r="BB553" s="11"/>
      <c r="BC553" s="11"/>
      <c r="BD553" s="11"/>
      <c r="BE553" s="11"/>
      <c r="BF553" s="11"/>
      <c r="BG553" s="11"/>
      <c r="BH553" s="11"/>
      <c r="BI553" s="11"/>
      <c r="BJ553" s="11"/>
      <c r="BK553" s="11"/>
      <c r="BL553" s="11"/>
      <c r="BM553" s="11"/>
      <c r="BN553" t="s" s="10">
        <v>69</v>
      </c>
      <c r="BO553" s="12"/>
      <c r="BP553" s="8"/>
    </row>
    <row r="554" ht="9" customHeight="1" hidden="1">
      <c r="A554" t="s" s="13">
        <v>2091</v>
      </c>
      <c r="B554" s="14"/>
      <c r="C554" t="str" s="14" cm="1">
        <f t="array" ref="C554">_xlfn.IFERROR((VLOOKUP(A554,#REF!,2,FALSE)),"")</f>
      </c>
      <c r="D554" t="s" s="15">
        <v>70</v>
      </c>
      <c r="E554" t="s" s="15">
        <v>450</v>
      </c>
      <c r="F554" s="14"/>
      <c r="G554" t="s" s="15">
        <v>2092</v>
      </c>
      <c r="H554" t="s" s="15">
        <v>2092</v>
      </c>
      <c r="I554" t="s" s="15">
        <v>111</v>
      </c>
      <c r="J554" t="s" s="15">
        <v>122</v>
      </c>
      <c r="K554" t="s" s="15">
        <v>113</v>
      </c>
      <c r="L554" t="s" s="15">
        <v>76</v>
      </c>
      <c r="M554" t="s" s="15">
        <v>2092</v>
      </c>
      <c r="N554" t="s" s="15">
        <v>2092</v>
      </c>
      <c r="O554" t="s" s="15">
        <v>71</v>
      </c>
      <c r="P554" t="s" s="15">
        <v>122</v>
      </c>
      <c r="Q554" t="s" s="15">
        <v>78</v>
      </c>
      <c r="R554" t="s" s="15">
        <v>83</v>
      </c>
      <c r="S554" s="14"/>
      <c r="T554" s="14"/>
      <c r="U554" s="14"/>
      <c r="V554" t="s" s="15">
        <v>69</v>
      </c>
      <c r="W554" s="14"/>
      <c r="X554" t="s" s="15">
        <v>69</v>
      </c>
      <c r="Y554" s="14"/>
      <c r="Z554" t="s" s="15">
        <v>76</v>
      </c>
      <c r="AA554" s="14"/>
      <c r="AB554" t="s" s="15">
        <v>76</v>
      </c>
      <c r="AC554" s="14"/>
      <c r="AD554" s="14"/>
      <c r="AE554" s="14"/>
      <c r="AF554" s="14"/>
      <c r="AG554" t="s" s="15">
        <v>453</v>
      </c>
      <c r="AH554" t="s" s="15">
        <v>106</v>
      </c>
      <c r="AI554" t="s" s="15">
        <v>76</v>
      </c>
      <c r="AJ554" t="s" s="15">
        <v>76</v>
      </c>
      <c r="AK554" t="s" s="15">
        <v>79</v>
      </c>
      <c r="AL554" t="s" s="15">
        <v>293</v>
      </c>
      <c r="AM554" t="s" s="15">
        <v>294</v>
      </c>
      <c r="AN554" t="s" s="15">
        <v>2089</v>
      </c>
      <c r="AO554" s="17">
        <v>4</v>
      </c>
      <c r="AP554" s="17">
        <v>8192</v>
      </c>
      <c r="AQ554" s="17">
        <v>213663</v>
      </c>
      <c r="AR554" s="17">
        <v>213663</v>
      </c>
      <c r="AS554" t="s" s="15">
        <v>2093</v>
      </c>
      <c r="AT554" s="14"/>
      <c r="AU554" s="14"/>
      <c r="AV554" s="14"/>
      <c r="AW554" s="14"/>
      <c r="AX554" s="14"/>
      <c r="AY554" s="14"/>
      <c r="AZ554" s="14"/>
      <c r="BA554" s="14"/>
      <c r="BB554" s="14"/>
      <c r="BC554" s="14"/>
      <c r="BD554" s="14"/>
      <c r="BE554" s="14"/>
      <c r="BF554" s="14"/>
      <c r="BG554" s="14"/>
      <c r="BH554" s="14"/>
      <c r="BI554" s="14"/>
      <c r="BJ554" s="14"/>
      <c r="BK554" s="14"/>
      <c r="BL554" s="14"/>
      <c r="BM554" s="14"/>
      <c r="BN554" t="s" s="15">
        <v>69</v>
      </c>
      <c r="BO554" s="16"/>
      <c r="BP554" s="8"/>
    </row>
    <row r="555" ht="15" customHeight="1" hidden="1">
      <c r="A555" t="s" s="9">
        <v>2094</v>
      </c>
      <c r="B555" s="11"/>
      <c r="C555" t="str" s="11" cm="1">
        <f t="array" ref="C555">_xlfn.IFERROR((VLOOKUP(A555,#REF!,2,FALSE)),"")</f>
      </c>
      <c r="D555" s="11"/>
      <c r="E555" s="11"/>
      <c r="F555" s="11"/>
      <c r="G555" t="s" s="10">
        <v>2095</v>
      </c>
      <c r="H555" t="s" s="10">
        <v>2096</v>
      </c>
      <c r="I555" t="s" s="10">
        <v>111</v>
      </c>
      <c r="J555" t="s" s="10">
        <v>122</v>
      </c>
      <c r="K555" t="s" s="10">
        <v>113</v>
      </c>
      <c r="L555" t="s" s="10">
        <v>2097</v>
      </c>
      <c r="M555" t="s" s="10">
        <v>2095</v>
      </c>
      <c r="N555" t="s" s="10">
        <v>2095</v>
      </c>
      <c r="O555" s="11"/>
      <c r="P555" t="s" s="10">
        <v>122</v>
      </c>
      <c r="Q555" t="s" s="10">
        <v>69</v>
      </c>
      <c r="R555" t="s" s="10">
        <v>83</v>
      </c>
      <c r="S555" s="11"/>
      <c r="T555" s="11"/>
      <c r="U555" s="11"/>
      <c r="V555" t="s" s="10">
        <v>69</v>
      </c>
      <c r="W555" s="11"/>
      <c r="X555" t="s" s="10">
        <v>69</v>
      </c>
      <c r="Y555" s="11"/>
      <c r="Z555" t="s" s="10">
        <v>205</v>
      </c>
      <c r="AA555" s="11"/>
      <c r="AB555" t="s" s="10">
        <v>2098</v>
      </c>
      <c r="AC555" t="s" s="10">
        <v>2094</v>
      </c>
      <c r="AD555" t="s" s="10">
        <v>2099</v>
      </c>
      <c r="AE555" s="11"/>
      <c r="AF555" s="11"/>
      <c r="AG555" t="s" s="10">
        <v>299</v>
      </c>
      <c r="AH555" t="s" s="10">
        <v>114</v>
      </c>
      <c r="AI555" t="s" s="10">
        <v>440</v>
      </c>
      <c r="AJ555" s="11"/>
      <c r="AK555" t="s" s="10">
        <v>83</v>
      </c>
      <c r="AL555" t="s" s="10">
        <v>293</v>
      </c>
      <c r="AM555" t="s" s="10">
        <v>294</v>
      </c>
      <c r="AN555" t="s" s="10">
        <v>128</v>
      </c>
      <c r="AO555" s="18">
        <v>2</v>
      </c>
      <c r="AP555" s="18">
        <v>4096</v>
      </c>
      <c r="AQ555" s="18">
        <v>157788</v>
      </c>
      <c r="AR555" s="18">
        <v>157788</v>
      </c>
      <c r="AS555" t="s" s="10">
        <v>2100</v>
      </c>
      <c r="AT555" t="s" s="10">
        <v>301</v>
      </c>
      <c r="AU555" s="11"/>
      <c r="AV555" s="11"/>
      <c r="AW555" s="11"/>
      <c r="AX555" s="11"/>
      <c r="AY555" s="11"/>
      <c r="AZ555" s="11"/>
      <c r="BA555" s="11"/>
      <c r="BB555" s="11"/>
      <c r="BC555" s="11"/>
      <c r="BD555" t="s" s="10">
        <v>310</v>
      </c>
      <c r="BE555" t="s" s="10">
        <v>419</v>
      </c>
      <c r="BF555" s="18">
        <v>2</v>
      </c>
      <c r="BG555" s="18">
        <v>4</v>
      </c>
      <c r="BH555" s="11"/>
      <c r="BI555" s="11"/>
      <c r="BJ555" s="11"/>
      <c r="BK555" s="11"/>
      <c r="BL555" s="11"/>
      <c r="BM555" s="11"/>
      <c r="BN555" t="s" s="10">
        <v>78</v>
      </c>
      <c r="BO555" s="12"/>
      <c r="BP555" s="8"/>
    </row>
    <row r="556" ht="9" customHeight="1" hidden="1">
      <c r="A556" t="s" s="13">
        <v>2101</v>
      </c>
      <c r="B556" s="14"/>
      <c r="C556" t="str" s="14" cm="1">
        <f t="array" ref="C556">_xlfn.IFERROR((VLOOKUP(A556,#REF!,2,FALSE)),"")</f>
      </c>
      <c r="D556" s="14"/>
      <c r="E556" s="14"/>
      <c r="F556" s="14"/>
      <c r="G556" t="s" s="15">
        <v>2102</v>
      </c>
      <c r="H556" t="s" s="15">
        <v>2103</v>
      </c>
      <c r="I556" t="s" s="15">
        <v>111</v>
      </c>
      <c r="J556" t="s" s="15">
        <v>122</v>
      </c>
      <c r="K556" t="s" s="15">
        <v>113</v>
      </c>
      <c r="L556" t="s" s="15">
        <v>76</v>
      </c>
      <c r="M556" t="s" s="15">
        <v>2102</v>
      </c>
      <c r="N556" t="s" s="15">
        <v>2102</v>
      </c>
      <c r="O556" s="14"/>
      <c r="P556" t="s" s="15">
        <v>122</v>
      </c>
      <c r="Q556" t="s" s="15">
        <v>69</v>
      </c>
      <c r="R556" t="s" s="15">
        <v>83</v>
      </c>
      <c r="S556" s="14"/>
      <c r="T556" s="14"/>
      <c r="U556" s="14"/>
      <c r="V556" t="s" s="15">
        <v>69</v>
      </c>
      <c r="W556" s="14"/>
      <c r="X556" t="s" s="15">
        <v>69</v>
      </c>
      <c r="Y556" s="14"/>
      <c r="Z556" t="s" s="15">
        <v>76</v>
      </c>
      <c r="AA556" s="14"/>
      <c r="AB556" t="s" s="15">
        <v>76</v>
      </c>
      <c r="AC556" t="s" s="15">
        <v>2101</v>
      </c>
      <c r="AD556" t="s" s="15">
        <v>2104</v>
      </c>
      <c r="AE556" s="14"/>
      <c r="AF556" s="14"/>
      <c r="AG556" t="s" s="15">
        <v>299</v>
      </c>
      <c r="AH556" t="s" s="15">
        <v>106</v>
      </c>
      <c r="AI556" t="s" s="15">
        <v>76</v>
      </c>
      <c r="AJ556" t="s" s="15">
        <v>76</v>
      </c>
      <c r="AK556" t="s" s="15">
        <v>79</v>
      </c>
      <c r="AL556" t="s" s="15">
        <v>293</v>
      </c>
      <c r="AM556" t="s" s="15">
        <v>294</v>
      </c>
      <c r="AN556" t="s" s="15">
        <v>128</v>
      </c>
      <c r="AO556" s="17">
        <v>4</v>
      </c>
      <c r="AP556" s="17">
        <v>8192</v>
      </c>
      <c r="AQ556" s="17">
        <v>110680</v>
      </c>
      <c r="AR556" s="17">
        <v>110680</v>
      </c>
      <c r="AS556" t="s" s="15">
        <v>2105</v>
      </c>
      <c r="AT556" t="s" s="15">
        <v>301</v>
      </c>
      <c r="AU556" s="14"/>
      <c r="AV556" s="14"/>
      <c r="AW556" s="14"/>
      <c r="AX556" s="14"/>
      <c r="AY556" s="14"/>
      <c r="AZ556" s="14"/>
      <c r="BA556" s="14"/>
      <c r="BB556" s="14"/>
      <c r="BC556" s="14"/>
      <c r="BD556" s="14"/>
      <c r="BE556" s="14"/>
      <c r="BF556" s="14"/>
      <c r="BG556" s="14"/>
      <c r="BH556" s="14"/>
      <c r="BI556" s="14"/>
      <c r="BJ556" s="14"/>
      <c r="BK556" s="14"/>
      <c r="BL556" s="14"/>
      <c r="BM556" s="14"/>
      <c r="BN556" t="s" s="15">
        <v>78</v>
      </c>
      <c r="BO556" s="16"/>
      <c r="BP556" s="8"/>
    </row>
    <row r="557" ht="9" customHeight="1" hidden="1">
      <c r="A557" t="s" s="9">
        <v>2106</v>
      </c>
      <c r="B557" s="11"/>
      <c r="C557" t="str" s="11" cm="1">
        <f t="array" ref="C557">_xlfn.IFERROR((VLOOKUP(A557,#REF!,2,FALSE)),"")</f>
      </c>
      <c r="D557" s="11"/>
      <c r="E557" s="11"/>
      <c r="F557" s="11"/>
      <c r="G557" t="s" s="10">
        <v>2107</v>
      </c>
      <c r="H557" t="s" s="10">
        <v>2108</v>
      </c>
      <c r="I557" t="s" s="10">
        <v>111</v>
      </c>
      <c r="J557" t="s" s="10">
        <v>122</v>
      </c>
      <c r="K557" t="s" s="10">
        <v>113</v>
      </c>
      <c r="L557" t="s" s="10">
        <v>76</v>
      </c>
      <c r="M557" t="s" s="10">
        <v>2107</v>
      </c>
      <c r="N557" t="s" s="10">
        <v>2107</v>
      </c>
      <c r="O557" s="11"/>
      <c r="P557" t="s" s="10">
        <v>122</v>
      </c>
      <c r="Q557" t="s" s="10">
        <v>69</v>
      </c>
      <c r="R557" t="s" s="10">
        <v>83</v>
      </c>
      <c r="S557" s="11"/>
      <c r="T557" s="11"/>
      <c r="U557" s="11"/>
      <c r="V557" t="s" s="10">
        <v>69</v>
      </c>
      <c r="W557" s="11"/>
      <c r="X557" t="s" s="10">
        <v>69</v>
      </c>
      <c r="Y557" s="11"/>
      <c r="Z557" t="s" s="10">
        <v>76</v>
      </c>
      <c r="AA557" s="11"/>
      <c r="AB557" t="s" s="10">
        <v>76</v>
      </c>
      <c r="AC557" t="s" s="10">
        <v>2106</v>
      </c>
      <c r="AD557" t="s" s="10">
        <v>2109</v>
      </c>
      <c r="AE557" s="11"/>
      <c r="AF557" s="11"/>
      <c r="AG557" t="s" s="10">
        <v>299</v>
      </c>
      <c r="AH557" t="s" s="10">
        <v>106</v>
      </c>
      <c r="AI557" t="s" s="10">
        <v>76</v>
      </c>
      <c r="AJ557" t="s" s="10">
        <v>76</v>
      </c>
      <c r="AK557" t="s" s="10">
        <v>79</v>
      </c>
      <c r="AL557" t="s" s="10">
        <v>293</v>
      </c>
      <c r="AM557" t="s" s="10">
        <v>294</v>
      </c>
      <c r="AN557" t="s" s="10">
        <v>128</v>
      </c>
      <c r="AO557" s="18">
        <v>4</v>
      </c>
      <c r="AP557" s="18">
        <v>8192</v>
      </c>
      <c r="AQ557" s="18">
        <v>110680</v>
      </c>
      <c r="AR557" s="18">
        <v>110680</v>
      </c>
      <c r="AS557" t="s" s="10">
        <v>2110</v>
      </c>
      <c r="AT557" t="s" s="10">
        <v>301</v>
      </c>
      <c r="AU557" s="11"/>
      <c r="AV557" s="11"/>
      <c r="AW557" s="11"/>
      <c r="AX557" s="11"/>
      <c r="AY557" s="11"/>
      <c r="AZ557" s="11"/>
      <c r="BA557" s="11"/>
      <c r="BB557" s="11"/>
      <c r="BC557" s="11"/>
      <c r="BD557" s="11"/>
      <c r="BE557" s="11"/>
      <c r="BF557" s="11"/>
      <c r="BG557" s="11"/>
      <c r="BH557" s="11"/>
      <c r="BI557" s="11"/>
      <c r="BJ557" s="11"/>
      <c r="BK557" s="11"/>
      <c r="BL557" s="11"/>
      <c r="BM557" s="11"/>
      <c r="BN557" t="s" s="10">
        <v>78</v>
      </c>
      <c r="BO557" s="12"/>
      <c r="BP557" s="8"/>
    </row>
    <row r="558" ht="15" customHeight="1">
      <c r="A558" t="s" s="13">
        <v>2111</v>
      </c>
      <c r="B558" s="14"/>
      <c r="C558" t="str" s="14" cm="1">
        <f t="array" ref="C558">_xlfn.IFERROR((VLOOKUP(A558,#REF!,2,FALSE)),"")</f>
      </c>
      <c r="D558" s="14"/>
      <c r="E558" s="14"/>
      <c r="F558" s="14"/>
      <c r="G558" t="s" s="15">
        <v>2112</v>
      </c>
      <c r="H558" t="s" s="15">
        <v>2113</v>
      </c>
      <c r="I558" t="s" s="15">
        <v>111</v>
      </c>
      <c r="J558" t="s" s="15">
        <v>122</v>
      </c>
      <c r="K558" t="s" s="15">
        <v>113</v>
      </c>
      <c r="L558" t="s" s="15">
        <v>2114</v>
      </c>
      <c r="M558" t="s" s="15">
        <v>2112</v>
      </c>
      <c r="N558" t="s" s="15">
        <v>2112</v>
      </c>
      <c r="O558" s="14"/>
      <c r="P558" t="s" s="15">
        <v>122</v>
      </c>
      <c r="Q558" t="s" s="15">
        <v>69</v>
      </c>
      <c r="R558" t="s" s="15">
        <v>323</v>
      </c>
      <c r="S558" s="14"/>
      <c r="T558" s="14"/>
      <c r="U558" s="14"/>
      <c r="V558" t="s" s="15">
        <v>78</v>
      </c>
      <c r="W558" s="14"/>
      <c r="X558" t="s" s="15">
        <v>69</v>
      </c>
      <c r="Y558" s="14"/>
      <c r="Z558" t="s" s="15">
        <v>1639</v>
      </c>
      <c r="AA558" s="14"/>
      <c r="AB558" t="s" s="15">
        <v>2115</v>
      </c>
      <c r="AC558" s="14"/>
      <c r="AD558" s="14"/>
      <c r="AE558" s="14"/>
      <c r="AF558" t="s" s="15">
        <v>2116</v>
      </c>
      <c r="AG558" t="s" s="15">
        <v>299</v>
      </c>
      <c r="AH558" t="s" s="15">
        <v>114</v>
      </c>
      <c r="AI558" t="s" s="15">
        <v>332</v>
      </c>
      <c r="AJ558" t="s" s="15">
        <v>798</v>
      </c>
      <c r="AK558" t="s" s="15">
        <v>83</v>
      </c>
      <c r="AL558" t="s" s="15">
        <v>293</v>
      </c>
      <c r="AM558" t="s" s="15">
        <v>294</v>
      </c>
      <c r="AN558" s="14"/>
      <c r="AO558" s="17">
        <v>4</v>
      </c>
      <c r="AP558" s="17">
        <v>12288</v>
      </c>
      <c r="AQ558" s="17">
        <v>114809</v>
      </c>
      <c r="AR558" s="17">
        <v>114809</v>
      </c>
      <c r="AS558" t="s" s="15">
        <v>2117</v>
      </c>
      <c r="AT558" s="14"/>
      <c r="AU558" s="14"/>
      <c r="AV558" s="14"/>
      <c r="AW558" s="14"/>
      <c r="AX558" s="14"/>
      <c r="AY558" s="14"/>
      <c r="AZ558" s="14"/>
      <c r="BA558" s="14"/>
      <c r="BB558" s="14"/>
      <c r="BC558" s="14"/>
      <c r="BD558" t="s" s="15">
        <v>366</v>
      </c>
      <c r="BE558" t="s" s="15">
        <v>394</v>
      </c>
      <c r="BF558" s="17">
        <v>4</v>
      </c>
      <c r="BG558" s="17">
        <v>16</v>
      </c>
      <c r="BH558" s="14"/>
      <c r="BI558" s="14"/>
      <c r="BJ558" s="14"/>
      <c r="BK558" s="14"/>
      <c r="BL558" s="14"/>
      <c r="BM558" s="14"/>
      <c r="BN558" t="s" s="15">
        <v>69</v>
      </c>
      <c r="BO558" s="16"/>
      <c r="BP558" s="8"/>
    </row>
    <row r="559" ht="15" customHeight="1">
      <c r="A559" t="s" s="9">
        <v>2118</v>
      </c>
      <c r="B559" s="11"/>
      <c r="C559" t="str" s="11" cm="1">
        <f t="array" ref="C559">_xlfn.IFERROR((VLOOKUP(A559,#REF!,2,FALSE)),"")</f>
      </c>
      <c r="D559" s="11"/>
      <c r="E559" s="11"/>
      <c r="F559" s="11"/>
      <c r="G559" t="s" s="10">
        <v>2119</v>
      </c>
      <c r="H559" t="s" s="10">
        <v>2113</v>
      </c>
      <c r="I559" t="s" s="10">
        <v>111</v>
      </c>
      <c r="J559" t="s" s="10">
        <v>122</v>
      </c>
      <c r="K559" t="s" s="10">
        <v>113</v>
      </c>
      <c r="L559" t="s" s="10">
        <v>2114</v>
      </c>
      <c r="M559" t="s" s="10">
        <v>2119</v>
      </c>
      <c r="N559" t="s" s="10">
        <v>2119</v>
      </c>
      <c r="O559" s="11"/>
      <c r="P559" t="s" s="10">
        <v>122</v>
      </c>
      <c r="Q559" t="s" s="10">
        <v>69</v>
      </c>
      <c r="R559" t="s" s="10">
        <v>323</v>
      </c>
      <c r="S559" s="11"/>
      <c r="T559" s="11"/>
      <c r="U559" s="11"/>
      <c r="V559" t="s" s="10">
        <v>78</v>
      </c>
      <c r="W559" s="11"/>
      <c r="X559" t="s" s="10">
        <v>69</v>
      </c>
      <c r="Y559" s="11"/>
      <c r="Z559" t="s" s="10">
        <v>1639</v>
      </c>
      <c r="AA559" s="11"/>
      <c r="AB559" t="s" s="10">
        <v>2115</v>
      </c>
      <c r="AC559" s="11"/>
      <c r="AD559" s="11"/>
      <c r="AE559" s="11"/>
      <c r="AF559" t="s" s="10">
        <v>2116</v>
      </c>
      <c r="AG559" t="s" s="10">
        <v>299</v>
      </c>
      <c r="AH559" t="s" s="10">
        <v>114</v>
      </c>
      <c r="AI559" t="s" s="10">
        <v>332</v>
      </c>
      <c r="AJ559" t="s" s="10">
        <v>798</v>
      </c>
      <c r="AK559" t="s" s="10">
        <v>83</v>
      </c>
      <c r="AL559" t="s" s="10">
        <v>293</v>
      </c>
      <c r="AM559" t="s" s="10">
        <v>294</v>
      </c>
      <c r="AN559" s="11"/>
      <c r="AO559" s="18">
        <v>4</v>
      </c>
      <c r="AP559" s="18">
        <v>12288</v>
      </c>
      <c r="AQ559" s="18">
        <v>114780</v>
      </c>
      <c r="AR559" s="18">
        <v>114780</v>
      </c>
      <c r="AS559" t="s" s="10">
        <v>2120</v>
      </c>
      <c r="AT559" s="11"/>
      <c r="AU559" s="11"/>
      <c r="AV559" s="11"/>
      <c r="AW559" s="11"/>
      <c r="AX559" s="11"/>
      <c r="AY559" s="11"/>
      <c r="AZ559" s="11"/>
      <c r="BA559" s="11"/>
      <c r="BB559" s="11"/>
      <c r="BC559" s="11"/>
      <c r="BD559" t="s" s="10">
        <v>366</v>
      </c>
      <c r="BE559" t="s" s="10">
        <v>394</v>
      </c>
      <c r="BF559" s="18">
        <v>4</v>
      </c>
      <c r="BG559" s="18">
        <v>16</v>
      </c>
      <c r="BH559" s="11"/>
      <c r="BI559" s="11"/>
      <c r="BJ559" s="11"/>
      <c r="BK559" s="11"/>
      <c r="BL559" s="11"/>
      <c r="BM559" s="11"/>
      <c r="BN559" t="s" s="10">
        <v>69</v>
      </c>
      <c r="BO559" s="12"/>
      <c r="BP559" s="8"/>
    </row>
    <row r="560" ht="9" customHeight="1" hidden="1">
      <c r="A560" t="s" s="13">
        <v>2121</v>
      </c>
      <c r="B560" s="14"/>
      <c r="C560" t="str" s="14" cm="1">
        <f t="array" ref="C560">_xlfn.IFERROR((VLOOKUP(A560,#REF!,2,FALSE)),"")</f>
      </c>
      <c r="D560" s="14"/>
      <c r="E560" t="s" s="15">
        <v>195</v>
      </c>
      <c r="F560" s="14"/>
      <c r="G560" t="s" s="15">
        <v>2122</v>
      </c>
      <c r="H560" t="s" s="15">
        <v>550</v>
      </c>
      <c r="I560" t="s" s="15">
        <v>73</v>
      </c>
      <c r="J560" t="s" s="15">
        <v>74</v>
      </c>
      <c r="K560" t="s" s="15">
        <v>113</v>
      </c>
      <c r="L560" t="s" s="15">
        <v>518</v>
      </c>
      <c r="M560" t="s" s="15">
        <v>2123</v>
      </c>
      <c r="N560" t="s" s="15">
        <v>2122</v>
      </c>
      <c r="O560" t="s" s="15">
        <v>71</v>
      </c>
      <c r="P560" t="s" s="15">
        <v>122</v>
      </c>
      <c r="Q560" t="s" s="15">
        <v>69</v>
      </c>
      <c r="R560" t="s" s="15">
        <v>71</v>
      </c>
      <c r="S560" s="14"/>
      <c r="T560" s="14"/>
      <c r="U560" s="14"/>
      <c r="V560" t="s" s="15">
        <v>69</v>
      </c>
      <c r="W560" s="14"/>
      <c r="X560" t="s" s="15">
        <v>69</v>
      </c>
      <c r="Y560" s="14"/>
      <c r="Z560" t="s" s="15">
        <v>552</v>
      </c>
      <c r="AA560" s="14"/>
      <c r="AB560" t="s" s="15">
        <v>553</v>
      </c>
      <c r="AC560" t="s" s="15">
        <v>2121</v>
      </c>
      <c r="AD560" t="s" s="15">
        <v>2124</v>
      </c>
      <c r="AE560" s="14"/>
      <c r="AF560" s="14"/>
      <c r="AG560" t="s" s="15">
        <v>299</v>
      </c>
      <c r="AH560" t="s" s="15">
        <v>114</v>
      </c>
      <c r="AI560" t="s" s="15">
        <v>76</v>
      </c>
      <c r="AJ560" t="s" s="15">
        <v>76</v>
      </c>
      <c r="AK560" t="s" s="15">
        <v>79</v>
      </c>
      <c r="AL560" t="s" s="15">
        <v>293</v>
      </c>
      <c r="AM560" t="s" s="15">
        <v>196</v>
      </c>
      <c r="AN560" t="s" s="15">
        <v>128</v>
      </c>
      <c r="AO560" s="17">
        <v>8</v>
      </c>
      <c r="AP560" s="17">
        <v>32768</v>
      </c>
      <c r="AQ560" s="17">
        <v>237774</v>
      </c>
      <c r="AR560" s="17">
        <v>237774</v>
      </c>
      <c r="AS560" t="s" s="15">
        <v>2125</v>
      </c>
      <c r="AT560" t="s" s="15">
        <v>301</v>
      </c>
      <c r="AU560" s="14"/>
      <c r="AV560" s="14"/>
      <c r="AW560" s="14"/>
      <c r="AX560" s="14"/>
      <c r="AY560" s="14"/>
      <c r="AZ560" s="14"/>
      <c r="BA560" s="14"/>
      <c r="BB560" s="14"/>
      <c r="BC560" s="14"/>
      <c r="BD560" t="s" s="15">
        <v>366</v>
      </c>
      <c r="BE560" t="s" s="15">
        <v>367</v>
      </c>
      <c r="BF560" s="17">
        <v>8</v>
      </c>
      <c r="BG560" s="17">
        <v>32</v>
      </c>
      <c r="BH560" s="14"/>
      <c r="BI560" s="14"/>
      <c r="BJ560" s="14"/>
      <c r="BK560" s="14"/>
      <c r="BL560" s="14"/>
      <c r="BM560" s="14"/>
      <c r="BN560" t="s" s="15">
        <v>69</v>
      </c>
      <c r="BO560" s="16"/>
      <c r="BP560" s="8"/>
    </row>
    <row r="561" ht="9" customHeight="1" hidden="1">
      <c r="A561" t="s" s="9">
        <v>2126</v>
      </c>
      <c r="B561" s="11"/>
      <c r="C561" t="str" s="11" cm="1">
        <f t="array" ref="C561">_xlfn.IFERROR((VLOOKUP(A561,#REF!,2,FALSE)),"")</f>
      </c>
      <c r="D561" s="11"/>
      <c r="E561" t="s" s="10">
        <v>195</v>
      </c>
      <c r="F561" s="11"/>
      <c r="G561" t="s" s="10">
        <v>2127</v>
      </c>
      <c r="H561" t="s" s="10">
        <v>550</v>
      </c>
      <c r="I561" t="s" s="10">
        <v>73</v>
      </c>
      <c r="J561" t="s" s="10">
        <v>74</v>
      </c>
      <c r="K561" t="s" s="10">
        <v>113</v>
      </c>
      <c r="L561" t="s" s="10">
        <v>518</v>
      </c>
      <c r="M561" t="s" s="10">
        <v>2128</v>
      </c>
      <c r="N561" t="s" s="10">
        <v>2127</v>
      </c>
      <c r="O561" t="s" s="10">
        <v>71</v>
      </c>
      <c r="P561" t="s" s="10">
        <v>122</v>
      </c>
      <c r="Q561" t="s" s="10">
        <v>69</v>
      </c>
      <c r="R561" t="s" s="10">
        <v>71</v>
      </c>
      <c r="S561" s="11"/>
      <c r="T561" s="11"/>
      <c r="U561" s="11"/>
      <c r="V561" t="s" s="10">
        <v>69</v>
      </c>
      <c r="W561" s="11"/>
      <c r="X561" t="s" s="10">
        <v>69</v>
      </c>
      <c r="Y561" s="11"/>
      <c r="Z561" t="s" s="10">
        <v>552</v>
      </c>
      <c r="AA561" s="11"/>
      <c r="AB561" t="s" s="10">
        <v>553</v>
      </c>
      <c r="AC561" t="s" s="10">
        <v>2126</v>
      </c>
      <c r="AD561" t="s" s="10">
        <v>2129</v>
      </c>
      <c r="AE561" s="11"/>
      <c r="AF561" s="11"/>
      <c r="AG561" t="s" s="10">
        <v>299</v>
      </c>
      <c r="AH561" t="s" s="10">
        <v>114</v>
      </c>
      <c r="AI561" t="s" s="10">
        <v>76</v>
      </c>
      <c r="AJ561" t="s" s="10">
        <v>76</v>
      </c>
      <c r="AK561" t="s" s="10">
        <v>79</v>
      </c>
      <c r="AL561" t="s" s="10">
        <v>293</v>
      </c>
      <c r="AM561" t="s" s="10">
        <v>196</v>
      </c>
      <c r="AN561" t="s" s="10">
        <v>128</v>
      </c>
      <c r="AO561" s="18">
        <v>8</v>
      </c>
      <c r="AP561" s="18">
        <v>32768</v>
      </c>
      <c r="AQ561" s="18">
        <v>237808</v>
      </c>
      <c r="AR561" s="18">
        <v>237808</v>
      </c>
      <c r="AS561" t="s" s="10">
        <v>2130</v>
      </c>
      <c r="AT561" t="s" s="10">
        <v>301</v>
      </c>
      <c r="AU561" s="11"/>
      <c r="AV561" s="11"/>
      <c r="AW561" s="11"/>
      <c r="AX561" s="11"/>
      <c r="AY561" s="11"/>
      <c r="AZ561" s="11"/>
      <c r="BA561" s="11"/>
      <c r="BB561" s="11"/>
      <c r="BC561" s="11"/>
      <c r="BD561" t="s" s="10">
        <v>366</v>
      </c>
      <c r="BE561" t="s" s="10">
        <v>367</v>
      </c>
      <c r="BF561" s="18">
        <v>8</v>
      </c>
      <c r="BG561" s="18">
        <v>32</v>
      </c>
      <c r="BH561" s="11"/>
      <c r="BI561" s="11"/>
      <c r="BJ561" s="11"/>
      <c r="BK561" s="11"/>
      <c r="BL561" s="11"/>
      <c r="BM561" s="11"/>
      <c r="BN561" s="11"/>
      <c r="BO561" s="12"/>
      <c r="BP561" s="8"/>
    </row>
    <row r="562" ht="15" customHeight="1" hidden="1">
      <c r="A562" t="s" s="13">
        <v>2131</v>
      </c>
      <c r="B562" s="14"/>
      <c r="C562" t="str" s="14" cm="1">
        <f t="array" ref="C562">_xlfn.IFERROR((VLOOKUP(A562,#REF!,2,FALSE)),"")</f>
      </c>
      <c r="D562" s="14"/>
      <c r="E562" s="14"/>
      <c r="F562" s="14"/>
      <c r="G562" t="s" s="15">
        <v>2132</v>
      </c>
      <c r="H562" t="s" s="15">
        <v>524</v>
      </c>
      <c r="I562" t="s" s="15">
        <v>111</v>
      </c>
      <c r="J562" t="s" s="15">
        <v>122</v>
      </c>
      <c r="K562" t="s" s="15">
        <v>113</v>
      </c>
      <c r="L562" t="s" s="15">
        <v>518</v>
      </c>
      <c r="M562" t="s" s="15">
        <v>2132</v>
      </c>
      <c r="N562" t="s" s="15">
        <v>2132</v>
      </c>
      <c r="O562" s="14"/>
      <c r="P562" t="s" s="15">
        <v>122</v>
      </c>
      <c r="Q562" t="s" s="15">
        <v>78</v>
      </c>
      <c r="R562" t="s" s="15">
        <v>323</v>
      </c>
      <c r="S562" s="14"/>
      <c r="T562" t="s" s="15">
        <v>69</v>
      </c>
      <c r="U562" s="14"/>
      <c r="V562" t="s" s="15">
        <v>78</v>
      </c>
      <c r="W562" s="14"/>
      <c r="X562" t="s" s="15">
        <v>69</v>
      </c>
      <c r="Y562" s="14"/>
      <c r="Z562" t="s" s="15">
        <v>552</v>
      </c>
      <c r="AA562" s="14"/>
      <c r="AB562" t="s" s="15">
        <v>1551</v>
      </c>
      <c r="AC562" s="14"/>
      <c r="AD562" s="14"/>
      <c r="AE562" s="14"/>
      <c r="AF562" s="14"/>
      <c r="AG562" t="s" s="15">
        <v>299</v>
      </c>
      <c r="AH562" t="s" s="15">
        <v>289</v>
      </c>
      <c r="AI562" t="s" s="15">
        <v>76</v>
      </c>
      <c r="AJ562" t="s" s="15">
        <v>76</v>
      </c>
      <c r="AK562" t="s" s="15">
        <v>524</v>
      </c>
      <c r="AL562" t="s" s="15">
        <v>293</v>
      </c>
      <c r="AM562" t="s" s="15">
        <v>294</v>
      </c>
      <c r="AN562" s="14"/>
      <c r="AO562" s="17">
        <v>4</v>
      </c>
      <c r="AP562" s="17">
        <v>8192</v>
      </c>
      <c r="AQ562" s="17">
        <v>238719</v>
      </c>
      <c r="AR562" s="17">
        <v>216514</v>
      </c>
      <c r="AS562" t="s" s="15">
        <v>2133</v>
      </c>
      <c r="AT562" t="s" s="15">
        <v>301</v>
      </c>
      <c r="AU562" s="14"/>
      <c r="AV562" s="14"/>
      <c r="AW562" t="s" s="15">
        <v>2134</v>
      </c>
      <c r="AX562" s="14"/>
      <c r="AY562" s="14"/>
      <c r="AZ562" s="14"/>
      <c r="BA562" s="14"/>
      <c r="BB562" s="14"/>
      <c r="BC562" s="14"/>
      <c r="BD562" s="14"/>
      <c r="BE562" s="14"/>
      <c r="BF562" s="14"/>
      <c r="BG562" s="14"/>
      <c r="BH562" s="14"/>
      <c r="BI562" s="14"/>
      <c r="BJ562" s="14"/>
      <c r="BK562" s="14"/>
      <c r="BL562" s="14"/>
      <c r="BM562" s="14"/>
      <c r="BN562" t="s" s="15">
        <v>78</v>
      </c>
      <c r="BO562" s="16"/>
      <c r="BP562" s="8"/>
    </row>
    <row r="563" ht="9" customHeight="1" hidden="1">
      <c r="A563" t="s" s="9">
        <v>2135</v>
      </c>
      <c r="B563" s="11"/>
      <c r="C563" t="str" s="11" cm="1">
        <f t="array" ref="C563">_xlfn.IFERROR((VLOOKUP(A563,#REF!,2,FALSE)),"")</f>
      </c>
      <c r="D563" s="11"/>
      <c r="E563" s="11"/>
      <c r="F563" s="11"/>
      <c r="G563" t="s" s="10">
        <v>2136</v>
      </c>
      <c r="H563" t="s" s="10">
        <v>524</v>
      </c>
      <c r="I563" t="s" s="10">
        <v>111</v>
      </c>
      <c r="J563" t="s" s="10">
        <v>122</v>
      </c>
      <c r="K563" t="s" s="10">
        <v>113</v>
      </c>
      <c r="L563" t="s" s="10">
        <v>518</v>
      </c>
      <c r="M563" t="s" s="10">
        <v>2136</v>
      </c>
      <c r="N563" t="s" s="10">
        <v>2136</v>
      </c>
      <c r="O563" s="11"/>
      <c r="P563" t="s" s="10">
        <v>122</v>
      </c>
      <c r="Q563" t="s" s="10">
        <v>78</v>
      </c>
      <c r="R563" t="s" s="10">
        <v>323</v>
      </c>
      <c r="S563" s="11"/>
      <c r="T563" t="s" s="10">
        <v>69</v>
      </c>
      <c r="U563" s="11"/>
      <c r="V563" t="s" s="10">
        <v>78</v>
      </c>
      <c r="W563" s="11"/>
      <c r="X563" t="s" s="10">
        <v>69</v>
      </c>
      <c r="Y563" s="11"/>
      <c r="Z563" t="s" s="10">
        <v>552</v>
      </c>
      <c r="AA563" s="11"/>
      <c r="AB563" t="s" s="10">
        <v>1551</v>
      </c>
      <c r="AC563" s="11"/>
      <c r="AD563" s="11"/>
      <c r="AE563" s="11"/>
      <c r="AF563" s="11"/>
      <c r="AG563" t="s" s="10">
        <v>299</v>
      </c>
      <c r="AH563" t="s" s="10">
        <v>289</v>
      </c>
      <c r="AI563" t="s" s="10">
        <v>76</v>
      </c>
      <c r="AJ563" t="s" s="10">
        <v>76</v>
      </c>
      <c r="AK563" t="s" s="10">
        <v>524</v>
      </c>
      <c r="AL563" t="s" s="10">
        <v>293</v>
      </c>
      <c r="AM563" t="s" s="10">
        <v>294</v>
      </c>
      <c r="AN563" s="11"/>
      <c r="AO563" s="18">
        <v>4</v>
      </c>
      <c r="AP563" s="18">
        <v>8192</v>
      </c>
      <c r="AQ563" s="18">
        <v>238743</v>
      </c>
      <c r="AR563" s="18">
        <v>217350</v>
      </c>
      <c r="AS563" t="s" s="10">
        <v>2137</v>
      </c>
      <c r="AT563" t="s" s="10">
        <v>301</v>
      </c>
      <c r="AU563" s="11"/>
      <c r="AV563" s="11"/>
      <c r="AW563" t="s" s="10">
        <v>2138</v>
      </c>
      <c r="AX563" s="11"/>
      <c r="AY563" s="11"/>
      <c r="AZ563" s="11"/>
      <c r="BA563" s="11"/>
      <c r="BB563" s="11"/>
      <c r="BC563" s="11"/>
      <c r="BD563" s="11"/>
      <c r="BE563" s="11"/>
      <c r="BF563" s="11"/>
      <c r="BG563" s="11"/>
      <c r="BH563" s="11"/>
      <c r="BI563" s="11"/>
      <c r="BJ563" s="11"/>
      <c r="BK563" s="11"/>
      <c r="BL563" s="11"/>
      <c r="BM563" s="11"/>
      <c r="BN563" t="s" s="10">
        <v>78</v>
      </c>
      <c r="BO563" s="12"/>
      <c r="BP563" s="8"/>
    </row>
    <row r="564" ht="9" customHeight="1" hidden="1">
      <c r="A564" t="s" s="13">
        <v>2139</v>
      </c>
      <c r="B564" s="14"/>
      <c r="C564" t="str" s="14" cm="1">
        <f t="array" ref="C564">_xlfn.IFERROR((VLOOKUP(A564,#REF!,2,FALSE)),"")</f>
      </c>
      <c r="D564" s="14"/>
      <c r="E564" s="14"/>
      <c r="F564" s="14"/>
      <c r="G564" t="s" s="15">
        <v>2140</v>
      </c>
      <c r="H564" t="s" s="15">
        <v>550</v>
      </c>
      <c r="I564" t="s" s="15">
        <v>74</v>
      </c>
      <c r="J564" t="s" s="15">
        <v>74</v>
      </c>
      <c r="K564" t="s" s="15">
        <v>113</v>
      </c>
      <c r="L564" t="s" s="15">
        <v>518</v>
      </c>
      <c r="M564" t="s" s="15">
        <v>2140</v>
      </c>
      <c r="N564" t="s" s="15">
        <v>2140</v>
      </c>
      <c r="O564" s="14"/>
      <c r="P564" t="s" s="15">
        <v>122</v>
      </c>
      <c r="Q564" t="s" s="15">
        <v>69</v>
      </c>
      <c r="R564" t="s" s="15">
        <v>83</v>
      </c>
      <c r="S564" s="14"/>
      <c r="T564" s="14"/>
      <c r="U564" s="14"/>
      <c r="V564" t="s" s="15">
        <v>69</v>
      </c>
      <c r="W564" s="14"/>
      <c r="X564" t="s" s="15">
        <v>69</v>
      </c>
      <c r="Y564" s="14"/>
      <c r="Z564" t="s" s="15">
        <v>552</v>
      </c>
      <c r="AA564" s="14"/>
      <c r="AB564" t="s" s="15">
        <v>553</v>
      </c>
      <c r="AC564" t="s" s="15">
        <v>2139</v>
      </c>
      <c r="AD564" t="s" s="15">
        <v>2141</v>
      </c>
      <c r="AE564" s="14"/>
      <c r="AF564" s="14"/>
      <c r="AG564" t="s" s="15">
        <v>299</v>
      </c>
      <c r="AH564" t="s" s="15">
        <v>114</v>
      </c>
      <c r="AI564" t="s" s="15">
        <v>440</v>
      </c>
      <c r="AJ564" s="14"/>
      <c r="AK564" t="s" s="15">
        <v>83</v>
      </c>
      <c r="AL564" t="s" s="15">
        <v>293</v>
      </c>
      <c r="AM564" t="s" s="15">
        <v>294</v>
      </c>
      <c r="AN564" t="s" s="15">
        <v>650</v>
      </c>
      <c r="AO564" s="17">
        <v>4</v>
      </c>
      <c r="AP564" s="17">
        <v>16384</v>
      </c>
      <c r="AQ564" s="17">
        <v>139459</v>
      </c>
      <c r="AR564" s="17">
        <v>139459</v>
      </c>
      <c r="AS564" t="s" s="15">
        <v>2142</v>
      </c>
      <c r="AT564" t="s" s="15">
        <v>301</v>
      </c>
      <c r="AU564" s="14"/>
      <c r="AV564" s="14"/>
      <c r="AW564" s="14"/>
      <c r="AX564" s="14"/>
      <c r="AY564" s="14"/>
      <c r="AZ564" s="14"/>
      <c r="BA564" s="14"/>
      <c r="BB564" s="14"/>
      <c r="BC564" s="14"/>
      <c r="BD564" t="s" s="15">
        <v>366</v>
      </c>
      <c r="BE564" t="s" s="15">
        <v>394</v>
      </c>
      <c r="BF564" s="17">
        <v>4</v>
      </c>
      <c r="BG564" s="17">
        <v>16</v>
      </c>
      <c r="BH564" s="14"/>
      <c r="BI564" s="14"/>
      <c r="BJ564" s="14"/>
      <c r="BK564" s="14"/>
      <c r="BL564" s="14"/>
      <c r="BM564" s="14"/>
      <c r="BN564" t="s" s="15">
        <v>78</v>
      </c>
      <c r="BO564" s="16"/>
      <c r="BP564" s="8"/>
    </row>
    <row r="565" ht="13.55" customHeight="1">
      <c r="A565" t="s" s="9">
        <v>2143</v>
      </c>
      <c r="B565" s="11"/>
      <c r="C565" t="str" s="11" cm="1">
        <f t="array" ref="C565">_xlfn.IFERROR((VLOOKUP(A565,#REF!,2,FALSE)),"")</f>
      </c>
      <c r="D565" s="11"/>
      <c r="E565" s="11"/>
      <c r="F565" s="11"/>
      <c r="G565" t="s" s="10">
        <v>2144</v>
      </c>
      <c r="H565" t="s" s="10">
        <v>2145</v>
      </c>
      <c r="I565" t="s" s="10">
        <v>111</v>
      </c>
      <c r="J565" t="s" s="10">
        <v>122</v>
      </c>
      <c r="K565" t="s" s="10">
        <v>113</v>
      </c>
      <c r="L565" t="s" s="10">
        <v>76</v>
      </c>
      <c r="M565" t="s" s="10">
        <v>2144</v>
      </c>
      <c r="N565" t="s" s="10">
        <v>2144</v>
      </c>
      <c r="O565" s="11"/>
      <c r="P565" t="s" s="10">
        <v>122</v>
      </c>
      <c r="Q565" t="s" s="10">
        <v>69</v>
      </c>
      <c r="R565" t="s" s="10">
        <v>83</v>
      </c>
      <c r="S565" s="11"/>
      <c r="T565" s="11"/>
      <c r="U565" s="11"/>
      <c r="V565" t="s" s="10">
        <v>69</v>
      </c>
      <c r="W565" s="11"/>
      <c r="X565" t="s" s="10">
        <v>69</v>
      </c>
      <c r="Y565" s="11"/>
      <c r="Z565" t="s" s="10">
        <v>76</v>
      </c>
      <c r="AA565" s="11"/>
      <c r="AB565" t="s" s="10">
        <v>76</v>
      </c>
      <c r="AC565" t="s" s="10">
        <v>2143</v>
      </c>
      <c r="AD565" t="s" s="10">
        <v>2146</v>
      </c>
      <c r="AE565" s="11"/>
      <c r="AF565" s="11"/>
      <c r="AG565" t="s" s="10">
        <v>299</v>
      </c>
      <c r="AH565" t="s" s="10">
        <v>106</v>
      </c>
      <c r="AI565" t="s" s="10">
        <v>717</v>
      </c>
      <c r="AJ565" s="11"/>
      <c r="AK565" t="s" s="10">
        <v>292</v>
      </c>
      <c r="AL565" t="s" s="10">
        <v>293</v>
      </c>
      <c r="AM565" t="s" s="10">
        <v>294</v>
      </c>
      <c r="AN565" t="s" s="10">
        <v>128</v>
      </c>
      <c r="AO565" s="18">
        <v>4</v>
      </c>
      <c r="AP565" s="18">
        <v>8192</v>
      </c>
      <c r="AQ565" s="18">
        <v>213107</v>
      </c>
      <c r="AR565" s="18">
        <v>91299</v>
      </c>
      <c r="AS565" t="s" s="10">
        <v>2147</v>
      </c>
      <c r="AT565" t="s" s="10">
        <v>301</v>
      </c>
      <c r="AU565" s="11"/>
      <c r="AV565" s="11"/>
      <c r="AW565" s="11"/>
      <c r="AX565" s="11"/>
      <c r="AY565" s="11"/>
      <c r="AZ565" s="11"/>
      <c r="BA565" s="11"/>
      <c r="BB565" s="11"/>
      <c r="BC565" s="11"/>
      <c r="BD565" s="11"/>
      <c r="BE565" s="11"/>
      <c r="BF565" s="11"/>
      <c r="BG565" s="11"/>
      <c r="BH565" s="11"/>
      <c r="BI565" s="11"/>
      <c r="BJ565" s="11"/>
      <c r="BK565" s="11"/>
      <c r="BL565" s="11"/>
      <c r="BM565" s="11"/>
      <c r="BN565" t="s" s="10">
        <v>69</v>
      </c>
      <c r="BO565" s="12"/>
      <c r="BP565" s="8"/>
    </row>
    <row r="566" ht="9" customHeight="1" hidden="1">
      <c r="A566" t="s" s="13">
        <v>2148</v>
      </c>
      <c r="B566" s="14"/>
      <c r="C566" t="str" s="14" cm="1">
        <f t="array" ref="C566">_xlfn.IFERROR((VLOOKUP(A566,#REF!,2,FALSE)),"")</f>
      </c>
      <c r="D566" s="14"/>
      <c r="E566" s="14"/>
      <c r="F566" s="14"/>
      <c r="G566" t="s" s="15">
        <v>2149</v>
      </c>
      <c r="H566" t="s" s="15">
        <v>1486</v>
      </c>
      <c r="I566" t="s" s="15">
        <v>111</v>
      </c>
      <c r="J566" t="s" s="15">
        <v>122</v>
      </c>
      <c r="K566" t="s" s="15">
        <v>113</v>
      </c>
      <c r="L566" t="s" s="15">
        <v>76</v>
      </c>
      <c r="M566" t="s" s="15">
        <v>2149</v>
      </c>
      <c r="N566" t="s" s="15">
        <v>2149</v>
      </c>
      <c r="O566" s="14"/>
      <c r="P566" t="s" s="15">
        <v>122</v>
      </c>
      <c r="Q566" t="s" s="15">
        <v>78</v>
      </c>
      <c r="R566" t="s" s="15">
        <v>83</v>
      </c>
      <c r="S566" s="14"/>
      <c r="T566" s="14"/>
      <c r="U566" s="14"/>
      <c r="V566" t="s" s="15">
        <v>69</v>
      </c>
      <c r="W566" s="14"/>
      <c r="X566" t="s" s="15">
        <v>69</v>
      </c>
      <c r="Y566" s="14"/>
      <c r="Z566" t="s" s="15">
        <v>76</v>
      </c>
      <c r="AA566" s="14"/>
      <c r="AB566" t="s" s="15">
        <v>76</v>
      </c>
      <c r="AC566" s="14"/>
      <c r="AD566" s="14"/>
      <c r="AE566" s="14"/>
      <c r="AF566" s="14"/>
      <c r="AG566" t="s" s="15">
        <v>299</v>
      </c>
      <c r="AH566" t="s" s="15">
        <v>114</v>
      </c>
      <c r="AI566" t="s" s="15">
        <v>717</v>
      </c>
      <c r="AJ566" s="14"/>
      <c r="AK566" t="s" s="15">
        <v>292</v>
      </c>
      <c r="AL566" t="s" s="15">
        <v>293</v>
      </c>
      <c r="AM566" t="s" s="15">
        <v>294</v>
      </c>
      <c r="AN566" t="s" s="15">
        <v>1514</v>
      </c>
      <c r="AO566" s="17">
        <v>4</v>
      </c>
      <c r="AP566" s="17">
        <v>65536</v>
      </c>
      <c r="AQ566" s="17">
        <v>168491</v>
      </c>
      <c r="AR566" s="17">
        <v>168491</v>
      </c>
      <c r="AS566" t="s" s="15">
        <v>2150</v>
      </c>
      <c r="AT566" t="s" s="15">
        <v>301</v>
      </c>
      <c r="AU566" s="14"/>
      <c r="AV566" s="14"/>
      <c r="AW566" s="14"/>
      <c r="AX566" s="14"/>
      <c r="AY566" s="14"/>
      <c r="AZ566" s="14"/>
      <c r="BA566" s="14"/>
      <c r="BB566" s="14"/>
      <c r="BC566" s="14"/>
      <c r="BD566" t="s" s="15">
        <v>428</v>
      </c>
      <c r="BE566" t="s" s="15">
        <v>1519</v>
      </c>
      <c r="BF566" s="17">
        <v>4</v>
      </c>
      <c r="BG566" s="17">
        <v>64</v>
      </c>
      <c r="BH566" s="14"/>
      <c r="BI566" s="14"/>
      <c r="BJ566" s="14"/>
      <c r="BK566" s="14"/>
      <c r="BL566" s="14"/>
      <c r="BM566" s="14"/>
      <c r="BN566" t="s" s="15">
        <v>78</v>
      </c>
      <c r="BO566" s="16"/>
      <c r="BP566" s="8"/>
    </row>
    <row r="567" ht="9" customHeight="1" hidden="1">
      <c r="A567" t="s" s="9">
        <v>2151</v>
      </c>
      <c r="B567" s="11"/>
      <c r="C567" t="str" s="11" cm="1">
        <f t="array" ref="C567">_xlfn.IFERROR((VLOOKUP(A567,#REF!,2,FALSE)),"")</f>
      </c>
      <c r="D567" s="11"/>
      <c r="E567" t="s" s="10">
        <v>195</v>
      </c>
      <c r="F567" s="11"/>
      <c r="G567" t="s" s="10">
        <v>2152</v>
      </c>
      <c r="H567" t="s" s="10">
        <v>2153</v>
      </c>
      <c r="I567" t="s" s="10">
        <v>73</v>
      </c>
      <c r="J567" t="s" s="10">
        <v>74</v>
      </c>
      <c r="K567" t="s" s="10">
        <v>113</v>
      </c>
      <c r="L567" t="s" s="10">
        <v>1359</v>
      </c>
      <c r="M567" t="s" s="10">
        <v>2152</v>
      </c>
      <c r="N567" t="s" s="10">
        <v>2152</v>
      </c>
      <c r="O567" t="s" s="10">
        <v>71</v>
      </c>
      <c r="P567" t="s" s="10">
        <v>322</v>
      </c>
      <c r="Q567" t="s" s="10">
        <v>78</v>
      </c>
      <c r="R567" t="s" s="10">
        <v>71</v>
      </c>
      <c r="S567" s="11"/>
      <c r="T567" s="11"/>
      <c r="U567" s="11"/>
      <c r="V567" t="s" s="10">
        <v>78</v>
      </c>
      <c r="W567" t="s" s="10">
        <v>2154</v>
      </c>
      <c r="X567" t="s" s="10">
        <v>69</v>
      </c>
      <c r="Y567" s="11"/>
      <c r="Z567" t="s" s="10">
        <v>76</v>
      </c>
      <c r="AA567" s="11"/>
      <c r="AB567" t="s" s="10">
        <v>76</v>
      </c>
      <c r="AC567" s="11"/>
      <c r="AD567" s="11"/>
      <c r="AE567" s="11"/>
      <c r="AF567" s="11"/>
      <c r="AG567" s="11"/>
      <c r="AH567" t="s" s="22">
        <v>106</v>
      </c>
      <c r="AI567" t="s" s="10">
        <v>76</v>
      </c>
      <c r="AJ567" t="s" s="10">
        <v>76</v>
      </c>
      <c r="AK567" t="s" s="10">
        <v>79</v>
      </c>
      <c r="AL567" t="s" s="10">
        <v>293</v>
      </c>
      <c r="AM567" t="s" s="10">
        <v>196</v>
      </c>
      <c r="AN567" s="11"/>
      <c r="AO567" s="18">
        <v>2</v>
      </c>
      <c r="AP567" s="18">
        <v>6144</v>
      </c>
      <c r="AQ567" s="18">
        <v>164972</v>
      </c>
      <c r="AR567" s="18">
        <v>164972</v>
      </c>
      <c r="AS567" t="s" s="10">
        <v>2155</v>
      </c>
      <c r="AT567" s="11"/>
      <c r="AU567" s="11"/>
      <c r="AV567" s="11"/>
      <c r="AW567" s="11"/>
      <c r="AX567" s="11"/>
      <c r="AY567" s="11"/>
      <c r="AZ567" s="11"/>
      <c r="BA567" s="11"/>
      <c r="BB567" s="11"/>
      <c r="BC567" s="11"/>
      <c r="BD567" s="11"/>
      <c r="BE567" s="11"/>
      <c r="BF567" s="11"/>
      <c r="BG567" s="11"/>
      <c r="BH567" s="11"/>
      <c r="BI567" s="11"/>
      <c r="BJ567" s="11"/>
      <c r="BK567" s="11"/>
      <c r="BL567" s="11"/>
      <c r="BM567" s="11"/>
      <c r="BN567" s="11"/>
      <c r="BO567" s="12"/>
      <c r="BP567" s="8"/>
    </row>
    <row r="568" ht="9" customHeight="1" hidden="1">
      <c r="A568" t="s" s="13">
        <v>2156</v>
      </c>
      <c r="B568" s="14"/>
      <c r="C568" t="str" s="14" cm="1">
        <f t="array" ref="C568">_xlfn.IFERROR((VLOOKUP(A568,#REF!,2,FALSE)),"")</f>
      </c>
      <c r="D568" t="s" s="15">
        <v>70</v>
      </c>
      <c r="E568" t="s" s="15">
        <v>1181</v>
      </c>
      <c r="F568" s="14"/>
      <c r="G568" t="s" s="15">
        <v>2157</v>
      </c>
      <c r="H568" t="s" s="15">
        <v>2158</v>
      </c>
      <c r="I568" t="s" s="15">
        <v>111</v>
      </c>
      <c r="J568" t="s" s="15">
        <v>122</v>
      </c>
      <c r="K568" t="s" s="15">
        <v>113</v>
      </c>
      <c r="L568" t="s" s="15">
        <v>76</v>
      </c>
      <c r="M568" t="s" s="15">
        <v>2157</v>
      </c>
      <c r="N568" t="s" s="15">
        <v>2157</v>
      </c>
      <c r="O568" s="14"/>
      <c r="P568" t="s" s="15">
        <v>122</v>
      </c>
      <c r="Q568" t="s" s="15">
        <v>69</v>
      </c>
      <c r="R568" t="s" s="15">
        <v>83</v>
      </c>
      <c r="S568" s="14"/>
      <c r="T568" s="14"/>
      <c r="U568" s="14"/>
      <c r="V568" t="s" s="15">
        <v>69</v>
      </c>
      <c r="W568" s="14"/>
      <c r="X568" t="s" s="15">
        <v>78</v>
      </c>
      <c r="Y568" s="14"/>
      <c r="Z568" t="s" s="15">
        <v>76</v>
      </c>
      <c r="AA568" s="14"/>
      <c r="AB568" t="s" s="15">
        <v>76</v>
      </c>
      <c r="AC568" t="s" s="15">
        <v>2156</v>
      </c>
      <c r="AD568" t="s" s="15">
        <v>2159</v>
      </c>
      <c r="AE568" s="14"/>
      <c r="AF568" s="14"/>
      <c r="AG568" t="s" s="15">
        <v>299</v>
      </c>
      <c r="AH568" t="s" s="15">
        <v>106</v>
      </c>
      <c r="AI568" t="s" s="15">
        <v>76</v>
      </c>
      <c r="AJ568" t="s" s="15">
        <v>76</v>
      </c>
      <c r="AK568" t="s" s="15">
        <v>79</v>
      </c>
      <c r="AL568" t="s" s="15">
        <v>293</v>
      </c>
      <c r="AM568" t="s" s="15">
        <v>294</v>
      </c>
      <c r="AN568" t="s" s="15">
        <v>187</v>
      </c>
      <c r="AO568" s="17">
        <v>8</v>
      </c>
      <c r="AP568" s="17">
        <v>32768</v>
      </c>
      <c r="AQ568" s="17">
        <v>545494</v>
      </c>
      <c r="AR568" s="17">
        <v>545494</v>
      </c>
      <c r="AS568" t="s" s="15">
        <v>2160</v>
      </c>
      <c r="AT568" s="14"/>
      <c r="AU568" s="14"/>
      <c r="AV568" s="14"/>
      <c r="AW568" s="14"/>
      <c r="AX568" s="14"/>
      <c r="AY568" s="14"/>
      <c r="AZ568" s="14"/>
      <c r="BA568" s="14"/>
      <c r="BB568" s="14"/>
      <c r="BC568" s="14"/>
      <c r="BD568" s="14"/>
      <c r="BE568" s="14"/>
      <c r="BF568" s="14"/>
      <c r="BG568" s="14"/>
      <c r="BH568" s="14"/>
      <c r="BI568" s="14"/>
      <c r="BJ568" s="14"/>
      <c r="BK568" s="14"/>
      <c r="BL568" s="14"/>
      <c r="BM568" s="14"/>
      <c r="BN568" t="s" s="15">
        <v>69</v>
      </c>
      <c r="BO568" s="16"/>
      <c r="BP568" s="8"/>
    </row>
    <row r="569" ht="9" customHeight="1" hidden="1">
      <c r="A569" t="s" s="9">
        <v>2161</v>
      </c>
      <c r="B569" s="11"/>
      <c r="C569" t="str" s="11" cm="1">
        <f t="array" ref="C569">_xlfn.IFERROR((VLOOKUP(A569,#REF!,2,FALSE)),"")</f>
      </c>
      <c r="D569" t="s" s="10">
        <v>70</v>
      </c>
      <c r="E569" t="s" s="10">
        <v>1181</v>
      </c>
      <c r="F569" s="11"/>
      <c r="G569" t="s" s="35">
        <v>2157</v>
      </c>
      <c r="H569" t="s" s="35">
        <v>2158</v>
      </c>
      <c r="I569" t="s" s="35">
        <v>111</v>
      </c>
      <c r="J569" t="s" s="35">
        <v>122</v>
      </c>
      <c r="K569" t="s" s="35">
        <v>113</v>
      </c>
      <c r="L569" t="s" s="10">
        <v>76</v>
      </c>
      <c r="M569" t="s" s="35">
        <v>2162</v>
      </c>
      <c r="N569" t="s" s="35">
        <v>2157</v>
      </c>
      <c r="O569" s="11"/>
      <c r="P569" t="s" s="10">
        <v>122</v>
      </c>
      <c r="Q569" t="s" s="10">
        <v>69</v>
      </c>
      <c r="R569" t="s" s="10">
        <v>83</v>
      </c>
      <c r="S569" s="11"/>
      <c r="T569" s="11"/>
      <c r="U569" s="11"/>
      <c r="V569" t="s" s="10">
        <v>69</v>
      </c>
      <c r="W569" s="11"/>
      <c r="X569" t="s" s="10">
        <v>78</v>
      </c>
      <c r="Y569" s="11"/>
      <c r="Z569" t="s" s="10">
        <v>76</v>
      </c>
      <c r="AA569" s="11"/>
      <c r="AB569" t="s" s="10">
        <v>76</v>
      </c>
      <c r="AC569" t="s" s="10">
        <v>2161</v>
      </c>
      <c r="AD569" t="s" s="10">
        <v>2163</v>
      </c>
      <c r="AE569" s="11"/>
      <c r="AF569" s="11"/>
      <c r="AG569" t="s" s="10">
        <v>299</v>
      </c>
      <c r="AH569" t="s" s="10">
        <v>106</v>
      </c>
      <c r="AI569" t="s" s="10">
        <v>76</v>
      </c>
      <c r="AJ569" t="s" s="10">
        <v>76</v>
      </c>
      <c r="AK569" t="s" s="10">
        <v>79</v>
      </c>
      <c r="AL569" t="s" s="10">
        <v>293</v>
      </c>
      <c r="AM569" t="s" s="10">
        <v>294</v>
      </c>
      <c r="AN569" t="s" s="10">
        <v>187</v>
      </c>
      <c r="AO569" s="18">
        <v>8</v>
      </c>
      <c r="AP569" s="18">
        <v>16384</v>
      </c>
      <c r="AQ569" s="18">
        <v>529166</v>
      </c>
      <c r="AR569" s="18">
        <v>529166</v>
      </c>
      <c r="AS569" t="s" s="10">
        <v>2164</v>
      </c>
      <c r="AT569" s="11"/>
      <c r="AU569" s="11"/>
      <c r="AV569" s="11"/>
      <c r="AW569" s="11"/>
      <c r="AX569" s="11"/>
      <c r="AY569" s="11"/>
      <c r="AZ569" s="11"/>
      <c r="BA569" s="11"/>
      <c r="BB569" s="11"/>
      <c r="BC569" s="11"/>
      <c r="BD569" s="11"/>
      <c r="BE569" s="11"/>
      <c r="BF569" s="11"/>
      <c r="BG569" s="11"/>
      <c r="BH569" s="11"/>
      <c r="BI569" s="11"/>
      <c r="BJ569" s="11"/>
      <c r="BK569" s="11"/>
      <c r="BL569" s="11"/>
      <c r="BM569" s="11"/>
      <c r="BN569" t="s" s="10">
        <v>69</v>
      </c>
      <c r="BO569" s="12"/>
      <c r="BP569" s="8"/>
    </row>
    <row r="570" ht="9" customHeight="1" hidden="1">
      <c r="A570" t="s" s="13">
        <v>2165</v>
      </c>
      <c r="B570" s="14"/>
      <c r="C570" t="str" s="14" cm="1">
        <f t="array" ref="C570">_xlfn.IFERROR((VLOOKUP(A570,#REF!,2,FALSE)),"")</f>
      </c>
      <c r="D570" t="s" s="15">
        <v>70</v>
      </c>
      <c r="E570" t="s" s="15">
        <v>1181</v>
      </c>
      <c r="F570" s="14"/>
      <c r="G570" t="s" s="15">
        <v>2166</v>
      </c>
      <c r="H570" t="s" s="15">
        <v>2167</v>
      </c>
      <c r="I570" t="s" s="15">
        <v>111</v>
      </c>
      <c r="J570" t="s" s="15">
        <v>122</v>
      </c>
      <c r="K570" t="s" s="15">
        <v>113</v>
      </c>
      <c r="L570" t="s" s="15">
        <v>76</v>
      </c>
      <c r="M570" t="s" s="15">
        <v>2166</v>
      </c>
      <c r="N570" t="s" s="15">
        <v>2166</v>
      </c>
      <c r="O570" s="14"/>
      <c r="P570" t="s" s="15">
        <v>122</v>
      </c>
      <c r="Q570" t="s" s="15">
        <v>69</v>
      </c>
      <c r="R570" t="s" s="15">
        <v>83</v>
      </c>
      <c r="S570" s="14"/>
      <c r="T570" s="14"/>
      <c r="U570" s="14"/>
      <c r="V570" t="s" s="15">
        <v>69</v>
      </c>
      <c r="W570" s="14"/>
      <c r="X570" t="s" s="15">
        <v>78</v>
      </c>
      <c r="Y570" s="14"/>
      <c r="Z570" t="s" s="15">
        <v>76</v>
      </c>
      <c r="AA570" s="14"/>
      <c r="AB570" t="s" s="15">
        <v>76</v>
      </c>
      <c r="AC570" t="s" s="15">
        <v>2165</v>
      </c>
      <c r="AD570" t="s" s="15">
        <v>2168</v>
      </c>
      <c r="AE570" s="14"/>
      <c r="AF570" s="14"/>
      <c r="AG570" t="s" s="15">
        <v>299</v>
      </c>
      <c r="AH570" t="s" s="15">
        <v>106</v>
      </c>
      <c r="AI570" t="s" s="15">
        <v>76</v>
      </c>
      <c r="AJ570" t="s" s="15">
        <v>76</v>
      </c>
      <c r="AK570" t="s" s="15">
        <v>79</v>
      </c>
      <c r="AL570" t="s" s="15">
        <v>293</v>
      </c>
      <c r="AM570" t="s" s="15">
        <v>294</v>
      </c>
      <c r="AN570" t="s" s="15">
        <v>187</v>
      </c>
      <c r="AO570" s="17">
        <v>8</v>
      </c>
      <c r="AP570" s="17">
        <v>16384</v>
      </c>
      <c r="AQ570" s="17">
        <v>529148</v>
      </c>
      <c r="AR570" s="17">
        <v>529148</v>
      </c>
      <c r="AS570" t="s" s="15">
        <v>2169</v>
      </c>
      <c r="AT570" s="14"/>
      <c r="AU570" s="14"/>
      <c r="AV570" s="14"/>
      <c r="AW570" s="14"/>
      <c r="AX570" s="14"/>
      <c r="AY570" s="14"/>
      <c r="AZ570" s="14"/>
      <c r="BA570" s="14"/>
      <c r="BB570" s="14"/>
      <c r="BC570" s="14"/>
      <c r="BD570" s="14"/>
      <c r="BE570" s="14"/>
      <c r="BF570" s="14"/>
      <c r="BG570" s="14"/>
      <c r="BH570" s="14"/>
      <c r="BI570" s="14"/>
      <c r="BJ570" s="14"/>
      <c r="BK570" s="14"/>
      <c r="BL570" s="14"/>
      <c r="BM570" s="14"/>
      <c r="BN570" t="s" s="15">
        <v>69</v>
      </c>
      <c r="BO570" s="16"/>
      <c r="BP570" s="8"/>
    </row>
    <row r="571" ht="9" customHeight="1" hidden="1">
      <c r="A571" t="s" s="9">
        <v>2170</v>
      </c>
      <c r="B571" s="11"/>
      <c r="C571" t="str" s="11" cm="1">
        <f t="array" ref="C571">_xlfn.IFERROR((VLOOKUP(A571,#REF!,2,FALSE)),"")</f>
      </c>
      <c r="D571" s="11"/>
      <c r="E571" s="11"/>
      <c r="F571" s="11"/>
      <c r="G571" t="s" s="10">
        <v>2171</v>
      </c>
      <c r="H571" t="s" s="10">
        <v>2172</v>
      </c>
      <c r="I571" t="s" s="10">
        <v>111</v>
      </c>
      <c r="J571" t="s" s="10">
        <v>122</v>
      </c>
      <c r="K571" t="s" s="10">
        <v>113</v>
      </c>
      <c r="L571" t="s" s="10">
        <v>76</v>
      </c>
      <c r="M571" t="s" s="10">
        <v>2171</v>
      </c>
      <c r="N571" t="s" s="10">
        <v>2171</v>
      </c>
      <c r="O571" s="11"/>
      <c r="P571" t="s" s="10">
        <v>122</v>
      </c>
      <c r="Q571" t="s" s="10">
        <v>69</v>
      </c>
      <c r="R571" t="s" s="10">
        <v>83</v>
      </c>
      <c r="S571" s="11"/>
      <c r="T571" s="11"/>
      <c r="U571" s="11"/>
      <c r="V571" t="s" s="10">
        <v>69</v>
      </c>
      <c r="W571" s="11"/>
      <c r="X571" t="s" s="10">
        <v>69</v>
      </c>
      <c r="Y571" s="11"/>
      <c r="Z571" t="s" s="10">
        <v>76</v>
      </c>
      <c r="AA571" s="11"/>
      <c r="AB571" t="s" s="10">
        <v>76</v>
      </c>
      <c r="AC571" t="s" s="10">
        <v>2170</v>
      </c>
      <c r="AD571" t="s" s="10">
        <v>2173</v>
      </c>
      <c r="AE571" s="11"/>
      <c r="AF571" s="11"/>
      <c r="AG571" t="s" s="10">
        <v>299</v>
      </c>
      <c r="AH571" t="s" s="10">
        <v>106</v>
      </c>
      <c r="AI571" t="s" s="10">
        <v>76</v>
      </c>
      <c r="AJ571" t="s" s="10">
        <v>76</v>
      </c>
      <c r="AK571" t="s" s="10">
        <v>79</v>
      </c>
      <c r="AL571" t="s" s="10">
        <v>293</v>
      </c>
      <c r="AM571" t="s" s="10">
        <v>294</v>
      </c>
      <c r="AN571" t="s" s="10">
        <v>187</v>
      </c>
      <c r="AO571" s="18">
        <v>8</v>
      </c>
      <c r="AP571" s="18">
        <v>16384</v>
      </c>
      <c r="AQ571" s="18">
        <v>529128</v>
      </c>
      <c r="AR571" s="18">
        <v>529128</v>
      </c>
      <c r="AS571" t="s" s="10">
        <v>2174</v>
      </c>
      <c r="AT571" s="11"/>
      <c r="AU571" s="11"/>
      <c r="AV571" s="11"/>
      <c r="AW571" s="11"/>
      <c r="AX571" s="11"/>
      <c r="AY571" s="11"/>
      <c r="AZ571" s="11"/>
      <c r="BA571" s="11"/>
      <c r="BB571" s="11"/>
      <c r="BC571" s="11"/>
      <c r="BD571" s="11"/>
      <c r="BE571" s="11"/>
      <c r="BF571" s="11"/>
      <c r="BG571" s="11"/>
      <c r="BH571" s="11"/>
      <c r="BI571" s="11"/>
      <c r="BJ571" s="11"/>
      <c r="BK571" s="11"/>
      <c r="BL571" s="11"/>
      <c r="BM571" s="11"/>
      <c r="BN571" t="s" s="10">
        <v>69</v>
      </c>
      <c r="BO571" s="12"/>
      <c r="BP571" s="8"/>
    </row>
    <row r="572" ht="9" customHeight="1" hidden="1">
      <c r="A572" t="s" s="13">
        <v>2175</v>
      </c>
      <c r="B572" s="14"/>
      <c r="C572" t="str" s="14" cm="1">
        <f t="array" ref="C572">_xlfn.IFERROR((VLOOKUP(A572,#REF!,2,FALSE)),"")</f>
      </c>
      <c r="D572" s="14"/>
      <c r="E572" s="14"/>
      <c r="F572" s="14"/>
      <c r="G572" t="s" s="15">
        <v>2176</v>
      </c>
      <c r="H572" t="s" s="15">
        <v>2177</v>
      </c>
      <c r="I572" t="s" s="15">
        <v>73</v>
      </c>
      <c r="J572" t="s" s="15">
        <v>74</v>
      </c>
      <c r="K572" t="s" s="15">
        <v>113</v>
      </c>
      <c r="L572" t="s" s="15">
        <v>1359</v>
      </c>
      <c r="M572" t="s" s="15">
        <v>2176</v>
      </c>
      <c r="N572" t="s" s="15">
        <v>2176</v>
      </c>
      <c r="O572" s="14"/>
      <c r="P572" t="s" s="15">
        <v>122</v>
      </c>
      <c r="Q572" t="s" s="15">
        <v>78</v>
      </c>
      <c r="R572" t="s" s="15">
        <v>339</v>
      </c>
      <c r="S572" s="14"/>
      <c r="T572" s="14"/>
      <c r="U572" s="14"/>
      <c r="V572" t="s" s="15">
        <v>78</v>
      </c>
      <c r="W572" t="s" s="15">
        <v>2178</v>
      </c>
      <c r="X572" t="s" s="15">
        <v>69</v>
      </c>
      <c r="Y572" s="14"/>
      <c r="Z572" t="s" s="15">
        <v>76</v>
      </c>
      <c r="AA572" s="14"/>
      <c r="AB572" t="s" s="15">
        <v>76</v>
      </c>
      <c r="AC572" s="14"/>
      <c r="AD572" s="14"/>
      <c r="AE572" s="14"/>
      <c r="AF572" s="14"/>
      <c r="AG572" t="s" s="15">
        <v>299</v>
      </c>
      <c r="AH572" t="s" s="15">
        <v>106</v>
      </c>
      <c r="AI572" t="s" s="15">
        <v>76</v>
      </c>
      <c r="AJ572" t="s" s="15">
        <v>76</v>
      </c>
      <c r="AK572" t="s" s="15">
        <v>79</v>
      </c>
      <c r="AL572" t="s" s="15">
        <v>293</v>
      </c>
      <c r="AM572" t="s" s="15">
        <v>294</v>
      </c>
      <c r="AN572" s="14"/>
      <c r="AO572" s="17">
        <v>2</v>
      </c>
      <c r="AP572" s="17">
        <v>6144</v>
      </c>
      <c r="AQ572" s="17">
        <v>195667</v>
      </c>
      <c r="AR572" s="17">
        <v>195667</v>
      </c>
      <c r="AS572" t="s" s="15">
        <v>2179</v>
      </c>
      <c r="AT572" s="14"/>
      <c r="AU572" s="14"/>
      <c r="AV572" s="14"/>
      <c r="AW572" s="14"/>
      <c r="AX572" s="14"/>
      <c r="AY572" s="14"/>
      <c r="AZ572" s="14"/>
      <c r="BA572" s="14"/>
      <c r="BB572" s="14"/>
      <c r="BC572" s="14"/>
      <c r="BD572" s="14"/>
      <c r="BE572" s="14"/>
      <c r="BF572" s="14"/>
      <c r="BG572" s="14"/>
      <c r="BH572" s="14"/>
      <c r="BI572" s="14"/>
      <c r="BJ572" s="14"/>
      <c r="BK572" s="14"/>
      <c r="BL572" s="14"/>
      <c r="BM572" s="14"/>
      <c r="BN572" s="14"/>
      <c r="BO572" s="16"/>
      <c r="BP572" s="8"/>
    </row>
    <row r="573" ht="9" customHeight="1" hidden="1">
      <c r="A573" t="s" s="9">
        <v>2180</v>
      </c>
      <c r="B573" s="11"/>
      <c r="C573" t="str" s="11" cm="1">
        <f t="array" ref="C573">_xlfn.IFERROR((VLOOKUP(A573,#REF!,2,FALSE)),"")</f>
      </c>
      <c r="D573" s="11"/>
      <c r="E573" t="s" s="10">
        <v>2181</v>
      </c>
      <c r="F573" s="11"/>
      <c r="G573" t="s" s="10">
        <v>2182</v>
      </c>
      <c r="H573" t="s" s="10">
        <v>2183</v>
      </c>
      <c r="I573" t="s" s="10">
        <v>111</v>
      </c>
      <c r="J573" t="s" s="10">
        <v>112</v>
      </c>
      <c r="K573" t="s" s="10">
        <v>113</v>
      </c>
      <c r="L573" t="s" s="10">
        <v>518</v>
      </c>
      <c r="M573" t="s" s="10">
        <v>2182</v>
      </c>
      <c r="N573" t="s" s="10">
        <v>2182</v>
      </c>
      <c r="O573" s="11"/>
      <c r="P573" t="s" s="10">
        <v>112</v>
      </c>
      <c r="Q573" t="s" s="10">
        <v>69</v>
      </c>
      <c r="R573" t="s" s="10">
        <v>83</v>
      </c>
      <c r="S573" s="11"/>
      <c r="T573" s="11"/>
      <c r="U573" s="11"/>
      <c r="V573" t="s" s="10">
        <v>69</v>
      </c>
      <c r="W573" s="11"/>
      <c r="X573" t="s" s="10">
        <v>69</v>
      </c>
      <c r="Y573" s="11"/>
      <c r="Z573" t="s" s="10">
        <v>1760</v>
      </c>
      <c r="AA573" s="11"/>
      <c r="AB573" t="s" s="10">
        <v>2184</v>
      </c>
      <c r="AC573" t="s" s="25">
        <v>2180</v>
      </c>
      <c r="AD573" t="s" s="10">
        <v>2185</v>
      </c>
      <c r="AE573" s="11"/>
      <c r="AF573" s="11"/>
      <c r="AG573" t="s" s="10">
        <v>299</v>
      </c>
      <c r="AH573" t="s" s="10">
        <v>114</v>
      </c>
      <c r="AI573" t="s" s="10">
        <v>290</v>
      </c>
      <c r="AJ573" t="s" s="10">
        <v>473</v>
      </c>
      <c r="AK573" t="s" s="10">
        <v>1195</v>
      </c>
      <c r="AL573" t="s" s="10">
        <v>293</v>
      </c>
      <c r="AM573" t="s" s="10">
        <v>294</v>
      </c>
      <c r="AN573" t="s" s="10">
        <v>187</v>
      </c>
      <c r="AO573" s="18">
        <v>4</v>
      </c>
      <c r="AP573" s="18">
        <v>16384</v>
      </c>
      <c r="AQ573" s="18">
        <v>221394</v>
      </c>
      <c r="AR573" s="18">
        <v>221394</v>
      </c>
      <c r="AS573" t="s" s="10">
        <v>2186</v>
      </c>
      <c r="AT573" t="s" s="10">
        <v>301</v>
      </c>
      <c r="AU573" s="11"/>
      <c r="AV573" s="11"/>
      <c r="AW573" t="s" s="10">
        <v>83</v>
      </c>
      <c r="AX573" t="s" s="10">
        <v>83</v>
      </c>
      <c r="AY573" t="s" s="10">
        <v>309</v>
      </c>
      <c r="AZ573" t="s" s="10">
        <v>83</v>
      </c>
      <c r="BA573" t="s" s="10">
        <v>76</v>
      </c>
      <c r="BB573" t="s" s="10">
        <v>76</v>
      </c>
      <c r="BC573" t="s" s="10">
        <v>76</v>
      </c>
      <c r="BD573" t="s" s="10">
        <v>366</v>
      </c>
      <c r="BE573" t="s" s="10">
        <v>394</v>
      </c>
      <c r="BF573" s="18">
        <v>4</v>
      </c>
      <c r="BG573" s="18">
        <v>16</v>
      </c>
      <c r="BH573" t="s" s="10">
        <v>83</v>
      </c>
      <c r="BI573" t="s" s="10">
        <v>83</v>
      </c>
      <c r="BJ573" t="s" s="10">
        <v>83</v>
      </c>
      <c r="BK573" t="s" s="10">
        <v>83</v>
      </c>
      <c r="BL573" t="s" s="10">
        <v>83</v>
      </c>
      <c r="BM573" t="s" s="10">
        <v>312</v>
      </c>
      <c r="BN573" t="s" s="10">
        <v>78</v>
      </c>
      <c r="BO573" t="s" s="19">
        <v>76</v>
      </c>
      <c r="BP573" s="8"/>
    </row>
    <row r="574" ht="13.55" customHeight="1">
      <c r="A574" t="s" s="13">
        <v>2187</v>
      </c>
      <c r="B574" s="14"/>
      <c r="C574" t="str" s="14" cm="1">
        <f t="array" ref="C574">_xlfn.IFERROR((VLOOKUP(A574,#REF!,2,FALSE)),"")</f>
      </c>
      <c r="D574" s="14"/>
      <c r="E574" s="14"/>
      <c r="F574" s="14"/>
      <c r="G574" t="s" s="15">
        <v>2188</v>
      </c>
      <c r="H574" t="s" s="15">
        <v>25</v>
      </c>
      <c r="I574" t="s" s="15">
        <v>111</v>
      </c>
      <c r="J574" t="s" s="15">
        <v>122</v>
      </c>
      <c r="K574" t="s" s="15">
        <v>113</v>
      </c>
      <c r="L574" t="s" s="15">
        <v>518</v>
      </c>
      <c r="M574" t="s" s="15">
        <v>2188</v>
      </c>
      <c r="N574" t="s" s="15">
        <v>2188</v>
      </c>
      <c r="O574" s="14"/>
      <c r="P574" t="s" s="15">
        <v>122</v>
      </c>
      <c r="Q574" t="s" s="15">
        <v>69</v>
      </c>
      <c r="R574" t="s" s="15">
        <v>83</v>
      </c>
      <c r="S574" s="14"/>
      <c r="T574" s="14"/>
      <c r="U574" s="14"/>
      <c r="V574" t="s" s="15">
        <v>69</v>
      </c>
      <c r="W574" s="14"/>
      <c r="X574" t="s" s="15">
        <v>69</v>
      </c>
      <c r="Y574" s="14"/>
      <c r="Z574" t="s" s="15">
        <v>1976</v>
      </c>
      <c r="AA574" s="14"/>
      <c r="AB574" t="s" s="15">
        <v>1977</v>
      </c>
      <c r="AC574" t="s" s="15">
        <v>2187</v>
      </c>
      <c r="AD574" t="s" s="15">
        <v>2189</v>
      </c>
      <c r="AE574" s="14"/>
      <c r="AF574" t="s" s="15">
        <v>1989</v>
      </c>
      <c r="AG574" t="s" s="15">
        <v>299</v>
      </c>
      <c r="AH574" t="s" s="15">
        <v>114</v>
      </c>
      <c r="AI574" t="s" s="15">
        <v>332</v>
      </c>
      <c r="AJ574" t="s" s="15">
        <v>405</v>
      </c>
      <c r="AK574" t="s" s="15">
        <v>83</v>
      </c>
      <c r="AL574" t="s" s="15">
        <v>293</v>
      </c>
      <c r="AM574" t="s" s="15">
        <v>294</v>
      </c>
      <c r="AN574" t="s" s="15">
        <v>187</v>
      </c>
      <c r="AO574" s="17">
        <v>8</v>
      </c>
      <c r="AP574" s="17">
        <v>32768</v>
      </c>
      <c r="AQ574" s="17">
        <v>238221</v>
      </c>
      <c r="AR574" s="17">
        <v>238221</v>
      </c>
      <c r="AS574" t="s" s="15">
        <v>2190</v>
      </c>
      <c r="AT574" t="s" s="15">
        <v>301</v>
      </c>
      <c r="AU574" s="14"/>
      <c r="AV574" s="14"/>
      <c r="AW574" s="14"/>
      <c r="AX574" s="14"/>
      <c r="AY574" s="14"/>
      <c r="AZ574" s="14"/>
      <c r="BA574" s="14"/>
      <c r="BB574" s="14"/>
      <c r="BC574" s="14"/>
      <c r="BD574" t="s" s="15">
        <v>366</v>
      </c>
      <c r="BE574" t="s" s="15">
        <v>367</v>
      </c>
      <c r="BF574" s="17">
        <v>8</v>
      </c>
      <c r="BG574" s="17">
        <v>32</v>
      </c>
      <c r="BH574" s="14"/>
      <c r="BI574" s="14"/>
      <c r="BJ574" s="14"/>
      <c r="BK574" s="14"/>
      <c r="BL574" s="14"/>
      <c r="BM574" s="14"/>
      <c r="BN574" t="s" s="15">
        <v>69</v>
      </c>
      <c r="BO574" s="16"/>
      <c r="BP574" s="8"/>
    </row>
    <row r="575" ht="15" customHeight="1">
      <c r="A575" t="s" s="9">
        <v>2191</v>
      </c>
      <c r="B575" s="11"/>
      <c r="C575" t="str" s="11" cm="1">
        <f t="array" ref="C575">_xlfn.IFERROR((VLOOKUP(A575,#REF!,2,FALSE)),"")</f>
      </c>
      <c r="D575" s="11"/>
      <c r="E575" s="11"/>
      <c r="F575" s="11"/>
      <c r="G575" t="s" s="10">
        <v>2192</v>
      </c>
      <c r="H575" t="s" s="10">
        <v>25</v>
      </c>
      <c r="I575" t="s" s="10">
        <v>111</v>
      </c>
      <c r="J575" t="s" s="10">
        <v>122</v>
      </c>
      <c r="K575" t="s" s="10">
        <v>113</v>
      </c>
      <c r="L575" t="s" s="10">
        <v>518</v>
      </c>
      <c r="M575" t="s" s="10">
        <v>2192</v>
      </c>
      <c r="N575" t="s" s="10">
        <v>2192</v>
      </c>
      <c r="O575" s="11"/>
      <c r="P575" t="s" s="10">
        <v>122</v>
      </c>
      <c r="Q575" t="s" s="10">
        <v>69</v>
      </c>
      <c r="R575" t="s" s="10">
        <v>83</v>
      </c>
      <c r="S575" s="11"/>
      <c r="T575" s="11"/>
      <c r="U575" s="11"/>
      <c r="V575" t="s" s="10">
        <v>69</v>
      </c>
      <c r="W575" s="11"/>
      <c r="X575" t="s" s="10">
        <v>69</v>
      </c>
      <c r="Y575" s="11"/>
      <c r="Z575" t="s" s="10">
        <v>1976</v>
      </c>
      <c r="AA575" s="11"/>
      <c r="AB575" t="s" s="10">
        <v>1977</v>
      </c>
      <c r="AC575" t="s" s="10">
        <v>2191</v>
      </c>
      <c r="AD575" t="s" s="10">
        <v>2193</v>
      </c>
      <c r="AE575" s="11"/>
      <c r="AF575" t="s" s="10">
        <v>1989</v>
      </c>
      <c r="AG575" t="s" s="10">
        <v>299</v>
      </c>
      <c r="AH575" t="s" s="10">
        <v>114</v>
      </c>
      <c r="AI575" t="s" s="10">
        <v>332</v>
      </c>
      <c r="AJ575" t="s" s="10">
        <v>405</v>
      </c>
      <c r="AK575" t="s" s="10">
        <v>83</v>
      </c>
      <c r="AL575" t="s" s="10">
        <v>293</v>
      </c>
      <c r="AM575" t="s" s="10">
        <v>294</v>
      </c>
      <c r="AN575" t="s" s="10">
        <v>187</v>
      </c>
      <c r="AO575" s="18">
        <v>8</v>
      </c>
      <c r="AP575" s="18">
        <v>32768</v>
      </c>
      <c r="AQ575" s="18">
        <v>238073</v>
      </c>
      <c r="AR575" s="18">
        <v>238073</v>
      </c>
      <c r="AS575" t="s" s="10">
        <v>2194</v>
      </c>
      <c r="AT575" t="s" s="10">
        <v>301</v>
      </c>
      <c r="AU575" s="11"/>
      <c r="AV575" s="11"/>
      <c r="AW575" s="11"/>
      <c r="AX575" s="11"/>
      <c r="AY575" s="11"/>
      <c r="AZ575" s="11"/>
      <c r="BA575" s="11"/>
      <c r="BB575" s="11"/>
      <c r="BC575" s="11"/>
      <c r="BD575" t="s" s="10">
        <v>366</v>
      </c>
      <c r="BE575" t="s" s="10">
        <v>367</v>
      </c>
      <c r="BF575" s="18">
        <v>8</v>
      </c>
      <c r="BG575" s="18">
        <v>32</v>
      </c>
      <c r="BH575" s="11"/>
      <c r="BI575" s="11"/>
      <c r="BJ575" s="11"/>
      <c r="BK575" s="11"/>
      <c r="BL575" s="11"/>
      <c r="BM575" s="11"/>
      <c r="BN575" t="s" s="10">
        <v>69</v>
      </c>
      <c r="BO575" s="12"/>
      <c r="BP575" s="8"/>
    </row>
    <row r="576" ht="9" customHeight="1" hidden="1">
      <c r="A576" t="s" s="13">
        <v>2195</v>
      </c>
      <c r="B576" s="14"/>
      <c r="C576" t="str" s="14" cm="1">
        <f t="array" ref="C576">_xlfn.IFERROR((VLOOKUP(A576,#REF!,2,FALSE)),"")</f>
      </c>
      <c r="D576" s="14"/>
      <c r="E576" t="s" s="15">
        <v>1706</v>
      </c>
      <c r="F576" s="14"/>
      <c r="G576" t="s" s="15">
        <v>2196</v>
      </c>
      <c r="H576" t="s" s="15">
        <v>1999</v>
      </c>
      <c r="I576" t="s" s="15">
        <v>73</v>
      </c>
      <c r="J576" t="s" s="15">
        <v>469</v>
      </c>
      <c r="K576" t="s" s="15">
        <v>105</v>
      </c>
      <c r="L576" t="s" s="15">
        <v>76</v>
      </c>
      <c r="M576" t="s" s="15">
        <v>2196</v>
      </c>
      <c r="N576" t="s" s="15">
        <v>2196</v>
      </c>
      <c r="O576" t="s" s="15">
        <v>71</v>
      </c>
      <c r="P576" t="s" s="15">
        <v>469</v>
      </c>
      <c r="Q576" t="s" s="15">
        <v>78</v>
      </c>
      <c r="R576" t="s" s="15">
        <v>83</v>
      </c>
      <c r="S576" s="14"/>
      <c r="T576" s="14"/>
      <c r="U576" s="14"/>
      <c r="V576" t="s" s="15">
        <v>78</v>
      </c>
      <c r="W576" s="14"/>
      <c r="X576" t="s" s="15">
        <v>69</v>
      </c>
      <c r="Y576" s="14"/>
      <c r="Z576" t="s" s="15">
        <v>76</v>
      </c>
      <c r="AA576" s="14"/>
      <c r="AB576" t="s" s="15">
        <v>76</v>
      </c>
      <c r="AC576" s="14"/>
      <c r="AD576" s="14"/>
      <c r="AE576" s="14"/>
      <c r="AF576" s="14"/>
      <c r="AG576" s="14"/>
      <c r="AH576" t="s" s="15">
        <v>106</v>
      </c>
      <c r="AI576" t="s" s="15">
        <v>76</v>
      </c>
      <c r="AJ576" t="s" s="15">
        <v>76</v>
      </c>
      <c r="AK576" t="s" s="15">
        <v>79</v>
      </c>
      <c r="AL576" t="s" s="15">
        <v>293</v>
      </c>
      <c r="AM576" t="s" s="15">
        <v>294</v>
      </c>
      <c r="AN576" s="14"/>
      <c r="AO576" s="17">
        <v>4</v>
      </c>
      <c r="AP576" s="17">
        <v>16384</v>
      </c>
      <c r="AQ576" s="17">
        <v>221268</v>
      </c>
      <c r="AR576" s="17">
        <v>221268</v>
      </c>
      <c r="AS576" s="14"/>
      <c r="AT576" s="14"/>
      <c r="AU576" s="14"/>
      <c r="AV576" s="14"/>
      <c r="AW576" s="14"/>
      <c r="AX576" s="14"/>
      <c r="AY576" s="14"/>
      <c r="AZ576" s="14"/>
      <c r="BA576" s="14"/>
      <c r="BB576" s="14"/>
      <c r="BC576" s="14"/>
      <c r="BD576" t="s" s="15">
        <v>310</v>
      </c>
      <c r="BE576" t="s" s="15">
        <v>311</v>
      </c>
      <c r="BF576" s="14"/>
      <c r="BG576" s="14"/>
      <c r="BH576" s="14"/>
      <c r="BI576" s="14"/>
      <c r="BJ576" s="14"/>
      <c r="BK576" s="14"/>
      <c r="BL576" s="14"/>
      <c r="BM576" s="14"/>
      <c r="BN576" s="14"/>
      <c r="BO576" s="16"/>
      <c r="BP576" s="8"/>
    </row>
    <row r="577" ht="9" customHeight="1" hidden="1">
      <c r="A577" t="s" s="9">
        <v>2197</v>
      </c>
      <c r="B577" s="11"/>
      <c r="C577" t="str" s="11" cm="1">
        <f t="array" ref="C577">_xlfn.IFERROR((VLOOKUP(A577,#REF!,2,FALSE)),"")</f>
      </c>
      <c r="D577" t="s" s="10">
        <v>70</v>
      </c>
      <c r="E577" t="s" s="10">
        <v>1636</v>
      </c>
      <c r="F577" s="11"/>
      <c r="G577" t="s" s="10">
        <v>1840</v>
      </c>
      <c r="H577" t="s" s="10">
        <v>1840</v>
      </c>
      <c r="I577" t="s" s="10">
        <v>111</v>
      </c>
      <c r="J577" t="s" s="10">
        <v>122</v>
      </c>
      <c r="K577" t="s" s="10">
        <v>105</v>
      </c>
      <c r="L577" t="s" s="10">
        <v>1638</v>
      </c>
      <c r="M577" t="s" s="10">
        <v>1840</v>
      </c>
      <c r="N577" t="s" s="10">
        <v>1840</v>
      </c>
      <c r="O577" s="11"/>
      <c r="P577" t="s" s="10">
        <v>122</v>
      </c>
      <c r="Q577" t="s" s="10">
        <v>78</v>
      </c>
      <c r="R577" t="s" s="10">
        <v>323</v>
      </c>
      <c r="S577" s="11"/>
      <c r="T577" s="11"/>
      <c r="U577" s="11"/>
      <c r="V577" t="s" s="10">
        <v>78</v>
      </c>
      <c r="W577" s="11"/>
      <c r="X577" t="s" s="10">
        <v>69</v>
      </c>
      <c r="Y577" s="11"/>
      <c r="Z577" t="s" s="10">
        <v>1639</v>
      </c>
      <c r="AA577" s="11"/>
      <c r="AB577" t="s" s="10">
        <v>76</v>
      </c>
      <c r="AC577" s="11"/>
      <c r="AD577" s="11"/>
      <c r="AE577" s="11"/>
      <c r="AF577" s="11"/>
      <c r="AG577" t="s" s="10">
        <v>299</v>
      </c>
      <c r="AH577" t="s" s="10">
        <v>114</v>
      </c>
      <c r="AI577" t="s" s="10">
        <v>76</v>
      </c>
      <c r="AJ577" t="s" s="10">
        <v>76</v>
      </c>
      <c r="AK577" t="s" s="10">
        <v>79</v>
      </c>
      <c r="AL577" t="s" s="10">
        <v>293</v>
      </c>
      <c r="AM577" t="s" s="10">
        <v>294</v>
      </c>
      <c r="AN577" s="11"/>
      <c r="AO577" s="18">
        <v>1</v>
      </c>
      <c r="AP577" s="18">
        <v>8192</v>
      </c>
      <c r="AQ577" s="18">
        <v>49449</v>
      </c>
      <c r="AR577" s="18">
        <v>49449</v>
      </c>
      <c r="AS577" t="s" s="10">
        <v>2198</v>
      </c>
      <c r="AT577" s="11"/>
      <c r="AU577" s="11"/>
      <c r="AV577" s="11"/>
      <c r="AW577" s="11"/>
      <c r="AX577" s="11"/>
      <c r="AY577" s="11"/>
      <c r="AZ577" s="11"/>
      <c r="BA577" s="11"/>
      <c r="BB577" s="11"/>
      <c r="BC577" s="11"/>
      <c r="BD577" t="s" s="10">
        <v>366</v>
      </c>
      <c r="BE577" t="s" s="10">
        <v>489</v>
      </c>
      <c r="BF577" s="18">
        <v>2</v>
      </c>
      <c r="BG577" s="18">
        <v>8</v>
      </c>
      <c r="BH577" s="11"/>
      <c r="BI577" s="11"/>
      <c r="BJ577" s="11"/>
      <c r="BK577" s="11"/>
      <c r="BL577" s="11"/>
      <c r="BM577" s="11"/>
      <c r="BN577" t="s" s="10">
        <v>78</v>
      </c>
      <c r="BO577" s="12"/>
      <c r="BP577" s="8"/>
    </row>
    <row r="578" ht="9" customHeight="1" hidden="1">
      <c r="A578" t="s" s="13">
        <v>2199</v>
      </c>
      <c r="B578" s="14"/>
      <c r="C578" t="str" s="14" cm="1">
        <f t="array" ref="C578">_xlfn.IFERROR((VLOOKUP(A578,#REF!,2,FALSE)),"")</f>
      </c>
      <c r="D578" t="s" s="15">
        <v>70</v>
      </c>
      <c r="E578" t="s" s="15">
        <v>2200</v>
      </c>
      <c r="F578" s="14"/>
      <c r="G578" s="14"/>
      <c r="H578" s="14"/>
      <c r="I578" t="s" s="15">
        <v>82</v>
      </c>
      <c r="J578" t="s" s="15">
        <v>82</v>
      </c>
      <c r="K578" t="s" s="15">
        <v>82</v>
      </c>
      <c r="L578" t="s" s="15">
        <v>76</v>
      </c>
      <c r="M578" t="s" s="15">
        <v>77</v>
      </c>
      <c r="N578" s="14"/>
      <c r="O578" t="s" s="15">
        <v>71</v>
      </c>
      <c r="P578" s="14"/>
      <c r="Q578" t="s" s="15">
        <v>78</v>
      </c>
      <c r="R578" t="s" s="15">
        <v>83</v>
      </c>
      <c r="S578" s="14"/>
      <c r="T578" s="14"/>
      <c r="U578" s="14"/>
      <c r="V578" t="s" s="15">
        <v>78</v>
      </c>
      <c r="W578" s="14"/>
      <c r="X578" t="s" s="15">
        <v>78</v>
      </c>
      <c r="Y578" s="14"/>
      <c r="Z578" t="s" s="15">
        <v>76</v>
      </c>
      <c r="AA578" s="14"/>
      <c r="AB578" t="s" s="15">
        <v>76</v>
      </c>
      <c r="AC578" s="14"/>
      <c r="AD578" s="14"/>
      <c r="AE578" s="14"/>
      <c r="AF578" s="14"/>
      <c r="AG578" s="14"/>
      <c r="AH578" s="14"/>
      <c r="AI578" t="s" s="15">
        <v>76</v>
      </c>
      <c r="AJ578" t="s" s="15">
        <v>76</v>
      </c>
      <c r="AK578" t="s" s="15">
        <v>79</v>
      </c>
      <c r="AL578" t="s" s="15">
        <v>293</v>
      </c>
      <c r="AM578" t="s" s="15">
        <v>294</v>
      </c>
      <c r="AN578" s="14"/>
      <c r="AO578" s="17">
        <v>16</v>
      </c>
      <c r="AP578" s="17">
        <v>49152</v>
      </c>
      <c r="AQ578" s="17">
        <v>704608</v>
      </c>
      <c r="AR578" s="17">
        <v>704608</v>
      </c>
      <c r="AS578" t="s" s="15">
        <v>2201</v>
      </c>
      <c r="AT578" s="14"/>
      <c r="AU578" s="14"/>
      <c r="AV578" s="14"/>
      <c r="AW578" s="14"/>
      <c r="AX578" s="14"/>
      <c r="AY578" s="14"/>
      <c r="AZ578" s="14"/>
      <c r="BA578" s="14"/>
      <c r="BB578" s="14"/>
      <c r="BC578" s="14"/>
      <c r="BD578" t="s" s="15">
        <v>310</v>
      </c>
      <c r="BE578" t="s" s="15">
        <v>311</v>
      </c>
      <c r="BF578" s="14"/>
      <c r="BG578" s="14"/>
      <c r="BH578" s="14"/>
      <c r="BI578" s="14"/>
      <c r="BJ578" s="14"/>
      <c r="BK578" s="14"/>
      <c r="BL578" s="14"/>
      <c r="BM578" s="14"/>
      <c r="BN578" s="14"/>
      <c r="BO578" s="16"/>
      <c r="BP578" s="8"/>
    </row>
    <row r="579" ht="9" customHeight="1" hidden="1">
      <c r="A579" t="s" s="9">
        <v>2202</v>
      </c>
      <c r="B579" s="11"/>
      <c r="C579" t="str" s="11" cm="1">
        <f t="array" ref="C579">_xlfn.IFERROR((VLOOKUP(A579,#REF!,2,FALSE)),"")</f>
      </c>
      <c r="D579" s="11"/>
      <c r="E579" s="11"/>
      <c r="F579" s="11"/>
      <c r="G579" t="s" s="10">
        <v>2203</v>
      </c>
      <c r="H579" t="s" s="10">
        <v>2204</v>
      </c>
      <c r="I579" t="s" s="10">
        <v>111</v>
      </c>
      <c r="J579" t="s" s="10">
        <v>112</v>
      </c>
      <c r="K579" t="s" s="10">
        <v>210</v>
      </c>
      <c r="L579" t="s" s="10">
        <v>76</v>
      </c>
      <c r="M579" t="s" s="10">
        <v>2203</v>
      </c>
      <c r="N579" t="s" s="10">
        <v>2203</v>
      </c>
      <c r="O579" s="11"/>
      <c r="P579" t="s" s="10">
        <v>469</v>
      </c>
      <c r="Q579" t="s" s="10">
        <v>78</v>
      </c>
      <c r="R579" t="s" s="10">
        <v>83</v>
      </c>
      <c r="S579" s="11"/>
      <c r="T579" s="11"/>
      <c r="U579" s="11"/>
      <c r="V579" t="s" s="10">
        <v>69</v>
      </c>
      <c r="W579" s="11"/>
      <c r="X579" t="s" s="10">
        <v>69</v>
      </c>
      <c r="Y579" s="11"/>
      <c r="Z579" t="s" s="10">
        <v>76</v>
      </c>
      <c r="AA579" s="11"/>
      <c r="AB579" t="s" s="10">
        <v>76</v>
      </c>
      <c r="AC579" s="11"/>
      <c r="AD579" s="11"/>
      <c r="AE579" s="11"/>
      <c r="AF579" s="11"/>
      <c r="AG579" s="11"/>
      <c r="AH579" t="s" s="10">
        <v>114</v>
      </c>
      <c r="AI579" t="s" s="10">
        <v>76</v>
      </c>
      <c r="AJ579" t="s" s="10">
        <v>76</v>
      </c>
      <c r="AK579" t="s" s="10">
        <v>79</v>
      </c>
      <c r="AL579" t="s" s="10">
        <v>293</v>
      </c>
      <c r="AM579" t="s" s="10">
        <v>294</v>
      </c>
      <c r="AN579" t="s" s="10">
        <v>2205</v>
      </c>
      <c r="AO579" s="18">
        <v>2</v>
      </c>
      <c r="AP579" s="18">
        <v>4096</v>
      </c>
      <c r="AQ579" s="18">
        <v>70768</v>
      </c>
      <c r="AR579" s="18">
        <v>16507</v>
      </c>
      <c r="AS579" t="s" s="10">
        <v>2206</v>
      </c>
      <c r="AT579" s="11"/>
      <c r="AU579" s="11"/>
      <c r="AV579" s="11"/>
      <c r="AW579" s="11"/>
      <c r="AX579" s="11"/>
      <c r="AY579" s="11"/>
      <c r="AZ579" s="11"/>
      <c r="BA579" s="11"/>
      <c r="BB579" s="11"/>
      <c r="BC579" s="11"/>
      <c r="BD579" t="s" s="10">
        <v>310</v>
      </c>
      <c r="BE579" t="s" s="10">
        <v>419</v>
      </c>
      <c r="BF579" s="18">
        <v>2</v>
      </c>
      <c r="BG579" s="18">
        <v>4</v>
      </c>
      <c r="BH579" s="11"/>
      <c r="BI579" s="11"/>
      <c r="BJ579" s="11"/>
      <c r="BK579" s="11"/>
      <c r="BL579" s="11"/>
      <c r="BM579" s="11"/>
      <c r="BN579" t="s" s="10">
        <v>78</v>
      </c>
      <c r="BO579" s="12"/>
      <c r="BP579" s="8"/>
    </row>
    <row r="580" ht="9" customHeight="1" hidden="1">
      <c r="A580" t="s" s="13">
        <v>2207</v>
      </c>
      <c r="B580" s="14"/>
      <c r="C580" t="str" s="14" cm="1">
        <f t="array" ref="C580">_xlfn.IFERROR((VLOOKUP(A580,#REF!,2,FALSE)),"")</f>
      </c>
      <c r="D580" s="14"/>
      <c r="E580" t="s" s="15">
        <v>2208</v>
      </c>
      <c r="F580" s="14"/>
      <c r="G580" t="s" s="15">
        <v>2209</v>
      </c>
      <c r="H580" t="s" s="15">
        <v>2183</v>
      </c>
      <c r="I580" t="s" s="15">
        <v>111</v>
      </c>
      <c r="J580" t="s" s="15">
        <v>322</v>
      </c>
      <c r="K580" t="s" s="15">
        <v>113</v>
      </c>
      <c r="L580" t="s" s="15">
        <v>518</v>
      </c>
      <c r="M580" t="s" s="15">
        <v>2209</v>
      </c>
      <c r="N580" t="s" s="15">
        <v>2209</v>
      </c>
      <c r="O580" s="14"/>
      <c r="P580" t="s" s="15">
        <v>322</v>
      </c>
      <c r="Q580" t="s" s="15">
        <v>69</v>
      </c>
      <c r="R580" t="s" s="15">
        <v>83</v>
      </c>
      <c r="S580" s="14"/>
      <c r="T580" s="14"/>
      <c r="U580" s="14"/>
      <c r="V580" t="s" s="15">
        <v>69</v>
      </c>
      <c r="W580" s="14"/>
      <c r="X580" t="s" s="15">
        <v>69</v>
      </c>
      <c r="Y580" s="14"/>
      <c r="Z580" t="s" s="15">
        <v>1760</v>
      </c>
      <c r="AA580" s="14"/>
      <c r="AB580" t="s" s="15">
        <v>2184</v>
      </c>
      <c r="AC580" t="s" s="24">
        <v>2207</v>
      </c>
      <c r="AD580" t="s" s="15">
        <v>2210</v>
      </c>
      <c r="AE580" s="14"/>
      <c r="AF580" s="14"/>
      <c r="AG580" t="s" s="15">
        <v>299</v>
      </c>
      <c r="AH580" t="s" s="15">
        <v>114</v>
      </c>
      <c r="AI580" t="s" s="15">
        <v>290</v>
      </c>
      <c r="AJ580" t="s" s="15">
        <v>473</v>
      </c>
      <c r="AK580" t="s" s="15">
        <v>1195</v>
      </c>
      <c r="AL580" t="s" s="15">
        <v>293</v>
      </c>
      <c r="AM580" t="s" s="15">
        <v>294</v>
      </c>
      <c r="AN580" t="s" s="15">
        <v>187</v>
      </c>
      <c r="AO580" s="17">
        <v>4</v>
      </c>
      <c r="AP580" s="17">
        <v>16384</v>
      </c>
      <c r="AQ580" s="17">
        <v>221486</v>
      </c>
      <c r="AR580" s="17">
        <v>221486</v>
      </c>
      <c r="AS580" t="s" s="15">
        <v>2211</v>
      </c>
      <c r="AT580" t="s" s="15">
        <v>301</v>
      </c>
      <c r="AU580" s="14"/>
      <c r="AV580" s="14"/>
      <c r="AW580" t="s" s="15">
        <v>83</v>
      </c>
      <c r="AX580" t="s" s="15">
        <v>83</v>
      </c>
      <c r="AY580" t="s" s="15">
        <v>309</v>
      </c>
      <c r="AZ580" t="s" s="15">
        <v>83</v>
      </c>
      <c r="BA580" t="s" s="15">
        <v>76</v>
      </c>
      <c r="BB580" t="s" s="15">
        <v>76</v>
      </c>
      <c r="BC580" t="s" s="15">
        <v>76</v>
      </c>
      <c r="BD580" t="s" s="15">
        <v>366</v>
      </c>
      <c r="BE580" t="s" s="15">
        <v>394</v>
      </c>
      <c r="BF580" s="17">
        <v>4</v>
      </c>
      <c r="BG580" s="17">
        <v>16</v>
      </c>
      <c r="BH580" t="s" s="15">
        <v>83</v>
      </c>
      <c r="BI580" t="s" s="15">
        <v>83</v>
      </c>
      <c r="BJ580" t="s" s="15">
        <v>83</v>
      </c>
      <c r="BK580" t="s" s="15">
        <v>83</v>
      </c>
      <c r="BL580" t="s" s="15">
        <v>83</v>
      </c>
      <c r="BM580" t="s" s="15">
        <v>312</v>
      </c>
      <c r="BN580" t="s" s="15">
        <v>78</v>
      </c>
      <c r="BO580" t="s" s="21">
        <v>76</v>
      </c>
      <c r="BP580" s="8"/>
    </row>
    <row r="581" ht="9" customHeight="1" hidden="1">
      <c r="A581" t="s" s="9">
        <v>2212</v>
      </c>
      <c r="B581" s="11"/>
      <c r="C581" t="str" s="11" cm="1">
        <f t="array" ref="C581">_xlfn.IFERROR((VLOOKUP(A581,#REF!,2,FALSE)),"")</f>
      </c>
      <c r="D581" s="11"/>
      <c r="E581" t="s" s="10">
        <v>2213</v>
      </c>
      <c r="F581" s="11"/>
      <c r="G581" t="s" s="10">
        <v>2214</v>
      </c>
      <c r="H581" t="s" s="10">
        <v>2214</v>
      </c>
      <c r="I581" t="s" s="10">
        <v>74</v>
      </c>
      <c r="J581" t="s" s="10">
        <v>74</v>
      </c>
      <c r="K581" t="s" s="10">
        <v>113</v>
      </c>
      <c r="L581" t="s" s="10">
        <v>76</v>
      </c>
      <c r="M581" t="s" s="10">
        <v>2214</v>
      </c>
      <c r="N581" t="s" s="10">
        <v>2214</v>
      </c>
      <c r="O581" t="s" s="10">
        <v>71</v>
      </c>
      <c r="P581" t="s" s="10">
        <v>469</v>
      </c>
      <c r="Q581" t="s" s="10">
        <v>78</v>
      </c>
      <c r="R581" t="s" s="10">
        <v>339</v>
      </c>
      <c r="S581" s="11"/>
      <c r="T581" s="11"/>
      <c r="U581" s="11"/>
      <c r="V581" t="s" s="10">
        <v>69</v>
      </c>
      <c r="W581" s="11"/>
      <c r="X581" t="s" s="10">
        <v>69</v>
      </c>
      <c r="Y581" s="11"/>
      <c r="Z581" t="s" s="10">
        <v>76</v>
      </c>
      <c r="AA581" s="11"/>
      <c r="AB581" t="s" s="10">
        <v>76</v>
      </c>
      <c r="AC581" s="11"/>
      <c r="AD581" s="11"/>
      <c r="AE581" s="11"/>
      <c r="AF581" t="s" s="10">
        <v>2214</v>
      </c>
      <c r="AG581" t="s" s="10">
        <v>299</v>
      </c>
      <c r="AH581" t="s" s="10">
        <v>114</v>
      </c>
      <c r="AI581" t="s" s="10">
        <v>76</v>
      </c>
      <c r="AJ581" t="s" s="10">
        <v>76</v>
      </c>
      <c r="AK581" t="s" s="10">
        <v>79</v>
      </c>
      <c r="AL581" t="s" s="10">
        <v>293</v>
      </c>
      <c r="AM581" t="s" s="10">
        <v>294</v>
      </c>
      <c r="AN581" t="s" s="10">
        <v>2215</v>
      </c>
      <c r="AO581" s="18">
        <v>2</v>
      </c>
      <c r="AP581" s="18">
        <v>8192</v>
      </c>
      <c r="AQ581" s="18">
        <v>2312715</v>
      </c>
      <c r="AR581" s="18">
        <v>2312715</v>
      </c>
      <c r="AS581" t="s" s="10">
        <v>2216</v>
      </c>
      <c r="AT581" t="s" s="10">
        <v>301</v>
      </c>
      <c r="AU581" s="11"/>
      <c r="AV581" s="11"/>
      <c r="AW581" s="11"/>
      <c r="AX581" s="11"/>
      <c r="AY581" s="11"/>
      <c r="AZ581" s="11"/>
      <c r="BA581" s="11"/>
      <c r="BB581" s="11"/>
      <c r="BC581" s="11"/>
      <c r="BD581" t="s" s="10">
        <v>366</v>
      </c>
      <c r="BE581" t="s" s="10">
        <v>489</v>
      </c>
      <c r="BF581" s="18">
        <v>2</v>
      </c>
      <c r="BG581" s="18">
        <v>8</v>
      </c>
      <c r="BH581" s="11"/>
      <c r="BI581" s="11"/>
      <c r="BJ581" s="11"/>
      <c r="BK581" s="11"/>
      <c r="BL581" s="11"/>
      <c r="BM581" s="11"/>
      <c r="BN581" t="s" s="10">
        <v>78</v>
      </c>
      <c r="BO581" s="12"/>
      <c r="BP581" s="8"/>
    </row>
    <row r="582" ht="9" customHeight="1" hidden="1">
      <c r="A582" t="s" s="13">
        <v>2217</v>
      </c>
      <c r="B582" s="14"/>
      <c r="C582" t="str" s="14" cm="1">
        <f t="array" ref="C582">_xlfn.IFERROR((VLOOKUP(A582,#REF!,2,FALSE)),"")</f>
      </c>
      <c r="D582" s="14"/>
      <c r="E582" s="14"/>
      <c r="F582" s="14"/>
      <c r="G582" t="s" s="15">
        <v>2218</v>
      </c>
      <c r="H582" t="s" s="15">
        <v>524</v>
      </c>
      <c r="I582" t="s" s="15">
        <v>111</v>
      </c>
      <c r="J582" t="s" s="15">
        <v>122</v>
      </c>
      <c r="K582" t="s" s="15">
        <v>113</v>
      </c>
      <c r="L582" t="s" s="15">
        <v>518</v>
      </c>
      <c r="M582" t="s" s="15">
        <v>2218</v>
      </c>
      <c r="N582" t="s" s="15">
        <v>2218</v>
      </c>
      <c r="O582" s="14"/>
      <c r="P582" t="s" s="15">
        <v>122</v>
      </c>
      <c r="Q582" t="s" s="15">
        <v>69</v>
      </c>
      <c r="R582" t="s" s="15">
        <v>83</v>
      </c>
      <c r="S582" t="s" s="15">
        <v>69</v>
      </c>
      <c r="T582" t="s" s="15">
        <v>69</v>
      </c>
      <c r="U582" s="14"/>
      <c r="V582" t="s" s="15">
        <v>69</v>
      </c>
      <c r="W582" s="14"/>
      <c r="X582" t="s" s="15">
        <v>69</v>
      </c>
      <c r="Y582" s="14"/>
      <c r="Z582" t="s" s="15">
        <v>552</v>
      </c>
      <c r="AA582" s="14"/>
      <c r="AB582" t="s" s="15">
        <v>1551</v>
      </c>
      <c r="AC582" t="s" s="15">
        <v>2217</v>
      </c>
      <c r="AD582" s="14"/>
      <c r="AE582" s="14"/>
      <c r="AF582" s="14"/>
      <c r="AG582" t="s" s="15">
        <v>299</v>
      </c>
      <c r="AH582" s="14"/>
      <c r="AI582" t="s" s="15">
        <v>76</v>
      </c>
      <c r="AJ582" t="s" s="15">
        <v>76</v>
      </c>
      <c r="AK582" t="s" s="15">
        <v>524</v>
      </c>
      <c r="AL582" t="s" s="15">
        <v>293</v>
      </c>
      <c r="AM582" t="s" s="15">
        <v>294</v>
      </c>
      <c r="AN582" t="s" s="15">
        <v>128</v>
      </c>
      <c r="AO582" s="17">
        <v>4</v>
      </c>
      <c r="AP582" s="17">
        <v>16384</v>
      </c>
      <c r="AQ582" s="17">
        <v>170796</v>
      </c>
      <c r="AR582" s="17">
        <v>170796</v>
      </c>
      <c r="AS582" t="s" s="15">
        <v>2219</v>
      </c>
      <c r="AT582" s="14"/>
      <c r="AU582" s="14"/>
      <c r="AV582" s="14"/>
      <c r="AW582" s="14"/>
      <c r="AX582" s="14"/>
      <c r="AY582" s="14"/>
      <c r="AZ582" s="14"/>
      <c r="BA582" s="14"/>
      <c r="BB582" s="14"/>
      <c r="BC582" s="14"/>
      <c r="BD582" t="s" s="15">
        <v>310</v>
      </c>
      <c r="BE582" t="s" s="15">
        <v>356</v>
      </c>
      <c r="BF582" s="14"/>
      <c r="BG582" s="14"/>
      <c r="BH582" s="14"/>
      <c r="BI582" s="14"/>
      <c r="BJ582" s="14"/>
      <c r="BK582" s="14"/>
      <c r="BL582" s="14"/>
      <c r="BM582" s="14"/>
      <c r="BN582" t="s" s="15">
        <v>69</v>
      </c>
      <c r="BO582" s="16"/>
      <c r="BP582" s="8"/>
    </row>
    <row r="583" ht="9" customHeight="1" hidden="1">
      <c r="A583" t="s" s="9">
        <v>2220</v>
      </c>
      <c r="B583" s="11"/>
      <c r="C583" t="str" s="11" cm="1">
        <f t="array" ref="C583">_xlfn.IFERROR((VLOOKUP(A583,#REF!,2,FALSE)),"")</f>
      </c>
      <c r="D583" s="11"/>
      <c r="E583" s="11"/>
      <c r="F583" s="11"/>
      <c r="G583" t="s" s="10">
        <v>2221</v>
      </c>
      <c r="H583" t="s" s="10">
        <v>2145</v>
      </c>
      <c r="I583" t="s" s="10">
        <v>111</v>
      </c>
      <c r="J583" t="s" s="10">
        <v>322</v>
      </c>
      <c r="K583" t="s" s="10">
        <v>113</v>
      </c>
      <c r="L583" t="s" s="10">
        <v>76</v>
      </c>
      <c r="M583" t="s" s="10">
        <v>2221</v>
      </c>
      <c r="N583" t="s" s="10">
        <v>2221</v>
      </c>
      <c r="O583" s="11"/>
      <c r="P583" t="s" s="10">
        <v>322</v>
      </c>
      <c r="Q583" t="s" s="10">
        <v>69</v>
      </c>
      <c r="R583" t="s" s="10">
        <v>83</v>
      </c>
      <c r="S583" s="11"/>
      <c r="T583" t="s" s="10">
        <v>69</v>
      </c>
      <c r="U583" s="11"/>
      <c r="V583" t="s" s="10">
        <v>69</v>
      </c>
      <c r="W583" s="11"/>
      <c r="X583" t="s" s="10">
        <v>69</v>
      </c>
      <c r="Y583" s="11"/>
      <c r="Z583" t="s" s="10">
        <v>76</v>
      </c>
      <c r="AA583" s="11"/>
      <c r="AB583" t="s" s="10">
        <v>76</v>
      </c>
      <c r="AC583" t="s" s="10">
        <v>2220</v>
      </c>
      <c r="AD583" t="s" s="10">
        <v>2222</v>
      </c>
      <c r="AE583" s="11"/>
      <c r="AF583" s="11"/>
      <c r="AG583" t="s" s="10">
        <v>299</v>
      </c>
      <c r="AH583" t="s" s="10">
        <v>106</v>
      </c>
      <c r="AI583" t="s" s="10">
        <v>717</v>
      </c>
      <c r="AJ583" s="11"/>
      <c r="AK583" t="s" s="10">
        <v>292</v>
      </c>
      <c r="AL583" t="s" s="10">
        <v>293</v>
      </c>
      <c r="AM583" t="s" s="10">
        <v>294</v>
      </c>
      <c r="AN583" t="s" s="10">
        <v>128</v>
      </c>
      <c r="AO583" s="18">
        <v>4</v>
      </c>
      <c r="AP583" s="18">
        <v>8192</v>
      </c>
      <c r="AQ583" s="18">
        <v>161895</v>
      </c>
      <c r="AR583" s="18">
        <v>58265</v>
      </c>
      <c r="AS583" t="s" s="10">
        <v>2223</v>
      </c>
      <c r="AT583" t="s" s="10">
        <v>301</v>
      </c>
      <c r="AU583" s="11"/>
      <c r="AV583" s="11"/>
      <c r="AW583" s="11"/>
      <c r="AX583" s="11"/>
      <c r="AY583" s="11"/>
      <c r="AZ583" s="11"/>
      <c r="BA583" s="11"/>
      <c r="BB583" s="11"/>
      <c r="BC583" s="11"/>
      <c r="BD583" t="s" s="10">
        <v>310</v>
      </c>
      <c r="BE583" t="s" s="10">
        <v>356</v>
      </c>
      <c r="BF583" s="11"/>
      <c r="BG583" s="11"/>
      <c r="BH583" s="11"/>
      <c r="BI583" s="11"/>
      <c r="BJ583" s="11"/>
      <c r="BK583" s="11"/>
      <c r="BL583" s="11"/>
      <c r="BM583" s="11"/>
      <c r="BN583" t="s" s="10">
        <v>78</v>
      </c>
      <c r="BO583" s="12"/>
      <c r="BP583" s="8"/>
    </row>
    <row r="584" ht="9" customHeight="1" hidden="1">
      <c r="A584" t="s" s="13">
        <v>2224</v>
      </c>
      <c r="B584" s="14"/>
      <c r="C584" t="str" s="14" cm="1">
        <f t="array" ref="C584">_xlfn.IFERROR((VLOOKUP(A584,#REF!,2,FALSE)),"")</f>
      </c>
      <c r="D584" s="14"/>
      <c r="E584" t="s" s="15">
        <v>2225</v>
      </c>
      <c r="F584" s="14"/>
      <c r="G584" t="s" s="15">
        <v>2226</v>
      </c>
      <c r="H584" t="s" s="15">
        <v>2226</v>
      </c>
      <c r="I584" t="s" s="15">
        <v>111</v>
      </c>
      <c r="J584" t="s" s="15">
        <v>122</v>
      </c>
      <c r="K584" t="s" s="15">
        <v>113</v>
      </c>
      <c r="L584" t="s" s="15">
        <v>76</v>
      </c>
      <c r="M584" t="s" s="15">
        <v>2227</v>
      </c>
      <c r="N584" t="s" s="15">
        <v>2227</v>
      </c>
      <c r="O584" s="14"/>
      <c r="P584" t="s" s="15">
        <v>122</v>
      </c>
      <c r="Q584" t="s" s="15">
        <v>69</v>
      </c>
      <c r="R584" t="s" s="15">
        <v>83</v>
      </c>
      <c r="S584" s="14"/>
      <c r="T584" s="14"/>
      <c r="U584" s="14"/>
      <c r="V584" t="s" s="15">
        <v>69</v>
      </c>
      <c r="W584" s="14"/>
      <c r="X584" t="s" s="15">
        <v>69</v>
      </c>
      <c r="Y584" s="14"/>
      <c r="Z584" t="s" s="15">
        <v>76</v>
      </c>
      <c r="AA584" s="14"/>
      <c r="AB584" t="s" s="15">
        <v>76</v>
      </c>
      <c r="AC584" t="s" s="15">
        <v>2224</v>
      </c>
      <c r="AD584" t="s" s="15">
        <v>2228</v>
      </c>
      <c r="AE584" s="14"/>
      <c r="AF584" t="s" s="15">
        <v>2227</v>
      </c>
      <c r="AG584" t="s" s="15">
        <v>299</v>
      </c>
      <c r="AH584" t="s" s="15">
        <v>114</v>
      </c>
      <c r="AI584" t="s" s="15">
        <v>76</v>
      </c>
      <c r="AJ584" t="s" s="15">
        <v>76</v>
      </c>
      <c r="AK584" t="s" s="15">
        <v>79</v>
      </c>
      <c r="AL584" t="s" s="15">
        <v>293</v>
      </c>
      <c r="AM584" t="s" s="15">
        <v>294</v>
      </c>
      <c r="AN584" t="s" s="15">
        <v>128</v>
      </c>
      <c r="AO584" s="17">
        <v>2</v>
      </c>
      <c r="AP584" s="17">
        <v>4096</v>
      </c>
      <c r="AQ584" s="17">
        <v>208990</v>
      </c>
      <c r="AR584" s="17">
        <v>208990</v>
      </c>
      <c r="AS584" t="s" s="15">
        <v>2229</v>
      </c>
      <c r="AT584" t="s" s="15">
        <v>301</v>
      </c>
      <c r="AU584" s="14"/>
      <c r="AV584" s="14"/>
      <c r="AW584" s="14"/>
      <c r="AX584" s="14"/>
      <c r="AY584" s="14"/>
      <c r="AZ584" s="14"/>
      <c r="BA584" s="14"/>
      <c r="BB584" s="14"/>
      <c r="BC584" s="14"/>
      <c r="BD584" t="s" s="15">
        <v>310</v>
      </c>
      <c r="BE584" t="s" s="15">
        <v>419</v>
      </c>
      <c r="BF584" s="17">
        <v>2</v>
      </c>
      <c r="BG584" s="17">
        <v>4</v>
      </c>
      <c r="BH584" s="14"/>
      <c r="BI584" s="14"/>
      <c r="BJ584" s="14"/>
      <c r="BK584" s="14"/>
      <c r="BL584" s="14"/>
      <c r="BM584" s="14"/>
      <c r="BN584" t="s" s="15">
        <v>78</v>
      </c>
      <c r="BO584" s="16"/>
      <c r="BP584" s="8"/>
    </row>
    <row r="585" ht="9" customHeight="1" hidden="1">
      <c r="A585" t="s" s="9">
        <v>2230</v>
      </c>
      <c r="B585" s="11"/>
      <c r="C585" t="str" s="11" cm="1">
        <f t="array" ref="C585">_xlfn.IFERROR((VLOOKUP(A585,#REF!,2,FALSE)),"")</f>
      </c>
      <c r="D585" s="11"/>
      <c r="E585" s="11"/>
      <c r="F585" s="11"/>
      <c r="G585" t="s" s="10">
        <v>2231</v>
      </c>
      <c r="H585" t="s" s="10">
        <v>550</v>
      </c>
      <c r="I585" t="s" s="10">
        <v>111</v>
      </c>
      <c r="J585" t="s" s="10">
        <v>112</v>
      </c>
      <c r="K585" t="s" s="10">
        <v>113</v>
      </c>
      <c r="L585" t="s" s="10">
        <v>518</v>
      </c>
      <c r="M585" t="s" s="10">
        <v>2231</v>
      </c>
      <c r="N585" t="s" s="10">
        <v>2231</v>
      </c>
      <c r="O585" s="11"/>
      <c r="P585" t="s" s="10">
        <v>112</v>
      </c>
      <c r="Q585" t="s" s="10">
        <v>69</v>
      </c>
      <c r="R585" t="s" s="10">
        <v>83</v>
      </c>
      <c r="S585" s="11"/>
      <c r="T585" s="11"/>
      <c r="U585" s="11"/>
      <c r="V585" t="s" s="10">
        <v>69</v>
      </c>
      <c r="W585" s="11"/>
      <c r="X585" t="s" s="10">
        <v>69</v>
      </c>
      <c r="Y585" s="11"/>
      <c r="Z585" t="s" s="10">
        <v>552</v>
      </c>
      <c r="AA585" s="11"/>
      <c r="AB585" t="s" s="10">
        <v>553</v>
      </c>
      <c r="AC585" t="s" s="10">
        <v>2230</v>
      </c>
      <c r="AD585" t="s" s="10">
        <v>2232</v>
      </c>
      <c r="AE585" s="11"/>
      <c r="AF585" s="11"/>
      <c r="AG585" t="s" s="10">
        <v>299</v>
      </c>
      <c r="AH585" t="s" s="10">
        <v>114</v>
      </c>
      <c r="AI585" t="s" s="10">
        <v>440</v>
      </c>
      <c r="AJ585" s="11"/>
      <c r="AK585" t="s" s="10">
        <v>83</v>
      </c>
      <c r="AL585" t="s" s="10">
        <v>293</v>
      </c>
      <c r="AM585" t="s" s="10">
        <v>294</v>
      </c>
      <c r="AN585" t="s" s="10">
        <v>128</v>
      </c>
      <c r="AO585" s="18">
        <v>2</v>
      </c>
      <c r="AP585" s="18">
        <v>8192</v>
      </c>
      <c r="AQ585" s="18">
        <v>1288303</v>
      </c>
      <c r="AR585" s="18">
        <v>1070946</v>
      </c>
      <c r="AS585" t="s" s="10">
        <v>2233</v>
      </c>
      <c r="AT585" t="s" s="10">
        <v>301</v>
      </c>
      <c r="AU585" s="11"/>
      <c r="AV585" s="11"/>
      <c r="AW585" s="11"/>
      <c r="AX585" s="11"/>
      <c r="AY585" s="11"/>
      <c r="AZ585" s="11"/>
      <c r="BA585" s="11"/>
      <c r="BB585" s="11"/>
      <c r="BC585" s="11"/>
      <c r="BD585" t="s" s="10">
        <v>366</v>
      </c>
      <c r="BE585" t="s" s="10">
        <v>489</v>
      </c>
      <c r="BF585" s="18">
        <v>2</v>
      </c>
      <c r="BG585" s="18">
        <v>8</v>
      </c>
      <c r="BH585" s="11"/>
      <c r="BI585" s="11"/>
      <c r="BJ585" s="11"/>
      <c r="BK585" s="11"/>
      <c r="BL585" s="11"/>
      <c r="BM585" s="11"/>
      <c r="BN585" t="s" s="10">
        <v>78</v>
      </c>
      <c r="BO585" s="12"/>
      <c r="BP585" s="8"/>
    </row>
    <row r="586" ht="9" customHeight="1" hidden="1">
      <c r="A586" t="s" s="13">
        <v>2234</v>
      </c>
      <c r="B586" s="14"/>
      <c r="C586" t="str" s="14" cm="1">
        <f t="array" ref="C586">_xlfn.IFERROR((VLOOKUP(A586,#REF!,2,FALSE)),"")</f>
      </c>
      <c r="D586" s="14"/>
      <c r="E586" s="14"/>
      <c r="F586" s="14"/>
      <c r="G586" t="s" s="15">
        <v>2235</v>
      </c>
      <c r="H586" t="s" s="15">
        <v>550</v>
      </c>
      <c r="I586" t="s" s="15">
        <v>111</v>
      </c>
      <c r="J586" t="s" s="15">
        <v>112</v>
      </c>
      <c r="K586" t="s" s="15">
        <v>113</v>
      </c>
      <c r="L586" t="s" s="15">
        <v>518</v>
      </c>
      <c r="M586" t="s" s="15">
        <v>2235</v>
      </c>
      <c r="N586" t="s" s="15">
        <v>2235</v>
      </c>
      <c r="O586" s="14"/>
      <c r="P586" t="s" s="15">
        <v>112</v>
      </c>
      <c r="Q586" t="s" s="15">
        <v>69</v>
      </c>
      <c r="R586" t="s" s="15">
        <v>83</v>
      </c>
      <c r="S586" s="14"/>
      <c r="T586" s="14"/>
      <c r="U586" s="14"/>
      <c r="V586" t="s" s="15">
        <v>69</v>
      </c>
      <c r="W586" s="14"/>
      <c r="X586" t="s" s="15">
        <v>69</v>
      </c>
      <c r="Y586" s="14"/>
      <c r="Z586" t="s" s="15">
        <v>552</v>
      </c>
      <c r="AA586" s="14"/>
      <c r="AB586" t="s" s="15">
        <v>553</v>
      </c>
      <c r="AC586" t="s" s="15">
        <v>2234</v>
      </c>
      <c r="AD586" t="s" s="15">
        <v>2236</v>
      </c>
      <c r="AE586" s="14"/>
      <c r="AF586" s="14"/>
      <c r="AG586" t="s" s="15">
        <v>299</v>
      </c>
      <c r="AH586" t="s" s="15">
        <v>114</v>
      </c>
      <c r="AI586" t="s" s="15">
        <v>440</v>
      </c>
      <c r="AJ586" s="14"/>
      <c r="AK586" t="s" s="15">
        <v>83</v>
      </c>
      <c r="AL586" t="s" s="15">
        <v>293</v>
      </c>
      <c r="AM586" t="s" s="15">
        <v>294</v>
      </c>
      <c r="AN586" t="s" s="15">
        <v>1138</v>
      </c>
      <c r="AO586" s="17">
        <v>2</v>
      </c>
      <c r="AP586" s="17">
        <v>8192</v>
      </c>
      <c r="AQ586" s="17">
        <v>192632</v>
      </c>
      <c r="AR586" s="17">
        <v>170980</v>
      </c>
      <c r="AS586" t="s" s="15">
        <v>2237</v>
      </c>
      <c r="AT586" t="s" s="15">
        <v>301</v>
      </c>
      <c r="AU586" s="14"/>
      <c r="AV586" s="14"/>
      <c r="AW586" s="14"/>
      <c r="AX586" s="14"/>
      <c r="AY586" s="14"/>
      <c r="AZ586" s="14"/>
      <c r="BA586" s="14"/>
      <c r="BB586" s="14"/>
      <c r="BC586" s="14"/>
      <c r="BD586" t="s" s="15">
        <v>366</v>
      </c>
      <c r="BE586" t="s" s="15">
        <v>489</v>
      </c>
      <c r="BF586" s="17">
        <v>2</v>
      </c>
      <c r="BG586" s="17">
        <v>8</v>
      </c>
      <c r="BH586" s="14"/>
      <c r="BI586" s="14"/>
      <c r="BJ586" s="14"/>
      <c r="BK586" s="14"/>
      <c r="BL586" s="14"/>
      <c r="BM586" s="14"/>
      <c r="BN586" t="s" s="15">
        <v>78</v>
      </c>
      <c r="BO586" s="16"/>
      <c r="BP586" s="8"/>
    </row>
    <row r="587" ht="9" customHeight="1" hidden="1">
      <c r="A587" t="s" s="9">
        <v>2238</v>
      </c>
      <c r="B587" s="11"/>
      <c r="C587" t="str" s="11" cm="1">
        <f t="array" ref="C587">_xlfn.IFERROR((VLOOKUP(A587,#REF!,2,FALSE)),"")</f>
      </c>
      <c r="D587" s="11"/>
      <c r="E587" s="11"/>
      <c r="F587" s="11"/>
      <c r="G587" t="s" s="10">
        <v>2239</v>
      </c>
      <c r="H587" t="s" s="10">
        <v>550</v>
      </c>
      <c r="I587" t="s" s="10">
        <v>111</v>
      </c>
      <c r="J587" t="s" s="10">
        <v>112</v>
      </c>
      <c r="K587" t="s" s="10">
        <v>113</v>
      </c>
      <c r="L587" t="s" s="10">
        <v>518</v>
      </c>
      <c r="M587" t="s" s="10">
        <v>2239</v>
      </c>
      <c r="N587" t="s" s="10">
        <v>2239</v>
      </c>
      <c r="O587" s="11"/>
      <c r="P587" t="s" s="10">
        <v>112</v>
      </c>
      <c r="Q587" t="s" s="10">
        <v>69</v>
      </c>
      <c r="R587" t="s" s="10">
        <v>83</v>
      </c>
      <c r="S587" s="11"/>
      <c r="T587" s="11"/>
      <c r="U587" s="11"/>
      <c r="V587" t="s" s="10">
        <v>69</v>
      </c>
      <c r="W587" s="11"/>
      <c r="X587" t="s" s="10">
        <v>69</v>
      </c>
      <c r="Y587" s="11"/>
      <c r="Z587" t="s" s="10">
        <v>552</v>
      </c>
      <c r="AA587" s="11"/>
      <c r="AB587" t="s" s="10">
        <v>553</v>
      </c>
      <c r="AC587" t="s" s="10">
        <v>2238</v>
      </c>
      <c r="AD587" t="s" s="10">
        <v>2240</v>
      </c>
      <c r="AE587" s="11"/>
      <c r="AF587" s="11"/>
      <c r="AG587" t="s" s="10">
        <v>299</v>
      </c>
      <c r="AH587" t="s" s="10">
        <v>114</v>
      </c>
      <c r="AI587" t="s" s="10">
        <v>440</v>
      </c>
      <c r="AJ587" s="11"/>
      <c r="AK587" t="s" s="10">
        <v>83</v>
      </c>
      <c r="AL587" t="s" s="10">
        <v>293</v>
      </c>
      <c r="AM587" t="s" s="10">
        <v>294</v>
      </c>
      <c r="AN587" t="s" s="10">
        <v>128</v>
      </c>
      <c r="AO587" s="18">
        <v>2</v>
      </c>
      <c r="AP587" s="18">
        <v>8192</v>
      </c>
      <c r="AQ587" s="18">
        <v>161879</v>
      </c>
      <c r="AR587" s="18">
        <v>99809</v>
      </c>
      <c r="AS587" t="s" s="10">
        <v>2241</v>
      </c>
      <c r="AT587" t="s" s="10">
        <v>301</v>
      </c>
      <c r="AU587" s="11"/>
      <c r="AV587" s="11"/>
      <c r="AW587" s="11"/>
      <c r="AX587" s="11"/>
      <c r="AY587" s="11"/>
      <c r="AZ587" s="11"/>
      <c r="BA587" s="11"/>
      <c r="BB587" s="11"/>
      <c r="BC587" s="11"/>
      <c r="BD587" t="s" s="10">
        <v>366</v>
      </c>
      <c r="BE587" t="s" s="10">
        <v>489</v>
      </c>
      <c r="BF587" s="18">
        <v>2</v>
      </c>
      <c r="BG587" s="18">
        <v>8</v>
      </c>
      <c r="BH587" s="11"/>
      <c r="BI587" s="11"/>
      <c r="BJ587" s="11"/>
      <c r="BK587" s="11"/>
      <c r="BL587" s="11"/>
      <c r="BM587" s="11"/>
      <c r="BN587" t="s" s="10">
        <v>78</v>
      </c>
      <c r="BO587" s="12"/>
      <c r="BP587" s="8"/>
    </row>
    <row r="588" ht="15" customHeight="1">
      <c r="A588" t="s" s="13">
        <v>2242</v>
      </c>
      <c r="B588" s="14"/>
      <c r="C588" t="str" s="14" cm="1">
        <f t="array" ref="C588">_xlfn.IFERROR((VLOOKUP(A588,#REF!,2,FALSE)),"")</f>
      </c>
      <c r="D588" s="14"/>
      <c r="E588" s="14"/>
      <c r="F588" s="14"/>
      <c r="G588" t="s" s="15">
        <v>2243</v>
      </c>
      <c r="H588" t="s" s="15">
        <v>2244</v>
      </c>
      <c r="I588" t="s" s="15">
        <v>111</v>
      </c>
      <c r="J588" t="s" s="15">
        <v>122</v>
      </c>
      <c r="K588" t="s" s="15">
        <v>113</v>
      </c>
      <c r="L588" t="s" s="15">
        <v>2245</v>
      </c>
      <c r="M588" t="s" s="15">
        <v>2243</v>
      </c>
      <c r="N588" t="s" s="15">
        <v>2243</v>
      </c>
      <c r="O588" s="14"/>
      <c r="P588" t="s" s="15">
        <v>122</v>
      </c>
      <c r="Q588" t="s" s="15">
        <v>69</v>
      </c>
      <c r="R588" t="s" s="15">
        <v>83</v>
      </c>
      <c r="S588" s="14"/>
      <c r="T588" s="14"/>
      <c r="U588" s="14"/>
      <c r="V588" t="s" s="15">
        <v>69</v>
      </c>
      <c r="W588" s="14"/>
      <c r="X588" t="s" s="15">
        <v>69</v>
      </c>
      <c r="Y588" s="14"/>
      <c r="Z588" t="s" s="15">
        <v>2246</v>
      </c>
      <c r="AA588" s="14"/>
      <c r="AB588" t="s" s="15">
        <v>2245</v>
      </c>
      <c r="AC588" t="s" s="15">
        <v>2242</v>
      </c>
      <c r="AD588" t="s" s="15">
        <v>2247</v>
      </c>
      <c r="AE588" s="14"/>
      <c r="AF588" t="s" s="15">
        <v>2244</v>
      </c>
      <c r="AG588" t="s" s="15">
        <v>299</v>
      </c>
      <c r="AH588" t="s" s="15">
        <v>114</v>
      </c>
      <c r="AI588" t="s" s="15">
        <v>332</v>
      </c>
      <c r="AJ588" t="s" s="15">
        <v>523</v>
      </c>
      <c r="AK588" t="s" s="15">
        <v>83</v>
      </c>
      <c r="AL588" t="s" s="15">
        <v>293</v>
      </c>
      <c r="AM588" t="s" s="15">
        <v>294</v>
      </c>
      <c r="AN588" t="s" s="15">
        <v>187</v>
      </c>
      <c r="AO588" s="17">
        <v>4</v>
      </c>
      <c r="AP588" s="17">
        <v>8192</v>
      </c>
      <c r="AQ588" s="17">
        <v>392284</v>
      </c>
      <c r="AR588" s="17">
        <v>392284</v>
      </c>
      <c r="AS588" t="s" s="15">
        <v>2248</v>
      </c>
      <c r="AT588" t="s" s="15">
        <v>301</v>
      </c>
      <c r="AU588" s="14"/>
      <c r="AV588" s="14"/>
      <c r="AW588" s="14"/>
      <c r="AX588" s="14"/>
      <c r="AY588" s="14"/>
      <c r="AZ588" s="14"/>
      <c r="BA588" s="14"/>
      <c r="BB588" s="14"/>
      <c r="BC588" s="14"/>
      <c r="BD588" t="s" s="15">
        <v>310</v>
      </c>
      <c r="BE588" t="s" s="15">
        <v>356</v>
      </c>
      <c r="BF588" s="17">
        <v>4</v>
      </c>
      <c r="BG588" s="17">
        <v>8</v>
      </c>
      <c r="BH588" s="14"/>
      <c r="BI588" s="14"/>
      <c r="BJ588" s="14"/>
      <c r="BK588" s="14"/>
      <c r="BL588" s="14"/>
      <c r="BM588" s="14"/>
      <c r="BN588" t="s" s="15">
        <v>69</v>
      </c>
      <c r="BO588" s="16"/>
      <c r="BP588" s="8"/>
    </row>
    <row r="589" ht="15" customHeight="1" hidden="1">
      <c r="A589" t="s" s="9">
        <v>2249</v>
      </c>
      <c r="B589" s="11"/>
      <c r="C589" t="str" s="11" cm="1">
        <f t="array" ref="C589">_xlfn.IFERROR((VLOOKUP(A589,#REF!,2,FALSE)),"")</f>
      </c>
      <c r="D589" s="11"/>
      <c r="E589" t="s" s="10">
        <v>2250</v>
      </c>
      <c r="F589" s="11"/>
      <c r="G589" t="s" s="10">
        <v>2251</v>
      </c>
      <c r="H589" t="s" s="10">
        <v>2252</v>
      </c>
      <c r="I589" t="s" s="10">
        <v>111</v>
      </c>
      <c r="J589" t="s" s="10">
        <v>322</v>
      </c>
      <c r="K589" t="s" s="10">
        <v>113</v>
      </c>
      <c r="L589" t="s" s="10">
        <v>2245</v>
      </c>
      <c r="M589" t="s" s="10">
        <v>2253</v>
      </c>
      <c r="N589" t="s" s="10">
        <v>2253</v>
      </c>
      <c r="O589" s="11"/>
      <c r="P589" t="s" s="10">
        <v>322</v>
      </c>
      <c r="Q589" t="s" s="10">
        <v>69</v>
      </c>
      <c r="R589" t="s" s="10">
        <v>83</v>
      </c>
      <c r="S589" s="11"/>
      <c r="T589" s="11"/>
      <c r="U589" s="11"/>
      <c r="V589" t="s" s="10">
        <v>69</v>
      </c>
      <c r="W589" s="11"/>
      <c r="X589" t="s" s="10">
        <v>69</v>
      </c>
      <c r="Y589" s="11"/>
      <c r="Z589" t="s" s="10">
        <v>2246</v>
      </c>
      <c r="AA589" s="11"/>
      <c r="AB589" t="s" s="10">
        <v>2254</v>
      </c>
      <c r="AC589" t="s" s="25">
        <v>2249</v>
      </c>
      <c r="AD589" t="s" s="10">
        <v>2255</v>
      </c>
      <c r="AE589" s="11"/>
      <c r="AF589" s="11"/>
      <c r="AG589" t="s" s="10">
        <v>299</v>
      </c>
      <c r="AH589" t="s" s="10">
        <v>114</v>
      </c>
      <c r="AI589" t="s" s="10">
        <v>290</v>
      </c>
      <c r="AJ589" t="s" s="10">
        <v>827</v>
      </c>
      <c r="AK589" t="s" s="10">
        <v>1195</v>
      </c>
      <c r="AL589" t="s" s="10">
        <v>293</v>
      </c>
      <c r="AM589" t="s" s="10">
        <v>294</v>
      </c>
      <c r="AN589" t="s" s="10">
        <v>187</v>
      </c>
      <c r="AO589" s="18">
        <v>4</v>
      </c>
      <c r="AP589" s="18">
        <v>8192</v>
      </c>
      <c r="AQ589" s="18">
        <v>392332</v>
      </c>
      <c r="AR589" s="18">
        <v>44928</v>
      </c>
      <c r="AS589" t="s" s="10">
        <v>2256</v>
      </c>
      <c r="AT589" t="s" s="10">
        <v>301</v>
      </c>
      <c r="AU589" s="11"/>
      <c r="AV589" s="11"/>
      <c r="AW589" t="s" s="10">
        <v>83</v>
      </c>
      <c r="AX589" t="s" s="10">
        <v>83</v>
      </c>
      <c r="AY589" t="s" s="10">
        <v>309</v>
      </c>
      <c r="AZ589" t="s" s="10">
        <v>83</v>
      </c>
      <c r="BA589" t="s" s="10">
        <v>76</v>
      </c>
      <c r="BB589" t="s" s="10">
        <v>76</v>
      </c>
      <c r="BC589" t="s" s="10">
        <v>76</v>
      </c>
      <c r="BD589" t="s" s="10">
        <v>310</v>
      </c>
      <c r="BE589" t="s" s="10">
        <v>356</v>
      </c>
      <c r="BF589" s="18">
        <v>4</v>
      </c>
      <c r="BG589" s="18">
        <v>8</v>
      </c>
      <c r="BH589" t="s" s="10">
        <v>83</v>
      </c>
      <c r="BI589" t="s" s="10">
        <v>83</v>
      </c>
      <c r="BJ589" t="s" s="10">
        <v>83</v>
      </c>
      <c r="BK589" t="s" s="10">
        <v>83</v>
      </c>
      <c r="BL589" t="s" s="10">
        <v>83</v>
      </c>
      <c r="BM589" t="s" s="10">
        <v>312</v>
      </c>
      <c r="BN589" t="s" s="10">
        <v>78</v>
      </c>
      <c r="BO589" t="s" s="19">
        <v>76</v>
      </c>
      <c r="BP589" s="8"/>
    </row>
    <row r="590" ht="15" customHeight="1" hidden="1">
      <c r="A590" t="s" s="13">
        <v>2257</v>
      </c>
      <c r="B590" s="14"/>
      <c r="C590" t="str" s="14" cm="1">
        <f t="array" ref="C590">_xlfn.IFERROR((VLOOKUP(A590,#REF!,2,FALSE)),"")</f>
      </c>
      <c r="D590" s="14"/>
      <c r="E590" t="s" s="15">
        <v>2258</v>
      </c>
      <c r="F590" s="14"/>
      <c r="G590" t="s" s="15">
        <v>2259</v>
      </c>
      <c r="H590" t="s" s="15">
        <v>2260</v>
      </c>
      <c r="I590" t="s" s="15">
        <v>111</v>
      </c>
      <c r="J590" t="s" s="15">
        <v>122</v>
      </c>
      <c r="K590" s="14"/>
      <c r="L590" t="s" s="15">
        <v>83</v>
      </c>
      <c r="M590" s="14"/>
      <c r="N590" s="14"/>
      <c r="O590" t="s" s="15">
        <v>286</v>
      </c>
      <c r="P590" s="14"/>
      <c r="Q590" s="14"/>
      <c r="R590" t="s" s="15">
        <v>76</v>
      </c>
      <c r="S590" s="14"/>
      <c r="T590" s="14"/>
      <c r="U590" s="14"/>
      <c r="V590" s="14"/>
      <c r="W590" s="14"/>
      <c r="X590" s="14"/>
      <c r="Y590" s="14"/>
      <c r="Z590" t="s" s="15">
        <v>83</v>
      </c>
      <c r="AA590" s="14"/>
      <c r="AB590" t="s" s="15">
        <v>83</v>
      </c>
      <c r="AC590" s="14"/>
      <c r="AD590" s="14"/>
      <c r="AE590" s="14"/>
      <c r="AF590" s="14"/>
      <c r="AG590" t="s" s="15">
        <v>299</v>
      </c>
      <c r="AH590" t="s" s="15">
        <v>83</v>
      </c>
      <c r="AI590" t="s" s="15">
        <v>83</v>
      </c>
      <c r="AJ590" t="s" s="15">
        <v>83</v>
      </c>
      <c r="AK590" t="s" s="15">
        <v>83</v>
      </c>
      <c r="AL590" t="s" s="15">
        <v>293</v>
      </c>
      <c r="AM590" t="s" s="15">
        <v>294</v>
      </c>
      <c r="AN590" t="s" s="15">
        <v>2261</v>
      </c>
      <c r="AO590" s="14"/>
      <c r="AP590" s="14"/>
      <c r="AQ590" s="14"/>
      <c r="AR590" s="14"/>
      <c r="AS590" t="s" s="15">
        <v>2262</v>
      </c>
      <c r="AT590" s="14"/>
      <c r="AU590" s="14"/>
      <c r="AV590" s="14"/>
      <c r="AW590" s="14"/>
      <c r="AX590" s="14"/>
      <c r="AY590" s="14"/>
      <c r="AZ590" s="14"/>
      <c r="BA590" s="14"/>
      <c r="BB590" s="14"/>
      <c r="BC590" s="14"/>
      <c r="BD590" s="14"/>
      <c r="BE590" s="14"/>
      <c r="BF590" s="14"/>
      <c r="BG590" s="14"/>
      <c r="BH590" s="14"/>
      <c r="BI590" s="14"/>
      <c r="BJ590" s="14"/>
      <c r="BK590" s="14"/>
      <c r="BL590" s="14"/>
      <c r="BM590" s="14"/>
      <c r="BN590" t="s" s="15">
        <v>69</v>
      </c>
      <c r="BO590" s="16"/>
      <c r="BP590" s="8"/>
    </row>
    <row r="591" ht="9" customHeight="1" hidden="1">
      <c r="A591" t="s" s="9">
        <v>2263</v>
      </c>
      <c r="B591" s="11"/>
      <c r="C591" t="str" s="11" cm="1">
        <f t="array" ref="C591">_xlfn.IFERROR((VLOOKUP(A591,#REF!,2,FALSE)),"")</f>
      </c>
      <c r="D591" s="11"/>
      <c r="E591" s="11"/>
      <c r="F591" s="11"/>
      <c r="G591" t="s" s="10">
        <v>2264</v>
      </c>
      <c r="H591" t="s" s="10">
        <v>2264</v>
      </c>
      <c r="I591" t="s" s="10">
        <v>111</v>
      </c>
      <c r="J591" t="s" s="10">
        <v>122</v>
      </c>
      <c r="K591" t="s" s="10">
        <v>113</v>
      </c>
      <c r="L591" t="s" s="10">
        <v>76</v>
      </c>
      <c r="M591" t="s" s="10">
        <v>2264</v>
      </c>
      <c r="N591" t="s" s="10">
        <v>2264</v>
      </c>
      <c r="O591" s="11"/>
      <c r="P591" t="s" s="10">
        <v>122</v>
      </c>
      <c r="Q591" t="s" s="10">
        <v>69</v>
      </c>
      <c r="R591" t="s" s="10">
        <v>83</v>
      </c>
      <c r="S591" s="11"/>
      <c r="T591" s="11"/>
      <c r="U591" s="11"/>
      <c r="V591" t="s" s="10">
        <v>69</v>
      </c>
      <c r="W591" s="11"/>
      <c r="X591" t="s" s="10">
        <v>69</v>
      </c>
      <c r="Y591" s="11"/>
      <c r="Z591" t="s" s="10">
        <v>76</v>
      </c>
      <c r="AA591" s="11"/>
      <c r="AB591" t="s" s="10">
        <v>76</v>
      </c>
      <c r="AC591" t="s" s="10">
        <v>2263</v>
      </c>
      <c r="AD591" t="s" s="10">
        <v>2265</v>
      </c>
      <c r="AE591" s="11"/>
      <c r="AF591" s="11"/>
      <c r="AG591" t="s" s="10">
        <v>299</v>
      </c>
      <c r="AH591" t="s" s="10">
        <v>106</v>
      </c>
      <c r="AI591" t="s" s="10">
        <v>76</v>
      </c>
      <c r="AJ591" t="s" s="10">
        <v>76</v>
      </c>
      <c r="AK591" t="s" s="10">
        <v>79</v>
      </c>
      <c r="AL591" t="s" s="10">
        <v>293</v>
      </c>
      <c r="AM591" t="s" s="10">
        <v>294</v>
      </c>
      <c r="AN591" t="s" s="10">
        <v>187</v>
      </c>
      <c r="AO591" s="18">
        <v>12</v>
      </c>
      <c r="AP591" s="18">
        <v>32768</v>
      </c>
      <c r="AQ591" s="18">
        <v>365828</v>
      </c>
      <c r="AR591" s="18">
        <v>365828</v>
      </c>
      <c r="AS591" t="s" s="10">
        <v>2266</v>
      </c>
      <c r="AT591" t="s" s="10">
        <v>301</v>
      </c>
      <c r="AU591" s="11"/>
      <c r="AV591" s="11"/>
      <c r="AW591" s="11"/>
      <c r="AX591" s="11"/>
      <c r="AY591" s="11"/>
      <c r="AZ591" s="11"/>
      <c r="BA591" s="11"/>
      <c r="BB591" s="11"/>
      <c r="BC591" s="11"/>
      <c r="BD591" t="s" s="10">
        <v>310</v>
      </c>
      <c r="BE591" t="s" s="10">
        <v>311</v>
      </c>
      <c r="BF591" s="11"/>
      <c r="BG591" s="11"/>
      <c r="BH591" s="11"/>
      <c r="BI591" s="11"/>
      <c r="BJ591" s="11"/>
      <c r="BK591" s="11"/>
      <c r="BL591" s="11"/>
      <c r="BM591" s="11"/>
      <c r="BN591" t="s" s="10">
        <v>69</v>
      </c>
      <c r="BO591" s="12"/>
      <c r="BP591" s="8"/>
    </row>
    <row r="592" ht="15" customHeight="1">
      <c r="A592" t="s" s="13">
        <v>2267</v>
      </c>
      <c r="B592" s="14"/>
      <c r="C592" t="str" s="14" cm="1">
        <f t="array" ref="C592">_xlfn.IFERROR((VLOOKUP(A592,#REF!,2,FALSE)),"")</f>
      </c>
      <c r="D592" s="14"/>
      <c r="E592" t="s" s="15">
        <v>2268</v>
      </c>
      <c r="F592" t="s" s="15">
        <v>83</v>
      </c>
      <c r="G592" t="s" s="15">
        <v>2269</v>
      </c>
      <c r="H592" t="s" s="15">
        <v>550</v>
      </c>
      <c r="I592" t="s" s="15">
        <v>111</v>
      </c>
      <c r="J592" t="s" s="15">
        <v>122</v>
      </c>
      <c r="K592" t="s" s="15">
        <v>113</v>
      </c>
      <c r="L592" t="s" s="15">
        <v>2270</v>
      </c>
      <c r="M592" t="s" s="15">
        <v>2271</v>
      </c>
      <c r="N592" s="14"/>
      <c r="O592" s="14"/>
      <c r="P592" t="s" s="15">
        <v>469</v>
      </c>
      <c r="Q592" t="s" s="15">
        <v>69</v>
      </c>
      <c r="R592" t="s" s="15">
        <v>83</v>
      </c>
      <c r="S592" s="14"/>
      <c r="T592" s="14"/>
      <c r="U592" s="14"/>
      <c r="V592" t="s" s="15">
        <v>69</v>
      </c>
      <c r="W592" s="14"/>
      <c r="X592" t="s" s="15">
        <v>78</v>
      </c>
      <c r="Y592" s="14"/>
      <c r="Z592" t="s" s="15">
        <v>552</v>
      </c>
      <c r="AA592" s="14"/>
      <c r="AB592" t="s" s="15">
        <v>553</v>
      </c>
      <c r="AC592" t="s" s="24">
        <v>2267</v>
      </c>
      <c r="AD592" t="s" s="15">
        <v>2272</v>
      </c>
      <c r="AE592" s="14"/>
      <c r="AF592" s="14"/>
      <c r="AG592" t="s" s="15">
        <v>299</v>
      </c>
      <c r="AH592" t="s" s="15">
        <v>114</v>
      </c>
      <c r="AI592" t="s" s="15">
        <v>440</v>
      </c>
      <c r="AJ592" t="s" s="15">
        <v>83</v>
      </c>
      <c r="AK592" t="s" s="15">
        <v>1195</v>
      </c>
      <c r="AL592" t="s" s="15">
        <v>293</v>
      </c>
      <c r="AM592" t="s" s="15">
        <v>294</v>
      </c>
      <c r="AN592" t="s" s="15">
        <v>190</v>
      </c>
      <c r="AO592" s="17">
        <v>8</v>
      </c>
      <c r="AP592" s="17">
        <v>8192</v>
      </c>
      <c r="AQ592" s="17">
        <v>213104</v>
      </c>
      <c r="AR592" s="17">
        <v>198902</v>
      </c>
      <c r="AS592" t="s" s="15">
        <v>2273</v>
      </c>
      <c r="AT592" t="s" s="15">
        <v>301</v>
      </c>
      <c r="AU592" s="14"/>
      <c r="AV592" s="14"/>
      <c r="AW592" t="s" s="15">
        <v>83</v>
      </c>
      <c r="AX592" t="s" s="15">
        <v>83</v>
      </c>
      <c r="AY592" t="s" s="15">
        <v>309</v>
      </c>
      <c r="AZ592" t="s" s="15">
        <v>83</v>
      </c>
      <c r="BA592" t="s" s="15">
        <v>76</v>
      </c>
      <c r="BB592" t="s" s="15">
        <v>76</v>
      </c>
      <c r="BC592" t="s" s="15">
        <v>76</v>
      </c>
      <c r="BD592" t="s" s="15">
        <v>310</v>
      </c>
      <c r="BE592" t="s" s="15">
        <v>311</v>
      </c>
      <c r="BF592" s="17">
        <v>8</v>
      </c>
      <c r="BG592" s="17">
        <v>16</v>
      </c>
      <c r="BH592" t="s" s="15">
        <v>83</v>
      </c>
      <c r="BI592" t="s" s="15">
        <v>83</v>
      </c>
      <c r="BJ592" t="s" s="15">
        <v>83</v>
      </c>
      <c r="BK592" t="s" s="15">
        <v>83</v>
      </c>
      <c r="BL592" t="s" s="15">
        <v>83</v>
      </c>
      <c r="BM592" t="s" s="15">
        <v>312</v>
      </c>
      <c r="BN592" t="s" s="15">
        <v>69</v>
      </c>
      <c r="BO592" t="s" s="21">
        <v>76</v>
      </c>
      <c r="BP592" s="8"/>
    </row>
    <row r="593" ht="15" customHeight="1" hidden="1">
      <c r="A593" t="s" s="9">
        <v>2274</v>
      </c>
      <c r="B593" s="11"/>
      <c r="C593" t="str" s="11" cm="1">
        <f t="array" ref="C593">_xlfn.IFERROR((VLOOKUP(A593,#REF!,2,FALSE)),"")</f>
      </c>
      <c r="D593" s="11"/>
      <c r="E593" t="s" s="10">
        <v>2275</v>
      </c>
      <c r="F593" t="s" s="10">
        <v>83</v>
      </c>
      <c r="G593" t="s" s="10">
        <v>2276</v>
      </c>
      <c r="H593" t="s" s="10">
        <v>550</v>
      </c>
      <c r="I593" t="s" s="10">
        <v>111</v>
      </c>
      <c r="J593" t="s" s="10">
        <v>112</v>
      </c>
      <c r="K593" t="s" s="10">
        <v>113</v>
      </c>
      <c r="L593" t="s" s="10">
        <v>2270</v>
      </c>
      <c r="M593" t="s" s="10">
        <v>2276</v>
      </c>
      <c r="N593" s="11"/>
      <c r="O593" s="11"/>
      <c r="P593" t="s" s="10">
        <v>469</v>
      </c>
      <c r="Q593" t="s" s="10">
        <v>69</v>
      </c>
      <c r="R593" t="s" s="10">
        <v>83</v>
      </c>
      <c r="S593" s="11"/>
      <c r="T593" s="11"/>
      <c r="U593" s="11"/>
      <c r="V593" t="s" s="10">
        <v>69</v>
      </c>
      <c r="W593" s="11"/>
      <c r="X593" t="s" s="10">
        <v>78</v>
      </c>
      <c r="Y593" s="11"/>
      <c r="Z593" t="s" s="10">
        <v>552</v>
      </c>
      <c r="AA593" s="11"/>
      <c r="AB593" t="s" s="10">
        <v>553</v>
      </c>
      <c r="AC593" t="s" s="25">
        <v>2274</v>
      </c>
      <c r="AD593" t="s" s="10">
        <v>2277</v>
      </c>
      <c r="AE593" s="11"/>
      <c r="AF593" s="11"/>
      <c r="AG593" t="s" s="10">
        <v>299</v>
      </c>
      <c r="AH593" t="s" s="10">
        <v>114</v>
      </c>
      <c r="AI593" t="s" s="10">
        <v>290</v>
      </c>
      <c r="AJ593" t="s" s="10">
        <v>333</v>
      </c>
      <c r="AK593" t="s" s="10">
        <v>1195</v>
      </c>
      <c r="AL593" t="s" s="10">
        <v>293</v>
      </c>
      <c r="AM593" t="s" s="10">
        <v>294</v>
      </c>
      <c r="AN593" t="s" s="10">
        <v>128</v>
      </c>
      <c r="AO593" s="18">
        <v>8</v>
      </c>
      <c r="AP593" s="18">
        <v>8192</v>
      </c>
      <c r="AQ593" s="18">
        <v>213100</v>
      </c>
      <c r="AR593" s="18">
        <v>184038</v>
      </c>
      <c r="AS593" t="s" s="10">
        <v>2278</v>
      </c>
      <c r="AT593" t="s" s="10">
        <v>301</v>
      </c>
      <c r="AU593" s="11"/>
      <c r="AV593" s="11"/>
      <c r="AW593" t="s" s="10">
        <v>83</v>
      </c>
      <c r="AX593" t="s" s="10">
        <v>83</v>
      </c>
      <c r="AY593" t="s" s="10">
        <v>309</v>
      </c>
      <c r="AZ593" t="s" s="10">
        <v>83</v>
      </c>
      <c r="BA593" t="s" s="10">
        <v>76</v>
      </c>
      <c r="BB593" t="s" s="10">
        <v>76</v>
      </c>
      <c r="BC593" t="s" s="10">
        <v>76</v>
      </c>
      <c r="BD593" t="s" s="10">
        <v>310</v>
      </c>
      <c r="BE593" t="s" s="10">
        <v>311</v>
      </c>
      <c r="BF593" s="18">
        <v>8</v>
      </c>
      <c r="BG593" s="18">
        <v>16</v>
      </c>
      <c r="BH593" t="s" s="10">
        <v>83</v>
      </c>
      <c r="BI593" t="s" s="10">
        <v>83</v>
      </c>
      <c r="BJ593" t="s" s="10">
        <v>83</v>
      </c>
      <c r="BK593" t="s" s="10">
        <v>83</v>
      </c>
      <c r="BL593" t="s" s="10">
        <v>83</v>
      </c>
      <c r="BM593" t="s" s="10">
        <v>312</v>
      </c>
      <c r="BN593" t="s" s="10">
        <v>78</v>
      </c>
      <c r="BO593" t="s" s="19">
        <v>76</v>
      </c>
      <c r="BP593" s="8"/>
    </row>
    <row r="594" ht="9" customHeight="1" hidden="1">
      <c r="A594" t="s" s="13">
        <v>2279</v>
      </c>
      <c r="B594" s="14"/>
      <c r="C594" t="str" s="14" cm="1">
        <f t="array" ref="C594">_xlfn.IFERROR((VLOOKUP(A594,#REF!,2,FALSE)),"")</f>
      </c>
      <c r="D594" t="s" s="15">
        <v>70</v>
      </c>
      <c r="E594" t="s" s="15">
        <v>195</v>
      </c>
      <c r="F594" s="14"/>
      <c r="G594" t="s" s="15">
        <v>2280</v>
      </c>
      <c r="H594" t="s" s="15">
        <v>550</v>
      </c>
      <c r="I594" t="s" s="15">
        <v>73</v>
      </c>
      <c r="J594" t="s" s="15">
        <v>74</v>
      </c>
      <c r="K594" t="s" s="15">
        <v>113</v>
      </c>
      <c r="L594" t="s" s="15">
        <v>518</v>
      </c>
      <c r="M594" t="s" s="15">
        <v>2281</v>
      </c>
      <c r="N594" t="s" s="15">
        <v>2282</v>
      </c>
      <c r="O594" t="s" s="15">
        <v>71</v>
      </c>
      <c r="P594" t="s" s="15">
        <v>122</v>
      </c>
      <c r="Q594" t="s" s="15">
        <v>78</v>
      </c>
      <c r="R594" t="s" s="15">
        <v>71</v>
      </c>
      <c r="S594" s="14"/>
      <c r="T594" s="14"/>
      <c r="U594" s="14"/>
      <c r="V594" t="s" s="15">
        <v>69</v>
      </c>
      <c r="W594" s="14"/>
      <c r="X594" t="s" s="15">
        <v>78</v>
      </c>
      <c r="Y594" s="14"/>
      <c r="Z594" t="s" s="15">
        <v>552</v>
      </c>
      <c r="AA594" s="14"/>
      <c r="AB594" t="s" s="15">
        <v>553</v>
      </c>
      <c r="AC594" s="14"/>
      <c r="AD594" s="14"/>
      <c r="AE594" s="14"/>
      <c r="AF594" s="14"/>
      <c r="AG594" t="s" s="15">
        <v>299</v>
      </c>
      <c r="AH594" t="s" s="15">
        <v>114</v>
      </c>
      <c r="AI594" t="s" s="15">
        <v>76</v>
      </c>
      <c r="AJ594" t="s" s="15">
        <v>76</v>
      </c>
      <c r="AK594" t="s" s="15">
        <v>79</v>
      </c>
      <c r="AL594" t="s" s="15">
        <v>293</v>
      </c>
      <c r="AM594" t="s" s="15">
        <v>196</v>
      </c>
      <c r="AN594" t="s" s="15">
        <v>128</v>
      </c>
      <c r="AO594" s="17">
        <v>8</v>
      </c>
      <c r="AP594" s="17">
        <v>16384</v>
      </c>
      <c r="AQ594" s="17">
        <v>388931</v>
      </c>
      <c r="AR594" s="17">
        <v>207349</v>
      </c>
      <c r="AS594" t="s" s="15">
        <v>2283</v>
      </c>
      <c r="AT594" s="14"/>
      <c r="AU594" s="14"/>
      <c r="AV594" s="14"/>
      <c r="AW594" s="14"/>
      <c r="AX594" s="14"/>
      <c r="AY594" s="14"/>
      <c r="AZ594" s="14"/>
      <c r="BA594" s="14"/>
      <c r="BB594" s="14"/>
      <c r="BC594" s="14"/>
      <c r="BD594" t="s" s="15">
        <v>310</v>
      </c>
      <c r="BE594" t="s" s="15">
        <v>311</v>
      </c>
      <c r="BF594" s="17">
        <v>8</v>
      </c>
      <c r="BG594" s="17">
        <v>16</v>
      </c>
      <c r="BH594" s="14"/>
      <c r="BI594" s="14"/>
      <c r="BJ594" s="14"/>
      <c r="BK594" s="14"/>
      <c r="BL594" s="14"/>
      <c r="BM594" s="14"/>
      <c r="BN594" s="14"/>
      <c r="BO594" s="16"/>
      <c r="BP594" s="8"/>
    </row>
    <row r="595" ht="9" customHeight="1" hidden="1">
      <c r="A595" t="s" s="9">
        <v>2284</v>
      </c>
      <c r="B595" s="11"/>
      <c r="C595" t="str" s="11" cm="1">
        <f t="array" ref="C595">_xlfn.IFERROR((VLOOKUP(A595,#REF!,2,FALSE)),"")</f>
      </c>
      <c r="D595" s="11"/>
      <c r="E595" s="11"/>
      <c r="F595" s="11"/>
      <c r="G595" t="s" s="10">
        <v>2285</v>
      </c>
      <c r="H595" t="s" s="10">
        <v>2285</v>
      </c>
      <c r="I595" t="s" s="10">
        <v>111</v>
      </c>
      <c r="J595" t="s" s="10">
        <v>122</v>
      </c>
      <c r="K595" t="s" s="10">
        <v>113</v>
      </c>
      <c r="L595" t="s" s="10">
        <v>76</v>
      </c>
      <c r="M595" t="s" s="10">
        <v>2285</v>
      </c>
      <c r="N595" t="s" s="10">
        <v>2285</v>
      </c>
      <c r="O595" s="11"/>
      <c r="P595" t="s" s="10">
        <v>122</v>
      </c>
      <c r="Q595" t="s" s="10">
        <v>69</v>
      </c>
      <c r="R595" t="s" s="10">
        <v>83</v>
      </c>
      <c r="S595" s="11"/>
      <c r="T595" s="11"/>
      <c r="U595" s="11"/>
      <c r="V595" t="s" s="10">
        <v>69</v>
      </c>
      <c r="W595" s="11"/>
      <c r="X595" t="s" s="10">
        <v>69</v>
      </c>
      <c r="Y595" s="11"/>
      <c r="Z595" t="s" s="10">
        <v>76</v>
      </c>
      <c r="AA595" s="11"/>
      <c r="AB595" t="s" s="10">
        <v>76</v>
      </c>
      <c r="AC595" t="s" s="10">
        <v>2284</v>
      </c>
      <c r="AD595" t="s" s="10">
        <v>2286</v>
      </c>
      <c r="AE595" s="11"/>
      <c r="AF595" s="11"/>
      <c r="AG595" t="s" s="10">
        <v>299</v>
      </c>
      <c r="AH595" t="s" s="10">
        <v>106</v>
      </c>
      <c r="AI595" t="s" s="10">
        <v>76</v>
      </c>
      <c r="AJ595" t="s" s="10">
        <v>76</v>
      </c>
      <c r="AK595" t="s" s="10">
        <v>79</v>
      </c>
      <c r="AL595" t="s" s="10">
        <v>293</v>
      </c>
      <c r="AM595" t="s" s="10">
        <v>294</v>
      </c>
      <c r="AN595" t="s" s="10">
        <v>187</v>
      </c>
      <c r="AO595" s="18">
        <v>8</v>
      </c>
      <c r="AP595" s="18">
        <v>20480</v>
      </c>
      <c r="AQ595" s="18">
        <v>1034409</v>
      </c>
      <c r="AR595" s="18">
        <v>1034409</v>
      </c>
      <c r="AS595" t="s" s="10">
        <v>2287</v>
      </c>
      <c r="AT595" t="s" s="10">
        <v>301</v>
      </c>
      <c r="AU595" s="11"/>
      <c r="AV595" s="11"/>
      <c r="AW595" s="11"/>
      <c r="AX595" s="11"/>
      <c r="AY595" s="11"/>
      <c r="AZ595" s="11"/>
      <c r="BA595" s="11"/>
      <c r="BB595" s="11"/>
      <c r="BC595" s="11"/>
      <c r="BD595" t="s" s="10">
        <v>310</v>
      </c>
      <c r="BE595" t="s" s="10">
        <v>356</v>
      </c>
      <c r="BF595" s="11"/>
      <c r="BG595" s="11"/>
      <c r="BH595" s="11"/>
      <c r="BI595" s="11"/>
      <c r="BJ595" s="11"/>
      <c r="BK595" s="11"/>
      <c r="BL595" s="11"/>
      <c r="BM595" s="11"/>
      <c r="BN595" t="s" s="10">
        <v>69</v>
      </c>
      <c r="BO595" s="12"/>
      <c r="BP595" s="8"/>
    </row>
    <row r="596" ht="9" customHeight="1" hidden="1">
      <c r="A596" t="s" s="13">
        <v>2288</v>
      </c>
      <c r="B596" s="14"/>
      <c r="C596" t="str" s="14" cm="1">
        <f t="array" ref="C596">_xlfn.IFERROR((VLOOKUP(A596,#REF!,2,FALSE)),"")</f>
      </c>
      <c r="D596" s="14"/>
      <c r="E596" s="14"/>
      <c r="F596" s="14"/>
      <c r="G596" t="s" s="15">
        <v>2289</v>
      </c>
      <c r="H596" t="s" s="15">
        <v>2290</v>
      </c>
      <c r="I596" t="s" s="15">
        <v>111</v>
      </c>
      <c r="J596" t="s" s="15">
        <v>122</v>
      </c>
      <c r="K596" t="s" s="15">
        <v>113</v>
      </c>
      <c r="L596" t="s" s="15">
        <v>76</v>
      </c>
      <c r="M596" t="s" s="15">
        <v>2289</v>
      </c>
      <c r="N596" t="s" s="15">
        <v>2289</v>
      </c>
      <c r="O596" s="14"/>
      <c r="P596" t="s" s="15">
        <v>122</v>
      </c>
      <c r="Q596" t="s" s="15">
        <v>69</v>
      </c>
      <c r="R596" t="s" s="15">
        <v>83</v>
      </c>
      <c r="S596" s="14"/>
      <c r="T596" s="14"/>
      <c r="U596" s="14"/>
      <c r="V596" t="s" s="15">
        <v>69</v>
      </c>
      <c r="W596" s="14"/>
      <c r="X596" t="s" s="15">
        <v>69</v>
      </c>
      <c r="Y596" s="14"/>
      <c r="Z596" t="s" s="15">
        <v>76</v>
      </c>
      <c r="AA596" s="14"/>
      <c r="AB596" t="s" s="15">
        <v>76</v>
      </c>
      <c r="AC596" t="s" s="15">
        <v>2288</v>
      </c>
      <c r="AD596" t="s" s="15">
        <v>2291</v>
      </c>
      <c r="AE596" s="14"/>
      <c r="AF596" s="14"/>
      <c r="AG596" t="s" s="15">
        <v>299</v>
      </c>
      <c r="AH596" t="s" s="15">
        <v>106</v>
      </c>
      <c r="AI596" t="s" s="15">
        <v>76</v>
      </c>
      <c r="AJ596" t="s" s="15">
        <v>76</v>
      </c>
      <c r="AK596" t="s" s="15">
        <v>79</v>
      </c>
      <c r="AL596" t="s" s="15">
        <v>293</v>
      </c>
      <c r="AM596" t="s" s="15">
        <v>294</v>
      </c>
      <c r="AN596" t="s" s="15">
        <v>187</v>
      </c>
      <c r="AO596" s="17">
        <v>8</v>
      </c>
      <c r="AP596" s="17">
        <v>12288</v>
      </c>
      <c r="AQ596" s="17">
        <v>985192</v>
      </c>
      <c r="AR596" s="17">
        <v>985192</v>
      </c>
      <c r="AS596" t="s" s="15">
        <v>2292</v>
      </c>
      <c r="AT596" t="s" s="15">
        <v>301</v>
      </c>
      <c r="AU596" s="14"/>
      <c r="AV596" s="14"/>
      <c r="AW596" s="14"/>
      <c r="AX596" s="14"/>
      <c r="AY596" s="14"/>
      <c r="AZ596" s="14"/>
      <c r="BA596" s="14"/>
      <c r="BB596" s="14"/>
      <c r="BC596" s="14"/>
      <c r="BD596" t="s" s="15">
        <v>310</v>
      </c>
      <c r="BE596" t="s" s="15">
        <v>356</v>
      </c>
      <c r="BF596" s="14"/>
      <c r="BG596" s="14"/>
      <c r="BH596" s="14"/>
      <c r="BI596" s="14"/>
      <c r="BJ596" s="14"/>
      <c r="BK596" s="14"/>
      <c r="BL596" s="14"/>
      <c r="BM596" s="14"/>
      <c r="BN596" t="s" s="15">
        <v>69</v>
      </c>
      <c r="BO596" s="16"/>
      <c r="BP596" s="8"/>
    </row>
    <row r="597" ht="13.55" customHeight="1">
      <c r="A597" t="s" s="9">
        <v>2293</v>
      </c>
      <c r="B597" s="11"/>
      <c r="C597" t="str" s="11" cm="1">
        <f t="array" ref="C597">_xlfn.IFERROR((VLOOKUP(A597,#REF!,2,FALSE)),"")</f>
      </c>
      <c r="D597" s="11"/>
      <c r="E597" s="11"/>
      <c r="F597" s="11"/>
      <c r="G597" t="s" s="10">
        <v>2294</v>
      </c>
      <c r="H597" t="s" s="10">
        <v>1332</v>
      </c>
      <c r="I597" t="s" s="10">
        <v>111</v>
      </c>
      <c r="J597" t="s" s="10">
        <v>122</v>
      </c>
      <c r="K597" t="s" s="10">
        <v>113</v>
      </c>
      <c r="L597" t="s" s="10">
        <v>1333</v>
      </c>
      <c r="M597" t="s" s="10">
        <v>2294</v>
      </c>
      <c r="N597" t="s" s="10">
        <v>2294</v>
      </c>
      <c r="O597" s="11"/>
      <c r="P597" t="s" s="10">
        <v>122</v>
      </c>
      <c r="Q597" t="s" s="10">
        <v>69</v>
      </c>
      <c r="R597" t="s" s="10">
        <v>83</v>
      </c>
      <c r="S597" t="s" s="10">
        <v>69</v>
      </c>
      <c r="T597" s="11"/>
      <c r="U597" s="11"/>
      <c r="V597" t="s" s="10">
        <v>69</v>
      </c>
      <c r="W597" s="11"/>
      <c r="X597" t="s" s="10">
        <v>69</v>
      </c>
      <c r="Y597" s="11"/>
      <c r="Z597" t="s" s="10">
        <v>1334</v>
      </c>
      <c r="AA597" s="11"/>
      <c r="AB597" t="s" s="10">
        <v>1335</v>
      </c>
      <c r="AC597" t="s" s="10">
        <v>2293</v>
      </c>
      <c r="AD597" s="11"/>
      <c r="AE597" s="11"/>
      <c r="AF597" t="s" s="10">
        <v>1332</v>
      </c>
      <c r="AG597" t="s" s="10">
        <v>299</v>
      </c>
      <c r="AH597" t="s" s="10">
        <v>114</v>
      </c>
      <c r="AI597" t="s" s="10">
        <v>332</v>
      </c>
      <c r="AJ597" t="s" s="10">
        <v>523</v>
      </c>
      <c r="AK597" t="s" s="10">
        <v>83</v>
      </c>
      <c r="AL597" t="s" s="10">
        <v>293</v>
      </c>
      <c r="AM597" t="s" s="10">
        <v>294</v>
      </c>
      <c r="AN597" t="s" s="10">
        <v>128</v>
      </c>
      <c r="AO597" s="18">
        <v>12</v>
      </c>
      <c r="AP597" s="18">
        <v>16384</v>
      </c>
      <c r="AQ597" s="18">
        <v>323845</v>
      </c>
      <c r="AR597" s="18">
        <v>120294</v>
      </c>
      <c r="AS597" t="s" s="10">
        <v>2295</v>
      </c>
      <c r="AT597" s="11"/>
      <c r="AU597" s="11"/>
      <c r="AV597" s="11"/>
      <c r="AW597" s="11"/>
      <c r="AX597" s="11"/>
      <c r="AY597" s="11"/>
      <c r="AZ597" s="11"/>
      <c r="BA597" s="11"/>
      <c r="BB597" s="11"/>
      <c r="BC597" s="11"/>
      <c r="BD597" t="s" s="10">
        <v>310</v>
      </c>
      <c r="BE597" t="s" s="10">
        <v>2296</v>
      </c>
      <c r="BF597" s="18">
        <v>16</v>
      </c>
      <c r="BG597" s="18">
        <v>32</v>
      </c>
      <c r="BH597" s="11"/>
      <c r="BI597" s="11"/>
      <c r="BJ597" s="11"/>
      <c r="BK597" s="11"/>
      <c r="BL597" s="11"/>
      <c r="BM597" s="11"/>
      <c r="BN597" t="s" s="10">
        <v>69</v>
      </c>
      <c r="BO597" s="12"/>
      <c r="BP597" s="8"/>
    </row>
    <row r="598" ht="9" customHeight="1" hidden="1">
      <c r="A598" t="s" s="13">
        <v>2297</v>
      </c>
      <c r="B598" s="14"/>
      <c r="C598" t="str" s="14" cm="1">
        <f t="array" ref="C598">_xlfn.IFERROR((VLOOKUP(A598,#REF!,2,FALSE)),"")</f>
      </c>
      <c r="D598" s="14"/>
      <c r="E598" s="14"/>
      <c r="F598" s="14"/>
      <c r="G598" t="s" s="15">
        <v>2298</v>
      </c>
      <c r="H598" t="s" s="15">
        <v>2298</v>
      </c>
      <c r="I598" t="s" s="15">
        <v>111</v>
      </c>
      <c r="J598" t="s" s="15">
        <v>452</v>
      </c>
      <c r="K598" t="s" s="15">
        <v>210</v>
      </c>
      <c r="L598" t="s" s="15">
        <v>76</v>
      </c>
      <c r="M598" t="s" s="15">
        <v>2298</v>
      </c>
      <c r="N598" t="s" s="15">
        <v>2298</v>
      </c>
      <c r="O598" s="14"/>
      <c r="P598" t="s" s="15">
        <v>452</v>
      </c>
      <c r="Q598" t="s" s="15">
        <v>78</v>
      </c>
      <c r="R598" t="s" s="15">
        <v>83</v>
      </c>
      <c r="S598" s="14"/>
      <c r="T598" s="14"/>
      <c r="U598" s="14"/>
      <c r="V598" t="s" s="15">
        <v>78</v>
      </c>
      <c r="W598" s="14"/>
      <c r="X598" t="s" s="15">
        <v>69</v>
      </c>
      <c r="Y598" s="14"/>
      <c r="Z598" t="s" s="15">
        <v>76</v>
      </c>
      <c r="AA598" s="14"/>
      <c r="AB598" t="s" s="15">
        <v>76</v>
      </c>
      <c r="AC598" s="14"/>
      <c r="AD598" s="14"/>
      <c r="AE598" s="14"/>
      <c r="AF598" s="14"/>
      <c r="AG598" t="s" s="15">
        <v>453</v>
      </c>
      <c r="AH598" t="s" s="15">
        <v>106</v>
      </c>
      <c r="AI598" t="s" s="15">
        <v>76</v>
      </c>
      <c r="AJ598" t="s" s="15">
        <v>76</v>
      </c>
      <c r="AK598" t="s" s="15">
        <v>79</v>
      </c>
      <c r="AL598" t="s" s="15">
        <v>293</v>
      </c>
      <c r="AM598" t="s" s="15">
        <v>294</v>
      </c>
      <c r="AN598" s="14"/>
      <c r="AO598" s="17">
        <v>4</v>
      </c>
      <c r="AP598" s="17">
        <v>4096</v>
      </c>
      <c r="AQ598" s="17">
        <v>528780</v>
      </c>
      <c r="AR598" s="17">
        <v>84861</v>
      </c>
      <c r="AS598" t="s" s="15">
        <v>2299</v>
      </c>
      <c r="AT598" s="14"/>
      <c r="AU598" s="14"/>
      <c r="AV598" s="14"/>
      <c r="AW598" s="14"/>
      <c r="AX598" s="14"/>
      <c r="AY598" s="14"/>
      <c r="AZ598" s="14"/>
      <c r="BA598" s="14"/>
      <c r="BB598" s="14"/>
      <c r="BC598" s="14"/>
      <c r="BD598" t="s" s="15">
        <v>310</v>
      </c>
      <c r="BE598" t="s" s="15">
        <v>356</v>
      </c>
      <c r="BF598" s="14"/>
      <c r="BG598" s="14"/>
      <c r="BH598" s="14"/>
      <c r="BI598" s="14"/>
      <c r="BJ598" s="14"/>
      <c r="BK598" s="14"/>
      <c r="BL598" s="14"/>
      <c r="BM598" s="14"/>
      <c r="BN598" t="s" s="15">
        <v>69</v>
      </c>
      <c r="BO598" s="16"/>
      <c r="BP598" s="8"/>
    </row>
    <row r="599" ht="9" customHeight="1" hidden="1">
      <c r="A599" t="s" s="9">
        <v>2300</v>
      </c>
      <c r="B599" s="11"/>
      <c r="C599" t="str" s="11" cm="1">
        <f t="array" ref="C599">_xlfn.IFERROR((VLOOKUP(A599,#REF!,2,FALSE)),"")</f>
      </c>
      <c r="D599" s="11"/>
      <c r="E599" t="s" s="10">
        <v>2301</v>
      </c>
      <c r="F599" s="11"/>
      <c r="G599" t="s" s="10">
        <v>2302</v>
      </c>
      <c r="H599" t="s" s="10">
        <v>2303</v>
      </c>
      <c r="I599" t="s" s="10">
        <v>73</v>
      </c>
      <c r="J599" t="s" s="10">
        <v>74</v>
      </c>
      <c r="K599" t="s" s="10">
        <v>113</v>
      </c>
      <c r="L599" t="s" s="10">
        <v>76</v>
      </c>
      <c r="M599" t="s" s="10">
        <v>2302</v>
      </c>
      <c r="N599" s="11"/>
      <c r="O599" t="s" s="10">
        <v>71</v>
      </c>
      <c r="P599" t="s" s="10">
        <v>322</v>
      </c>
      <c r="Q599" t="s" s="10">
        <v>78</v>
      </c>
      <c r="R599" t="s" s="10">
        <v>71</v>
      </c>
      <c r="S599" s="11"/>
      <c r="T599" s="11"/>
      <c r="U599" s="11"/>
      <c r="V599" t="s" s="10">
        <v>69</v>
      </c>
      <c r="W599" s="11"/>
      <c r="X599" t="s" s="10">
        <v>78</v>
      </c>
      <c r="Y599" s="11"/>
      <c r="Z599" t="s" s="10">
        <v>76</v>
      </c>
      <c r="AA599" s="11"/>
      <c r="AB599" t="s" s="10">
        <v>76</v>
      </c>
      <c r="AC599" t="s" s="10">
        <v>1226</v>
      </c>
      <c r="AD599" s="11"/>
      <c r="AE599" s="11"/>
      <c r="AF599" s="11"/>
      <c r="AG599" t="s" s="10">
        <v>299</v>
      </c>
      <c r="AH599" t="s" s="10">
        <v>114</v>
      </c>
      <c r="AI599" t="s" s="10">
        <v>76</v>
      </c>
      <c r="AJ599" t="s" s="10">
        <v>76</v>
      </c>
      <c r="AK599" t="s" s="10">
        <v>79</v>
      </c>
      <c r="AL599" t="s" s="10">
        <v>293</v>
      </c>
      <c r="AM599" t="s" s="10">
        <v>294</v>
      </c>
      <c r="AN599" t="s" s="10">
        <v>2304</v>
      </c>
      <c r="AO599" s="18">
        <v>4</v>
      </c>
      <c r="AP599" s="18">
        <v>4096</v>
      </c>
      <c r="AQ599" s="18">
        <v>106633</v>
      </c>
      <c r="AR599" s="18">
        <v>106633</v>
      </c>
      <c r="AS599" t="s" s="10">
        <v>2305</v>
      </c>
      <c r="AT599" t="s" s="10">
        <v>301</v>
      </c>
      <c r="AU599" s="11"/>
      <c r="AV599" s="11"/>
      <c r="AW599" s="11"/>
      <c r="AX599" s="11"/>
      <c r="AY599" s="11"/>
      <c r="AZ599" s="11"/>
      <c r="BA599" s="11"/>
      <c r="BB599" s="11"/>
      <c r="BC599" s="11"/>
      <c r="BD599" t="s" s="10">
        <v>310</v>
      </c>
      <c r="BE599" t="s" s="10">
        <v>356</v>
      </c>
      <c r="BF599" s="18">
        <v>4</v>
      </c>
      <c r="BG599" s="18">
        <v>8</v>
      </c>
      <c r="BH599" s="11"/>
      <c r="BI599" s="11"/>
      <c r="BJ599" s="11"/>
      <c r="BK599" s="11"/>
      <c r="BL599" s="11"/>
      <c r="BM599" s="11"/>
      <c r="BN599" s="11"/>
      <c r="BO599" s="12"/>
      <c r="BP599" s="8"/>
    </row>
    <row r="600" ht="15" customHeight="1" hidden="1">
      <c r="A600" t="s" s="13">
        <v>2306</v>
      </c>
      <c r="B600" s="14"/>
      <c r="C600" t="str" s="14" cm="1">
        <f t="array" ref="C600">_xlfn.IFERROR((VLOOKUP(A600,#REF!,2,FALSE)),"")</f>
      </c>
      <c r="D600" s="14"/>
      <c r="E600" s="14"/>
      <c r="F600" s="14"/>
      <c r="G600" t="s" s="15">
        <v>2307</v>
      </c>
      <c r="H600" t="s" s="15">
        <v>741</v>
      </c>
      <c r="I600" t="s" s="15">
        <v>111</v>
      </c>
      <c r="J600" t="s" s="15">
        <v>112</v>
      </c>
      <c r="K600" t="s" s="15">
        <v>113</v>
      </c>
      <c r="L600" t="s" s="15">
        <v>518</v>
      </c>
      <c r="M600" t="s" s="15">
        <v>2307</v>
      </c>
      <c r="N600" t="s" s="15">
        <v>2307</v>
      </c>
      <c r="O600" s="14"/>
      <c r="P600" t="s" s="15">
        <v>469</v>
      </c>
      <c r="Q600" t="s" s="15">
        <v>78</v>
      </c>
      <c r="R600" t="s" s="15">
        <v>83</v>
      </c>
      <c r="S600" s="14"/>
      <c r="T600" s="14"/>
      <c r="U600" s="14"/>
      <c r="V600" t="s" s="15">
        <v>69</v>
      </c>
      <c r="W600" s="14"/>
      <c r="X600" t="s" s="15">
        <v>69</v>
      </c>
      <c r="Y600" s="14"/>
      <c r="Z600" t="s" s="15">
        <v>552</v>
      </c>
      <c r="AA600" s="14"/>
      <c r="AB600" t="s" s="15">
        <v>743</v>
      </c>
      <c r="AC600" s="14"/>
      <c r="AD600" s="14"/>
      <c r="AE600" s="14"/>
      <c r="AF600" t="s" s="15">
        <v>741</v>
      </c>
      <c r="AG600" t="s" s="15">
        <v>299</v>
      </c>
      <c r="AH600" t="s" s="15">
        <v>289</v>
      </c>
      <c r="AI600" t="s" s="15">
        <v>332</v>
      </c>
      <c r="AJ600" t="s" s="15">
        <v>473</v>
      </c>
      <c r="AK600" t="s" s="15">
        <v>83</v>
      </c>
      <c r="AL600" t="s" s="15">
        <v>293</v>
      </c>
      <c r="AM600" t="s" s="15">
        <v>294</v>
      </c>
      <c r="AN600" t="s" s="15">
        <v>2308</v>
      </c>
      <c r="AO600" s="17">
        <v>4</v>
      </c>
      <c r="AP600" s="17">
        <v>4096</v>
      </c>
      <c r="AQ600" s="17">
        <v>157811</v>
      </c>
      <c r="AR600" s="17">
        <v>64870</v>
      </c>
      <c r="AS600" t="s" s="15">
        <v>2309</v>
      </c>
      <c r="AT600" t="s" s="15">
        <v>301</v>
      </c>
      <c r="AU600" s="14"/>
      <c r="AV600" s="14"/>
      <c r="AW600" t="s" s="15">
        <v>2310</v>
      </c>
      <c r="AX600" s="14"/>
      <c r="AY600" s="14"/>
      <c r="AZ600" s="14"/>
      <c r="BA600" s="14"/>
      <c r="BB600" s="14"/>
      <c r="BC600" s="14"/>
      <c r="BD600" t="s" s="15">
        <v>366</v>
      </c>
      <c r="BE600" t="s" s="15">
        <v>367</v>
      </c>
      <c r="BF600" s="14"/>
      <c r="BG600" s="14"/>
      <c r="BH600" s="14"/>
      <c r="BI600" s="14"/>
      <c r="BJ600" s="14"/>
      <c r="BK600" s="14"/>
      <c r="BL600" s="14"/>
      <c r="BM600" s="14"/>
      <c r="BN600" t="s" s="15">
        <v>78</v>
      </c>
      <c r="BO600" s="16"/>
      <c r="BP600" s="8"/>
    </row>
    <row r="601" ht="9" customHeight="1" hidden="1">
      <c r="A601" t="s" s="9">
        <v>2311</v>
      </c>
      <c r="B601" s="11"/>
      <c r="C601" t="str" s="11" cm="1">
        <f t="array" ref="C601">_xlfn.IFERROR((VLOOKUP(A601,#REF!,2,FALSE)),"")</f>
      </c>
      <c r="D601" s="11"/>
      <c r="E601" s="11"/>
      <c r="F601" s="11"/>
      <c r="G601" t="s" s="10">
        <v>2312</v>
      </c>
      <c r="H601" t="s" s="10">
        <v>1237</v>
      </c>
      <c r="I601" t="s" s="10">
        <v>111</v>
      </c>
      <c r="J601" t="s" s="10">
        <v>112</v>
      </c>
      <c r="K601" t="s" s="10">
        <v>113</v>
      </c>
      <c r="L601" t="s" s="10">
        <v>518</v>
      </c>
      <c r="M601" t="s" s="10">
        <v>2312</v>
      </c>
      <c r="N601" t="s" s="10">
        <v>2312</v>
      </c>
      <c r="O601" s="11"/>
      <c r="P601" t="s" s="10">
        <v>469</v>
      </c>
      <c r="Q601" t="s" s="10">
        <v>78</v>
      </c>
      <c r="R601" t="s" s="10">
        <v>83</v>
      </c>
      <c r="S601" s="11"/>
      <c r="T601" s="11"/>
      <c r="U601" s="11"/>
      <c r="V601" t="s" s="10">
        <v>69</v>
      </c>
      <c r="W601" s="11"/>
      <c r="X601" t="s" s="10">
        <v>69</v>
      </c>
      <c r="Y601" s="11"/>
      <c r="Z601" t="s" s="10">
        <v>205</v>
      </c>
      <c r="AA601" s="11"/>
      <c r="AB601" t="s" s="10">
        <v>520</v>
      </c>
      <c r="AC601" s="11"/>
      <c r="AD601" s="11"/>
      <c r="AE601" s="11"/>
      <c r="AF601" s="11"/>
      <c r="AG601" t="s" s="10">
        <v>299</v>
      </c>
      <c r="AH601" t="s" s="10">
        <v>289</v>
      </c>
      <c r="AI601" t="s" s="10">
        <v>440</v>
      </c>
      <c r="AJ601" s="11"/>
      <c r="AK601" t="s" s="10">
        <v>83</v>
      </c>
      <c r="AL601" t="s" s="10">
        <v>293</v>
      </c>
      <c r="AM601" t="s" s="10">
        <v>294</v>
      </c>
      <c r="AN601" t="s" s="10">
        <v>2308</v>
      </c>
      <c r="AO601" s="18">
        <v>4</v>
      </c>
      <c r="AP601" s="18">
        <v>4096</v>
      </c>
      <c r="AQ601" s="18">
        <v>249951</v>
      </c>
      <c r="AR601" s="18">
        <v>57953</v>
      </c>
      <c r="AS601" t="s" s="10">
        <v>2313</v>
      </c>
      <c r="AT601" t="s" s="10">
        <v>301</v>
      </c>
      <c r="AU601" s="11"/>
      <c r="AV601" s="11"/>
      <c r="AW601" t="s" s="10">
        <v>2314</v>
      </c>
      <c r="AX601" s="11"/>
      <c r="AY601" s="11"/>
      <c r="AZ601" s="11"/>
      <c r="BA601" s="11"/>
      <c r="BB601" s="11"/>
      <c r="BC601" s="11"/>
      <c r="BD601" t="s" s="10">
        <v>366</v>
      </c>
      <c r="BE601" t="s" s="10">
        <v>367</v>
      </c>
      <c r="BF601" s="11"/>
      <c r="BG601" s="11"/>
      <c r="BH601" s="11"/>
      <c r="BI601" s="11"/>
      <c r="BJ601" s="11"/>
      <c r="BK601" s="11"/>
      <c r="BL601" s="11"/>
      <c r="BM601" s="11"/>
      <c r="BN601" t="s" s="10">
        <v>78</v>
      </c>
      <c r="BO601" s="12"/>
      <c r="BP601" s="8"/>
    </row>
    <row r="602" ht="9" customHeight="1" hidden="1">
      <c r="A602" t="s" s="13">
        <v>2315</v>
      </c>
      <c r="B602" s="14"/>
      <c r="C602" t="str" s="14" cm="1">
        <f t="array" ref="C602">_xlfn.IFERROR((VLOOKUP(A602,#REF!,2,FALSE)),"")</f>
      </c>
      <c r="D602" s="14"/>
      <c r="E602" t="s" s="15">
        <v>2316</v>
      </c>
      <c r="F602" s="14"/>
      <c r="G602" t="s" s="15">
        <v>2317</v>
      </c>
      <c r="H602" t="s" s="15">
        <v>2318</v>
      </c>
      <c r="I602" t="s" s="15">
        <v>111</v>
      </c>
      <c r="J602" t="s" s="15">
        <v>112</v>
      </c>
      <c r="K602" t="s" s="15">
        <v>113</v>
      </c>
      <c r="L602" t="s" s="15">
        <v>518</v>
      </c>
      <c r="M602" t="s" s="15">
        <v>2319</v>
      </c>
      <c r="N602" t="s" s="15">
        <v>2319</v>
      </c>
      <c r="O602" s="14"/>
      <c r="P602" t="s" s="15">
        <v>469</v>
      </c>
      <c r="Q602" t="s" s="15">
        <v>78</v>
      </c>
      <c r="R602" t="s" s="15">
        <v>83</v>
      </c>
      <c r="S602" s="14"/>
      <c r="T602" s="14"/>
      <c r="U602" s="14"/>
      <c r="V602" t="s" s="15">
        <v>69</v>
      </c>
      <c r="W602" s="14"/>
      <c r="X602" t="s" s="15">
        <v>69</v>
      </c>
      <c r="Y602" s="14"/>
      <c r="Z602" t="s" s="15">
        <v>552</v>
      </c>
      <c r="AA602" s="14"/>
      <c r="AB602" t="s" s="15">
        <v>520</v>
      </c>
      <c r="AC602" s="14"/>
      <c r="AD602" s="14"/>
      <c r="AE602" s="14"/>
      <c r="AF602" t="s" s="15">
        <v>2318</v>
      </c>
      <c r="AG602" t="s" s="15">
        <v>299</v>
      </c>
      <c r="AH602" t="s" s="15">
        <v>114</v>
      </c>
      <c r="AI602" t="s" s="15">
        <v>332</v>
      </c>
      <c r="AJ602" t="s" s="15">
        <v>827</v>
      </c>
      <c r="AK602" t="s" s="15">
        <v>83</v>
      </c>
      <c r="AL602" t="s" s="15">
        <v>293</v>
      </c>
      <c r="AM602" t="s" s="15">
        <v>294</v>
      </c>
      <c r="AN602" t="s" s="15">
        <v>2304</v>
      </c>
      <c r="AO602" s="17">
        <v>4</v>
      </c>
      <c r="AP602" s="17">
        <v>4096</v>
      </c>
      <c r="AQ602" s="17">
        <v>157814</v>
      </c>
      <c r="AR602" s="17">
        <v>21225</v>
      </c>
      <c r="AS602" t="s" s="15">
        <v>2320</v>
      </c>
      <c r="AT602" t="s" s="15">
        <v>301</v>
      </c>
      <c r="AU602" s="14"/>
      <c r="AV602" s="14"/>
      <c r="AW602" s="14"/>
      <c r="AX602" s="14"/>
      <c r="AY602" s="14"/>
      <c r="AZ602" s="14"/>
      <c r="BA602" s="14"/>
      <c r="BB602" s="14"/>
      <c r="BC602" s="14"/>
      <c r="BD602" t="s" s="15">
        <v>310</v>
      </c>
      <c r="BE602" t="s" s="15">
        <v>356</v>
      </c>
      <c r="BF602" s="17">
        <v>4</v>
      </c>
      <c r="BG602" s="17">
        <v>8</v>
      </c>
      <c r="BH602" s="14"/>
      <c r="BI602" s="14"/>
      <c r="BJ602" s="14"/>
      <c r="BK602" s="14"/>
      <c r="BL602" s="14"/>
      <c r="BM602" s="14"/>
      <c r="BN602" t="s" s="15">
        <v>78</v>
      </c>
      <c r="BO602" s="16"/>
      <c r="BP602" s="8"/>
    </row>
    <row r="603" ht="9" customHeight="1" hidden="1">
      <c r="A603" t="s" s="9">
        <v>2321</v>
      </c>
      <c r="B603" s="11"/>
      <c r="C603" t="str" s="11" cm="1">
        <f t="array" ref="C603">_xlfn.IFERROR((VLOOKUP(A603,#REF!,2,FALSE)),"")</f>
      </c>
      <c r="D603" s="11"/>
      <c r="E603" t="s" s="10">
        <v>2322</v>
      </c>
      <c r="F603" s="11"/>
      <c r="G603" t="s" s="10">
        <v>2323</v>
      </c>
      <c r="H603" t="s" s="10">
        <v>2324</v>
      </c>
      <c r="I603" t="s" s="10">
        <v>111</v>
      </c>
      <c r="J603" t="s" s="10">
        <v>112</v>
      </c>
      <c r="K603" t="s" s="10">
        <v>113</v>
      </c>
      <c r="L603" t="s" s="10">
        <v>76</v>
      </c>
      <c r="M603" t="s" s="10">
        <v>2325</v>
      </c>
      <c r="N603" t="s" s="10">
        <v>2325</v>
      </c>
      <c r="O603" s="11"/>
      <c r="P603" t="s" s="10">
        <v>469</v>
      </c>
      <c r="Q603" t="s" s="10">
        <v>78</v>
      </c>
      <c r="R603" t="s" s="10">
        <v>83</v>
      </c>
      <c r="S603" s="11"/>
      <c r="T603" s="11"/>
      <c r="U603" s="11"/>
      <c r="V603" t="s" s="10">
        <v>69</v>
      </c>
      <c r="W603" s="11"/>
      <c r="X603" t="s" s="10">
        <v>69</v>
      </c>
      <c r="Y603" s="11"/>
      <c r="Z603" t="s" s="10">
        <v>76</v>
      </c>
      <c r="AA603" s="11"/>
      <c r="AB603" t="s" s="10">
        <v>76</v>
      </c>
      <c r="AC603" s="11"/>
      <c r="AD603" s="11"/>
      <c r="AE603" s="11"/>
      <c r="AF603" s="11"/>
      <c r="AG603" t="s" s="10">
        <v>299</v>
      </c>
      <c r="AH603" t="s" s="10">
        <v>114</v>
      </c>
      <c r="AI603" t="s" s="10">
        <v>76</v>
      </c>
      <c r="AJ603" t="s" s="10">
        <v>76</v>
      </c>
      <c r="AK603" t="s" s="10">
        <v>79</v>
      </c>
      <c r="AL603" t="s" s="10">
        <v>293</v>
      </c>
      <c r="AM603" t="s" s="10">
        <v>294</v>
      </c>
      <c r="AN603" t="s" s="10">
        <v>1692</v>
      </c>
      <c r="AO603" s="18">
        <v>4</v>
      </c>
      <c r="AP603" s="18">
        <v>4096</v>
      </c>
      <c r="AQ603" s="18">
        <v>173470</v>
      </c>
      <c r="AR603" s="18">
        <v>28550</v>
      </c>
      <c r="AS603" t="s" s="10">
        <v>2326</v>
      </c>
      <c r="AT603" t="s" s="10">
        <v>301</v>
      </c>
      <c r="AU603" s="11"/>
      <c r="AV603" s="11"/>
      <c r="AW603" s="11"/>
      <c r="AX603" s="11"/>
      <c r="AY603" s="11"/>
      <c r="AZ603" s="11"/>
      <c r="BA603" s="11"/>
      <c r="BB603" s="11"/>
      <c r="BC603" s="11"/>
      <c r="BD603" t="s" s="10">
        <v>310</v>
      </c>
      <c r="BE603" t="s" s="10">
        <v>356</v>
      </c>
      <c r="BF603" s="18">
        <v>4</v>
      </c>
      <c r="BG603" s="18">
        <v>8</v>
      </c>
      <c r="BH603" s="11"/>
      <c r="BI603" s="11"/>
      <c r="BJ603" s="11"/>
      <c r="BK603" s="11"/>
      <c r="BL603" s="11"/>
      <c r="BM603" s="11"/>
      <c r="BN603" t="s" s="10">
        <v>78</v>
      </c>
      <c r="BO603" s="12"/>
      <c r="BP603" s="8"/>
    </row>
    <row r="604" ht="9" customHeight="1" hidden="1">
      <c r="A604" t="s" s="13">
        <v>2327</v>
      </c>
      <c r="B604" s="14"/>
      <c r="C604" t="str" s="14" cm="1">
        <f t="array" ref="C604">_xlfn.IFERROR((VLOOKUP(A604,#REF!,2,FALSE)),"")</f>
      </c>
      <c r="D604" s="14"/>
      <c r="E604" t="s" s="15">
        <v>2328</v>
      </c>
      <c r="F604" s="14"/>
      <c r="G604" t="s" s="15">
        <v>2329</v>
      </c>
      <c r="H604" t="s" s="15">
        <v>2330</v>
      </c>
      <c r="I604" t="s" s="15">
        <v>73</v>
      </c>
      <c r="J604" t="s" s="15">
        <v>74</v>
      </c>
      <c r="K604" t="s" s="15">
        <v>113</v>
      </c>
      <c r="L604" t="s" s="15">
        <v>76</v>
      </c>
      <c r="M604" t="s" s="15">
        <v>2329</v>
      </c>
      <c r="N604" t="s" s="15">
        <v>2329</v>
      </c>
      <c r="O604" t="s" s="15">
        <v>71</v>
      </c>
      <c r="P604" t="s" s="15">
        <v>74</v>
      </c>
      <c r="Q604" t="s" s="15">
        <v>78</v>
      </c>
      <c r="R604" t="s" s="15">
        <v>71</v>
      </c>
      <c r="S604" s="14"/>
      <c r="T604" s="14"/>
      <c r="U604" s="14"/>
      <c r="V604" t="s" s="15">
        <v>78</v>
      </c>
      <c r="W604" t="s" s="15">
        <v>2327</v>
      </c>
      <c r="X604" t="s" s="15">
        <v>69</v>
      </c>
      <c r="Y604" s="14"/>
      <c r="Z604" t="s" s="15">
        <v>76</v>
      </c>
      <c r="AA604" s="14"/>
      <c r="AB604" t="s" s="15">
        <v>76</v>
      </c>
      <c r="AC604" s="14"/>
      <c r="AD604" s="14"/>
      <c r="AE604" s="14"/>
      <c r="AF604" s="14"/>
      <c r="AG604" t="s" s="15">
        <v>299</v>
      </c>
      <c r="AH604" t="s" s="15">
        <v>114</v>
      </c>
      <c r="AI604" t="s" s="15">
        <v>76</v>
      </c>
      <c r="AJ604" t="s" s="15">
        <v>76</v>
      </c>
      <c r="AK604" t="s" s="15">
        <v>79</v>
      </c>
      <c r="AL604" t="s" s="15">
        <v>293</v>
      </c>
      <c r="AM604" t="s" s="15">
        <v>294</v>
      </c>
      <c r="AN604" s="14"/>
      <c r="AO604" s="17">
        <v>4</v>
      </c>
      <c r="AP604" s="17">
        <v>4096</v>
      </c>
      <c r="AQ604" s="17">
        <v>106580</v>
      </c>
      <c r="AR604" s="17">
        <v>106580</v>
      </c>
      <c r="AS604" t="s" s="15">
        <v>2331</v>
      </c>
      <c r="AT604" t="s" s="15">
        <v>301</v>
      </c>
      <c r="AU604" s="14"/>
      <c r="AV604" s="14"/>
      <c r="AW604" s="14"/>
      <c r="AX604" s="14"/>
      <c r="AY604" s="14"/>
      <c r="AZ604" s="14"/>
      <c r="BA604" s="14"/>
      <c r="BB604" s="14"/>
      <c r="BC604" s="14"/>
      <c r="BD604" t="s" s="15">
        <v>310</v>
      </c>
      <c r="BE604" t="s" s="15">
        <v>356</v>
      </c>
      <c r="BF604" s="17">
        <v>4</v>
      </c>
      <c r="BG604" s="17">
        <v>8</v>
      </c>
      <c r="BH604" s="14"/>
      <c r="BI604" s="14"/>
      <c r="BJ604" s="14"/>
      <c r="BK604" s="14"/>
      <c r="BL604" s="14"/>
      <c r="BM604" s="14"/>
      <c r="BN604" s="14"/>
      <c r="BO604" s="16"/>
      <c r="BP604" s="8"/>
    </row>
    <row r="605" ht="9" customHeight="1" hidden="1">
      <c r="A605" t="s" s="9">
        <v>2332</v>
      </c>
      <c r="B605" s="11"/>
      <c r="C605" t="str" s="11" cm="1">
        <f t="array" ref="C605">_xlfn.IFERROR((VLOOKUP(A605,#REF!,2,FALSE)),"")</f>
      </c>
      <c r="D605" s="11"/>
      <c r="E605" t="s" s="10">
        <v>303</v>
      </c>
      <c r="F605" s="11"/>
      <c r="G605" t="s" s="10">
        <v>2333</v>
      </c>
      <c r="H605" t="s" s="10">
        <v>2330</v>
      </c>
      <c r="I605" t="s" s="10">
        <v>73</v>
      </c>
      <c r="J605" t="s" s="10">
        <v>74</v>
      </c>
      <c r="K605" t="s" s="10">
        <v>113</v>
      </c>
      <c r="L605" t="s" s="10">
        <v>76</v>
      </c>
      <c r="M605" t="s" s="10">
        <v>2333</v>
      </c>
      <c r="N605" t="s" s="10">
        <v>2333</v>
      </c>
      <c r="O605" t="s" s="10">
        <v>71</v>
      </c>
      <c r="P605" t="s" s="10">
        <v>74</v>
      </c>
      <c r="Q605" t="s" s="10">
        <v>78</v>
      </c>
      <c r="R605" t="s" s="10">
        <v>71</v>
      </c>
      <c r="S605" s="11"/>
      <c r="T605" s="11"/>
      <c r="U605" s="11"/>
      <c r="V605" t="s" s="10">
        <v>78</v>
      </c>
      <c r="W605" t="s" s="10">
        <v>2332</v>
      </c>
      <c r="X605" t="s" s="10">
        <v>69</v>
      </c>
      <c r="Y605" s="11"/>
      <c r="Z605" t="s" s="10">
        <v>76</v>
      </c>
      <c r="AA605" s="11"/>
      <c r="AB605" t="s" s="10">
        <v>76</v>
      </c>
      <c r="AC605" s="11"/>
      <c r="AD605" s="11"/>
      <c r="AE605" s="11"/>
      <c r="AF605" s="11"/>
      <c r="AG605" s="11"/>
      <c r="AH605" t="s" s="10">
        <v>106</v>
      </c>
      <c r="AI605" t="s" s="10">
        <v>76</v>
      </c>
      <c r="AJ605" t="s" s="10">
        <v>76</v>
      </c>
      <c r="AK605" t="s" s="10">
        <v>79</v>
      </c>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c r="BL605" s="11"/>
      <c r="BM605" s="11"/>
      <c r="BN605" s="11"/>
      <c r="BO605" s="12"/>
      <c r="BP605" s="8"/>
    </row>
    <row r="606" ht="9" customHeight="1" hidden="1">
      <c r="A606" t="s" s="13">
        <v>2334</v>
      </c>
      <c r="B606" s="14"/>
      <c r="C606" t="str" s="14" cm="1">
        <f t="array" ref="C606">_xlfn.IFERROR((VLOOKUP(A606,#REF!,2,FALSE)),"")</f>
      </c>
      <c r="D606" s="14"/>
      <c r="E606" t="s" s="15">
        <v>2335</v>
      </c>
      <c r="F606" s="14"/>
      <c r="G606" t="s" s="15">
        <v>2336</v>
      </c>
      <c r="H606" t="s" s="15">
        <v>2337</v>
      </c>
      <c r="I606" t="s" s="15">
        <v>111</v>
      </c>
      <c r="J606" t="s" s="15">
        <v>517</v>
      </c>
      <c r="K606" t="s" s="15">
        <v>113</v>
      </c>
      <c r="L606" t="s" s="15">
        <v>76</v>
      </c>
      <c r="M606" t="s" s="15">
        <v>2338</v>
      </c>
      <c r="N606" t="s" s="15">
        <v>2338</v>
      </c>
      <c r="O606" s="14"/>
      <c r="P606" t="s" s="15">
        <v>322</v>
      </c>
      <c r="Q606" t="s" s="15">
        <v>69</v>
      </c>
      <c r="R606" t="s" s="15">
        <v>83</v>
      </c>
      <c r="S606" s="14"/>
      <c r="T606" s="14"/>
      <c r="U606" s="14"/>
      <c r="V606" t="s" s="15">
        <v>69</v>
      </c>
      <c r="W606" s="14"/>
      <c r="X606" t="s" s="15">
        <v>69</v>
      </c>
      <c r="Y606" s="14"/>
      <c r="Z606" t="s" s="15">
        <v>76</v>
      </c>
      <c r="AA606" s="14"/>
      <c r="AB606" t="s" s="15">
        <v>76</v>
      </c>
      <c r="AC606" t="s" s="15">
        <v>2334</v>
      </c>
      <c r="AD606" t="s" s="15">
        <v>1320</v>
      </c>
      <c r="AE606" s="14"/>
      <c r="AF606" t="s" s="15">
        <v>2337</v>
      </c>
      <c r="AG606" t="s" s="15">
        <v>299</v>
      </c>
      <c r="AH606" t="s" s="15">
        <v>114</v>
      </c>
      <c r="AI606" t="s" s="15">
        <v>76</v>
      </c>
      <c r="AJ606" t="s" s="15">
        <v>76</v>
      </c>
      <c r="AK606" t="s" s="15">
        <v>79</v>
      </c>
      <c r="AL606" t="s" s="15">
        <v>293</v>
      </c>
      <c r="AM606" t="s" s="15">
        <v>294</v>
      </c>
      <c r="AN606" t="s" s="15">
        <v>187</v>
      </c>
      <c r="AO606" s="17">
        <v>2</v>
      </c>
      <c r="AP606" s="17">
        <v>8192</v>
      </c>
      <c r="AQ606" s="17">
        <v>264286</v>
      </c>
      <c r="AR606" s="17">
        <v>45517</v>
      </c>
      <c r="AS606" t="s" s="15">
        <v>1321</v>
      </c>
      <c r="AT606" t="s" s="15">
        <v>301</v>
      </c>
      <c r="AU606" s="14"/>
      <c r="AV606" s="14"/>
      <c r="AW606" s="14"/>
      <c r="AX606" s="14"/>
      <c r="AY606" s="14"/>
      <c r="AZ606" s="14"/>
      <c r="BA606" s="14"/>
      <c r="BB606" s="14"/>
      <c r="BC606" s="14"/>
      <c r="BD606" t="s" s="15">
        <v>366</v>
      </c>
      <c r="BE606" t="s" s="15">
        <v>489</v>
      </c>
      <c r="BF606" s="17">
        <v>2</v>
      </c>
      <c r="BG606" s="17">
        <v>8</v>
      </c>
      <c r="BH606" s="14"/>
      <c r="BI606" s="14"/>
      <c r="BJ606" s="14"/>
      <c r="BK606" s="14"/>
      <c r="BL606" s="14"/>
      <c r="BM606" s="14"/>
      <c r="BN606" t="s" s="15">
        <v>78</v>
      </c>
      <c r="BO606" s="16"/>
      <c r="BP606" s="8"/>
    </row>
    <row r="607" ht="13.55" customHeight="1">
      <c r="A607" t="s" s="9">
        <v>2339</v>
      </c>
      <c r="B607" s="11"/>
      <c r="C607" t="str" s="11" cm="1">
        <f t="array" ref="C607">_xlfn.IFERROR((VLOOKUP(A607,#REF!,2,FALSE)),"")</f>
      </c>
      <c r="D607" s="11"/>
      <c r="E607" t="s" s="10">
        <v>2340</v>
      </c>
      <c r="F607" s="11"/>
      <c r="G607" t="s" s="10">
        <v>2341</v>
      </c>
      <c r="H607" t="s" s="10">
        <v>2342</v>
      </c>
      <c r="I607" t="s" s="10">
        <v>111</v>
      </c>
      <c r="J607" t="s" s="10">
        <v>122</v>
      </c>
      <c r="K607" t="s" s="10">
        <v>113</v>
      </c>
      <c r="L607" t="s" s="10">
        <v>1445</v>
      </c>
      <c r="M607" t="s" s="10">
        <v>2341</v>
      </c>
      <c r="N607" t="s" s="10">
        <v>2341</v>
      </c>
      <c r="O607" t="s" s="10">
        <v>286</v>
      </c>
      <c r="P607" t="s" s="10">
        <v>122</v>
      </c>
      <c r="Q607" t="s" s="10">
        <v>78</v>
      </c>
      <c r="R607" t="s" s="10">
        <v>83</v>
      </c>
      <c r="S607" s="11"/>
      <c r="T607" s="11"/>
      <c r="U607" s="11"/>
      <c r="V607" t="s" s="10">
        <v>78</v>
      </c>
      <c r="W607" s="11"/>
      <c r="X607" t="s" s="10">
        <v>69</v>
      </c>
      <c r="Y607" s="11"/>
      <c r="Z607" t="s" s="10">
        <v>205</v>
      </c>
      <c r="AA607" s="11"/>
      <c r="AB607" t="s" s="10">
        <v>520</v>
      </c>
      <c r="AC607" s="11"/>
      <c r="AD607" s="11"/>
      <c r="AE607" s="11"/>
      <c r="AF607" s="11"/>
      <c r="AG607" t="s" s="10">
        <v>299</v>
      </c>
      <c r="AH607" t="s" s="10">
        <v>289</v>
      </c>
      <c r="AI607" t="s" s="10">
        <v>440</v>
      </c>
      <c r="AJ607" s="11"/>
      <c r="AK607" t="s" s="10">
        <v>83</v>
      </c>
      <c r="AL607" t="s" s="10">
        <v>293</v>
      </c>
      <c r="AM607" t="s" s="10">
        <v>294</v>
      </c>
      <c r="AN607" s="11"/>
      <c r="AO607" s="18">
        <v>4</v>
      </c>
      <c r="AP607" s="18">
        <v>4096</v>
      </c>
      <c r="AQ607" s="18">
        <v>138793</v>
      </c>
      <c r="AR607" s="18">
        <v>43208</v>
      </c>
      <c r="AS607" t="s" s="10">
        <v>2343</v>
      </c>
      <c r="AT607" t="s" s="10">
        <v>301</v>
      </c>
      <c r="AU607" s="11"/>
      <c r="AV607" s="11"/>
      <c r="AW607" t="s" s="10">
        <v>2344</v>
      </c>
      <c r="AX607" s="11"/>
      <c r="AY607" s="11"/>
      <c r="AZ607" s="11"/>
      <c r="BA607" s="11"/>
      <c r="BB607" s="11"/>
      <c r="BC607" s="11"/>
      <c r="BD607" s="11"/>
      <c r="BE607" s="11"/>
      <c r="BF607" s="11"/>
      <c r="BG607" s="11"/>
      <c r="BH607" s="11"/>
      <c r="BI607" s="11"/>
      <c r="BJ607" s="11"/>
      <c r="BK607" s="11"/>
      <c r="BL607" s="11"/>
      <c r="BM607" s="11"/>
      <c r="BN607" t="s" s="10">
        <v>69</v>
      </c>
      <c r="BO607" s="12"/>
      <c r="BP607" s="8"/>
    </row>
    <row r="608" ht="9" customHeight="1" hidden="1">
      <c r="A608" t="s" s="13">
        <v>2345</v>
      </c>
      <c r="B608" s="14"/>
      <c r="C608" t="str" s="14" cm="1">
        <f t="array" ref="C608">_xlfn.IFERROR((VLOOKUP(A608,#REF!,2,FALSE)),"")</f>
      </c>
      <c r="D608" s="14"/>
      <c r="E608" t="s" s="15">
        <v>195</v>
      </c>
      <c r="F608" s="14"/>
      <c r="G608" t="s" s="15">
        <v>2346</v>
      </c>
      <c r="H608" t="s" s="15">
        <v>550</v>
      </c>
      <c r="I608" t="s" s="15">
        <v>73</v>
      </c>
      <c r="J608" t="s" s="15">
        <v>74</v>
      </c>
      <c r="K608" t="s" s="15">
        <v>113</v>
      </c>
      <c r="L608" t="s" s="15">
        <v>518</v>
      </c>
      <c r="M608" t="s" s="15">
        <v>2346</v>
      </c>
      <c r="N608" t="s" s="15">
        <v>2346</v>
      </c>
      <c r="O608" t="s" s="15">
        <v>71</v>
      </c>
      <c r="P608" t="s" s="15">
        <v>122</v>
      </c>
      <c r="Q608" t="s" s="15">
        <v>69</v>
      </c>
      <c r="R608" t="s" s="15">
        <v>71</v>
      </c>
      <c r="S608" s="14"/>
      <c r="T608" s="14"/>
      <c r="U608" s="14"/>
      <c r="V608" t="s" s="15">
        <v>69</v>
      </c>
      <c r="W608" s="14"/>
      <c r="X608" t="s" s="15">
        <v>69</v>
      </c>
      <c r="Y608" s="14"/>
      <c r="Z608" t="s" s="15">
        <v>552</v>
      </c>
      <c r="AA608" s="14"/>
      <c r="AB608" t="s" s="15">
        <v>553</v>
      </c>
      <c r="AC608" t="s" s="15">
        <v>2345</v>
      </c>
      <c r="AD608" t="s" s="15">
        <v>2347</v>
      </c>
      <c r="AE608" s="14"/>
      <c r="AF608" s="14"/>
      <c r="AG608" t="s" s="15">
        <v>299</v>
      </c>
      <c r="AH608" t="s" s="15">
        <v>114</v>
      </c>
      <c r="AI608" t="s" s="15">
        <v>76</v>
      </c>
      <c r="AJ608" t="s" s="15">
        <v>76</v>
      </c>
      <c r="AK608" t="s" s="15">
        <v>79</v>
      </c>
      <c r="AL608" t="s" s="15">
        <v>293</v>
      </c>
      <c r="AM608" t="s" s="15">
        <v>196</v>
      </c>
      <c r="AN608" t="s" s="15">
        <v>128</v>
      </c>
      <c r="AO608" s="17">
        <v>8</v>
      </c>
      <c r="AP608" s="17">
        <v>16384</v>
      </c>
      <c r="AQ608" s="17">
        <v>170093</v>
      </c>
      <c r="AR608" s="17">
        <v>112950</v>
      </c>
      <c r="AS608" t="s" s="15">
        <v>2348</v>
      </c>
      <c r="AT608" t="s" s="15">
        <v>301</v>
      </c>
      <c r="AU608" s="14"/>
      <c r="AV608" s="14"/>
      <c r="AW608" s="14"/>
      <c r="AX608" s="14"/>
      <c r="AY608" s="14"/>
      <c r="AZ608" s="14"/>
      <c r="BA608" s="14"/>
      <c r="BB608" s="14"/>
      <c r="BC608" s="14"/>
      <c r="BD608" t="s" s="15">
        <v>310</v>
      </c>
      <c r="BE608" t="s" s="15">
        <v>311</v>
      </c>
      <c r="BF608" s="17">
        <v>8</v>
      </c>
      <c r="BG608" s="17">
        <v>16</v>
      </c>
      <c r="BH608" s="14"/>
      <c r="BI608" s="14"/>
      <c r="BJ608" s="14"/>
      <c r="BK608" s="14"/>
      <c r="BL608" s="14"/>
      <c r="BM608" s="14"/>
      <c r="BN608" s="14"/>
      <c r="BO608" s="16"/>
      <c r="BP608" s="8"/>
    </row>
    <row r="609" ht="9" customHeight="1" hidden="1">
      <c r="A609" t="s" s="9">
        <v>2349</v>
      </c>
      <c r="B609" s="11"/>
      <c r="C609" t="str" s="11" cm="1">
        <f t="array" ref="C609">_xlfn.IFERROR((VLOOKUP(A609,#REF!,2,FALSE)),"")</f>
      </c>
      <c r="D609" t="s" s="10">
        <v>70</v>
      </c>
      <c r="E609" t="s" s="10">
        <v>450</v>
      </c>
      <c r="F609" s="11"/>
      <c r="G609" t="s" s="10">
        <v>2350</v>
      </c>
      <c r="H609" t="s" s="10">
        <v>2350</v>
      </c>
      <c r="I609" t="s" s="10">
        <v>111</v>
      </c>
      <c r="J609" t="s" s="10">
        <v>122</v>
      </c>
      <c r="K609" t="s" s="10">
        <v>113</v>
      </c>
      <c r="L609" t="s" s="10">
        <v>76</v>
      </c>
      <c r="M609" t="s" s="10">
        <v>2350</v>
      </c>
      <c r="N609" t="s" s="10">
        <v>2350</v>
      </c>
      <c r="O609" s="11"/>
      <c r="P609" t="s" s="10">
        <v>122</v>
      </c>
      <c r="Q609" t="s" s="10">
        <v>69</v>
      </c>
      <c r="R609" t="s" s="10">
        <v>83</v>
      </c>
      <c r="S609" s="11"/>
      <c r="T609" s="11"/>
      <c r="U609" s="11"/>
      <c r="V609" t="s" s="10">
        <v>69</v>
      </c>
      <c r="W609" s="11"/>
      <c r="X609" t="s" s="10">
        <v>69</v>
      </c>
      <c r="Y609" s="11"/>
      <c r="Z609" t="s" s="10">
        <v>76</v>
      </c>
      <c r="AA609" s="11"/>
      <c r="AB609" t="s" s="10">
        <v>76</v>
      </c>
      <c r="AC609" t="s" s="10">
        <v>2349</v>
      </c>
      <c r="AD609" t="s" s="10">
        <v>2351</v>
      </c>
      <c r="AE609" s="11"/>
      <c r="AF609" s="11"/>
      <c r="AG609" t="s" s="10">
        <v>453</v>
      </c>
      <c r="AH609" t="s" s="10">
        <v>106</v>
      </c>
      <c r="AI609" t="s" s="10">
        <v>76</v>
      </c>
      <c r="AJ609" t="s" s="10">
        <v>76</v>
      </c>
      <c r="AK609" t="s" s="10">
        <v>79</v>
      </c>
      <c r="AL609" t="s" s="10">
        <v>293</v>
      </c>
      <c r="AM609" t="s" s="10">
        <v>294</v>
      </c>
      <c r="AN609" t="s" s="10">
        <v>187</v>
      </c>
      <c r="AO609" s="18">
        <v>16</v>
      </c>
      <c r="AP609" s="18">
        <v>32768</v>
      </c>
      <c r="AQ609" s="18">
        <v>2286160</v>
      </c>
      <c r="AR609" s="18">
        <v>2286160</v>
      </c>
      <c r="AS609" t="s" s="10">
        <v>2352</v>
      </c>
      <c r="AT609" s="11"/>
      <c r="AU609" s="11"/>
      <c r="AV609" s="11"/>
      <c r="AW609" s="11"/>
      <c r="AX609" s="11"/>
      <c r="AY609" s="11"/>
      <c r="AZ609" s="11"/>
      <c r="BA609" s="11"/>
      <c r="BB609" s="11"/>
      <c r="BC609" s="11"/>
      <c r="BD609" s="11"/>
      <c r="BE609" s="11"/>
      <c r="BF609" s="11"/>
      <c r="BG609" s="11"/>
      <c r="BH609" s="11"/>
      <c r="BI609" s="11"/>
      <c r="BJ609" s="11"/>
      <c r="BK609" s="11"/>
      <c r="BL609" s="11"/>
      <c r="BM609" s="11"/>
      <c r="BN609" t="s" s="10">
        <v>69</v>
      </c>
      <c r="BO609" s="12"/>
      <c r="BP609" s="8"/>
    </row>
    <row r="610" ht="9" customHeight="1" hidden="1">
      <c r="A610" t="s" s="13">
        <v>2353</v>
      </c>
      <c r="B610" s="14"/>
      <c r="C610" t="str" s="14" cm="1">
        <f t="array" ref="C610">_xlfn.IFERROR((VLOOKUP(A610,#REF!,2,FALSE)),"")</f>
      </c>
      <c r="D610" s="14"/>
      <c r="E610" t="s" s="15">
        <v>303</v>
      </c>
      <c r="F610" s="14"/>
      <c r="G610" t="s" s="15">
        <v>2354</v>
      </c>
      <c r="H610" t="s" s="15">
        <v>2354</v>
      </c>
      <c r="I610" t="s" s="15">
        <v>73</v>
      </c>
      <c r="J610" t="s" s="15">
        <v>74</v>
      </c>
      <c r="K610" t="s" s="15">
        <v>113</v>
      </c>
      <c r="L610" t="s" s="15">
        <v>76</v>
      </c>
      <c r="M610" t="s" s="15">
        <v>2354</v>
      </c>
      <c r="N610" t="s" s="15">
        <v>2354</v>
      </c>
      <c r="O610" t="s" s="15">
        <v>71</v>
      </c>
      <c r="P610" t="s" s="15">
        <v>74</v>
      </c>
      <c r="Q610" t="s" s="15">
        <v>78</v>
      </c>
      <c r="R610" t="s" s="15">
        <v>71</v>
      </c>
      <c r="S610" s="14"/>
      <c r="T610" s="14"/>
      <c r="U610" s="14"/>
      <c r="V610" t="s" s="15">
        <v>78</v>
      </c>
      <c r="W610" t="s" s="15">
        <v>2353</v>
      </c>
      <c r="X610" t="s" s="15">
        <v>69</v>
      </c>
      <c r="Y610" s="14"/>
      <c r="Z610" t="s" s="15">
        <v>76</v>
      </c>
      <c r="AA610" s="14"/>
      <c r="AB610" t="s" s="15">
        <v>76</v>
      </c>
      <c r="AC610" s="14"/>
      <c r="AD610" s="14"/>
      <c r="AE610" s="14"/>
      <c r="AF610" s="14"/>
      <c r="AG610" s="14"/>
      <c r="AH610" t="s" s="15">
        <v>106</v>
      </c>
      <c r="AI610" t="s" s="15">
        <v>76</v>
      </c>
      <c r="AJ610" t="s" s="15">
        <v>76</v>
      </c>
      <c r="AK610" t="s" s="15">
        <v>79</v>
      </c>
      <c r="AL610" s="14"/>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c r="BI610" s="14"/>
      <c r="BJ610" s="14"/>
      <c r="BK610" s="14"/>
      <c r="BL610" s="14"/>
      <c r="BM610" s="14"/>
      <c r="BN610" s="14"/>
      <c r="BO610" s="16"/>
      <c r="BP610" s="8"/>
    </row>
    <row r="611" ht="15" customHeight="1">
      <c r="A611" t="s" s="9">
        <v>2355</v>
      </c>
      <c r="B611" s="11"/>
      <c r="C611" t="str" s="11" cm="1">
        <f t="array" ref="C611">_xlfn.IFERROR((VLOOKUP(A611,#REF!,2,FALSE)),"")</f>
      </c>
      <c r="D611" s="11"/>
      <c r="E611" s="11"/>
      <c r="F611" s="11"/>
      <c r="G611" t="s" s="10">
        <v>2356</v>
      </c>
      <c r="H611" t="s" s="10">
        <v>714</v>
      </c>
      <c r="I611" t="s" s="10">
        <v>111</v>
      </c>
      <c r="J611" t="s" s="10">
        <v>122</v>
      </c>
      <c r="K611" t="s" s="10">
        <v>113</v>
      </c>
      <c r="L611" t="s" s="10">
        <v>76</v>
      </c>
      <c r="M611" t="s" s="10">
        <v>2356</v>
      </c>
      <c r="N611" t="s" s="10">
        <v>2356</v>
      </c>
      <c r="O611" s="11"/>
      <c r="P611" t="s" s="10">
        <v>122</v>
      </c>
      <c r="Q611" t="s" s="10">
        <v>69</v>
      </c>
      <c r="R611" t="s" s="10">
        <v>83</v>
      </c>
      <c r="S611" s="11"/>
      <c r="T611" s="11"/>
      <c r="U611" s="11"/>
      <c r="V611" t="s" s="10">
        <v>69</v>
      </c>
      <c r="W611" s="11"/>
      <c r="X611" t="s" s="10">
        <v>69</v>
      </c>
      <c r="Y611" s="11"/>
      <c r="Z611" t="s" s="10">
        <v>76</v>
      </c>
      <c r="AA611" s="11"/>
      <c r="AB611" t="s" s="10">
        <v>76</v>
      </c>
      <c r="AC611" t="s" s="10">
        <v>2355</v>
      </c>
      <c r="AD611" t="s" s="10">
        <v>2357</v>
      </c>
      <c r="AE611" s="11"/>
      <c r="AF611" s="11"/>
      <c r="AG611" t="s" s="10">
        <v>299</v>
      </c>
      <c r="AH611" t="s" s="10">
        <v>114</v>
      </c>
      <c r="AI611" t="s" s="10">
        <v>717</v>
      </c>
      <c r="AJ611" s="11"/>
      <c r="AK611" t="s" s="10">
        <v>83</v>
      </c>
      <c r="AL611" t="s" s="10">
        <v>293</v>
      </c>
      <c r="AM611" t="s" s="10">
        <v>294</v>
      </c>
      <c r="AN611" t="s" s="10">
        <v>187</v>
      </c>
      <c r="AO611" s="18">
        <v>24</v>
      </c>
      <c r="AP611" s="18">
        <v>32768</v>
      </c>
      <c r="AQ611" s="18">
        <v>237780</v>
      </c>
      <c r="AR611" s="18">
        <v>185450</v>
      </c>
      <c r="AS611" t="s" s="10">
        <v>2358</v>
      </c>
      <c r="AT611" t="s" s="10">
        <v>301</v>
      </c>
      <c r="AU611" s="11"/>
      <c r="AV611" s="11"/>
      <c r="AW611" s="11"/>
      <c r="AX611" s="11"/>
      <c r="AY611" s="11"/>
      <c r="AZ611" s="11"/>
      <c r="BA611" s="11"/>
      <c r="BB611" s="11"/>
      <c r="BC611" s="11"/>
      <c r="BD611" t="s" s="10">
        <v>310</v>
      </c>
      <c r="BE611" t="s" s="10">
        <v>1100</v>
      </c>
      <c r="BF611" s="18">
        <v>32</v>
      </c>
      <c r="BG611" s="18">
        <v>64</v>
      </c>
      <c r="BH611" s="11"/>
      <c r="BI611" s="11"/>
      <c r="BJ611" s="11"/>
      <c r="BK611" s="11"/>
      <c r="BL611" s="11"/>
      <c r="BM611" s="11"/>
      <c r="BN611" t="s" s="10">
        <v>69</v>
      </c>
      <c r="BO611" s="12"/>
      <c r="BP611" s="8"/>
    </row>
    <row r="612" ht="15" customHeight="1">
      <c r="A612" t="s" s="13">
        <v>2359</v>
      </c>
      <c r="B612" s="14"/>
      <c r="C612" t="str" s="14" cm="1">
        <f t="array" ref="C612">_xlfn.IFERROR((VLOOKUP(A612,#REF!,2,FALSE)),"")</f>
      </c>
      <c r="D612" s="14"/>
      <c r="E612" s="14"/>
      <c r="F612" s="14"/>
      <c r="G612" t="s" s="15">
        <v>2360</v>
      </c>
      <c r="H612" t="s" s="15">
        <v>714</v>
      </c>
      <c r="I612" t="s" s="15">
        <v>111</v>
      </c>
      <c r="J612" t="s" s="15">
        <v>122</v>
      </c>
      <c r="K612" t="s" s="15">
        <v>113</v>
      </c>
      <c r="L612" t="s" s="15">
        <v>76</v>
      </c>
      <c r="M612" t="s" s="15">
        <v>2360</v>
      </c>
      <c r="N612" t="s" s="15">
        <v>2360</v>
      </c>
      <c r="O612" s="14"/>
      <c r="P612" t="s" s="15">
        <v>122</v>
      </c>
      <c r="Q612" t="s" s="15">
        <v>69</v>
      </c>
      <c r="R612" t="s" s="15">
        <v>83</v>
      </c>
      <c r="S612" s="14"/>
      <c r="T612" s="14"/>
      <c r="U612" s="14"/>
      <c r="V612" t="s" s="15">
        <v>69</v>
      </c>
      <c r="W612" s="14"/>
      <c r="X612" t="s" s="15">
        <v>69</v>
      </c>
      <c r="Y612" s="14"/>
      <c r="Z612" t="s" s="15">
        <v>76</v>
      </c>
      <c r="AA612" s="14"/>
      <c r="AB612" t="s" s="15">
        <v>76</v>
      </c>
      <c r="AC612" t="s" s="15">
        <v>2359</v>
      </c>
      <c r="AD612" t="s" s="15">
        <v>2361</v>
      </c>
      <c r="AE612" s="14"/>
      <c r="AF612" s="14"/>
      <c r="AG612" t="s" s="15">
        <v>299</v>
      </c>
      <c r="AH612" t="s" s="15">
        <v>114</v>
      </c>
      <c r="AI612" t="s" s="15">
        <v>717</v>
      </c>
      <c r="AJ612" s="14"/>
      <c r="AK612" t="s" s="15">
        <v>83</v>
      </c>
      <c r="AL612" t="s" s="15">
        <v>293</v>
      </c>
      <c r="AM612" t="s" s="15">
        <v>294</v>
      </c>
      <c r="AN612" t="s" s="15">
        <v>187</v>
      </c>
      <c r="AO612" s="17">
        <v>16</v>
      </c>
      <c r="AP612" s="17">
        <v>32768</v>
      </c>
      <c r="AQ612" s="17">
        <v>237744</v>
      </c>
      <c r="AR612" s="17">
        <v>178133</v>
      </c>
      <c r="AS612" t="s" s="15">
        <v>2362</v>
      </c>
      <c r="AT612" t="s" s="15">
        <v>301</v>
      </c>
      <c r="AU612" s="14"/>
      <c r="AV612" s="14"/>
      <c r="AW612" s="14"/>
      <c r="AX612" s="14"/>
      <c r="AY612" s="14"/>
      <c r="AZ612" s="14"/>
      <c r="BA612" s="14"/>
      <c r="BB612" s="14"/>
      <c r="BC612" s="14"/>
      <c r="BD612" t="s" s="15">
        <v>310</v>
      </c>
      <c r="BE612" t="s" s="15">
        <v>2296</v>
      </c>
      <c r="BF612" s="17">
        <v>16</v>
      </c>
      <c r="BG612" s="17">
        <v>32</v>
      </c>
      <c r="BH612" s="14"/>
      <c r="BI612" s="14"/>
      <c r="BJ612" s="14"/>
      <c r="BK612" s="14"/>
      <c r="BL612" s="14"/>
      <c r="BM612" s="14"/>
      <c r="BN612" t="s" s="15">
        <v>69</v>
      </c>
      <c r="BO612" s="16"/>
      <c r="BP612" s="8"/>
    </row>
    <row r="613" ht="13.55" customHeight="1">
      <c r="A613" t="s" s="9">
        <v>2363</v>
      </c>
      <c r="B613" s="11"/>
      <c r="C613" t="str" s="11" cm="1">
        <f t="array" ref="C613">_xlfn.IFERROR((VLOOKUP(A613,#REF!,2,FALSE)),"")</f>
      </c>
      <c r="D613" s="11"/>
      <c r="E613" s="11"/>
      <c r="F613" s="11"/>
      <c r="G613" t="s" s="10">
        <v>2364</v>
      </c>
      <c r="H613" t="s" s="10">
        <v>714</v>
      </c>
      <c r="I613" t="s" s="10">
        <v>111</v>
      </c>
      <c r="J613" t="s" s="10">
        <v>122</v>
      </c>
      <c r="K613" t="s" s="10">
        <v>113</v>
      </c>
      <c r="L613" t="s" s="10">
        <v>76</v>
      </c>
      <c r="M613" t="s" s="10">
        <v>2364</v>
      </c>
      <c r="N613" t="s" s="10">
        <v>2364</v>
      </c>
      <c r="O613" s="11"/>
      <c r="P613" t="s" s="10">
        <v>122</v>
      </c>
      <c r="Q613" t="s" s="10">
        <v>69</v>
      </c>
      <c r="R613" t="s" s="10">
        <v>83</v>
      </c>
      <c r="S613" s="11"/>
      <c r="T613" s="11"/>
      <c r="U613" s="11"/>
      <c r="V613" t="s" s="10">
        <v>69</v>
      </c>
      <c r="W613" s="11"/>
      <c r="X613" t="s" s="10">
        <v>69</v>
      </c>
      <c r="Y613" s="11"/>
      <c r="Z613" t="s" s="10">
        <v>76</v>
      </c>
      <c r="AA613" s="11"/>
      <c r="AB613" t="s" s="10">
        <v>76</v>
      </c>
      <c r="AC613" t="s" s="10">
        <v>2363</v>
      </c>
      <c r="AD613" t="s" s="10">
        <v>2365</v>
      </c>
      <c r="AE613" s="11"/>
      <c r="AF613" s="11"/>
      <c r="AG613" t="s" s="10">
        <v>299</v>
      </c>
      <c r="AH613" t="s" s="10">
        <v>114</v>
      </c>
      <c r="AI613" t="s" s="10">
        <v>717</v>
      </c>
      <c r="AJ613" s="11"/>
      <c r="AK613" t="s" s="10">
        <v>83</v>
      </c>
      <c r="AL613" t="s" s="10">
        <v>293</v>
      </c>
      <c r="AM613" t="s" s="10">
        <v>294</v>
      </c>
      <c r="AN613" t="s" s="10">
        <v>187</v>
      </c>
      <c r="AO613" s="18">
        <v>16</v>
      </c>
      <c r="AP613" s="18">
        <v>32768</v>
      </c>
      <c r="AQ613" s="18">
        <v>237720</v>
      </c>
      <c r="AR613" s="18">
        <v>212988</v>
      </c>
      <c r="AS613" t="s" s="10">
        <v>2366</v>
      </c>
      <c r="AT613" t="s" s="10">
        <v>301</v>
      </c>
      <c r="AU613" s="11"/>
      <c r="AV613" s="11"/>
      <c r="AW613" s="11"/>
      <c r="AX613" s="11"/>
      <c r="AY613" s="11"/>
      <c r="AZ613" s="11"/>
      <c r="BA613" s="11"/>
      <c r="BB613" s="11"/>
      <c r="BC613" s="11"/>
      <c r="BD613" t="s" s="10">
        <v>310</v>
      </c>
      <c r="BE613" t="s" s="10">
        <v>2296</v>
      </c>
      <c r="BF613" s="18">
        <v>16</v>
      </c>
      <c r="BG613" s="18">
        <v>32</v>
      </c>
      <c r="BH613" s="11"/>
      <c r="BI613" s="11"/>
      <c r="BJ613" s="11"/>
      <c r="BK613" s="11"/>
      <c r="BL613" s="11"/>
      <c r="BM613" s="11"/>
      <c r="BN613" t="s" s="10">
        <v>69</v>
      </c>
      <c r="BO613" s="12"/>
      <c r="BP613" s="8"/>
    </row>
    <row r="614" ht="9" customHeight="1" hidden="1">
      <c r="A614" t="s" s="13">
        <v>2367</v>
      </c>
      <c r="B614" s="14"/>
      <c r="C614" t="str" s="14" cm="1">
        <f t="array" ref="C614">_xlfn.IFERROR((VLOOKUP(A614,#REF!,2,FALSE)),"")</f>
      </c>
      <c r="D614" s="14"/>
      <c r="E614" s="14"/>
      <c r="F614" s="14"/>
      <c r="G614" t="s" s="15">
        <v>2368</v>
      </c>
      <c r="H614" t="s" s="15">
        <v>2368</v>
      </c>
      <c r="I614" t="s" s="15">
        <v>73</v>
      </c>
      <c r="J614" t="s" s="15">
        <v>74</v>
      </c>
      <c r="K614" t="s" s="15">
        <v>113</v>
      </c>
      <c r="L614" t="s" s="15">
        <v>76</v>
      </c>
      <c r="M614" t="s" s="15">
        <v>2368</v>
      </c>
      <c r="N614" t="s" s="15">
        <v>2368</v>
      </c>
      <c r="O614" t="s" s="15">
        <v>71</v>
      </c>
      <c r="P614" t="s" s="15">
        <v>122</v>
      </c>
      <c r="Q614" t="s" s="15">
        <v>78</v>
      </c>
      <c r="R614" t="s" s="15">
        <v>339</v>
      </c>
      <c r="S614" s="14"/>
      <c r="T614" s="14"/>
      <c r="U614" s="14"/>
      <c r="V614" t="s" s="15">
        <v>78</v>
      </c>
      <c r="W614" t="s" s="15">
        <v>2369</v>
      </c>
      <c r="X614" t="s" s="15">
        <v>69</v>
      </c>
      <c r="Y614" s="14"/>
      <c r="Z614" t="s" s="15">
        <v>76</v>
      </c>
      <c r="AA614" s="14"/>
      <c r="AB614" t="s" s="15">
        <v>76</v>
      </c>
      <c r="AC614" s="14"/>
      <c r="AD614" s="14"/>
      <c r="AE614" s="14"/>
      <c r="AF614" s="14"/>
      <c r="AG614" t="s" s="15">
        <v>299</v>
      </c>
      <c r="AH614" t="s" s="15">
        <v>106</v>
      </c>
      <c r="AI614" t="s" s="15">
        <v>76</v>
      </c>
      <c r="AJ614" t="s" s="15">
        <v>76</v>
      </c>
      <c r="AK614" t="s" s="15">
        <v>79</v>
      </c>
      <c r="AL614" t="s" s="15">
        <v>293</v>
      </c>
      <c r="AM614" t="s" s="15">
        <v>294</v>
      </c>
      <c r="AN614" s="14"/>
      <c r="AO614" s="17">
        <v>4</v>
      </c>
      <c r="AP614" s="17">
        <v>16384</v>
      </c>
      <c r="AQ614" s="17">
        <v>159848</v>
      </c>
      <c r="AR614" s="17">
        <v>159848</v>
      </c>
      <c r="AS614" t="s" s="15">
        <v>2370</v>
      </c>
      <c r="AT614" t="s" s="15">
        <v>301</v>
      </c>
      <c r="AU614" s="14"/>
      <c r="AV614" s="14"/>
      <c r="AW614" s="14"/>
      <c r="AX614" s="14"/>
      <c r="AY614" s="14"/>
      <c r="AZ614" s="14"/>
      <c r="BA614" s="14"/>
      <c r="BB614" s="14"/>
      <c r="BC614" s="14"/>
      <c r="BD614" s="14"/>
      <c r="BE614" s="14"/>
      <c r="BF614" s="14"/>
      <c r="BG614" s="14"/>
      <c r="BH614" s="14"/>
      <c r="BI614" s="14"/>
      <c r="BJ614" s="14"/>
      <c r="BK614" s="14"/>
      <c r="BL614" s="14"/>
      <c r="BM614" s="14"/>
      <c r="BN614" s="14"/>
      <c r="BO614" s="16"/>
      <c r="BP614" s="8"/>
    </row>
    <row r="615" ht="15" customHeight="1" hidden="1">
      <c r="A615" t="s" s="9">
        <v>2371</v>
      </c>
      <c r="B615" s="11"/>
      <c r="C615" t="str" s="11" cm="1">
        <f t="array" ref="C615">_xlfn.IFERROR((VLOOKUP(A615,#REF!,2,FALSE)),"")</f>
      </c>
      <c r="D615" s="11"/>
      <c r="E615" s="11"/>
      <c r="F615" s="11"/>
      <c r="G615" t="s" s="10">
        <v>2372</v>
      </c>
      <c r="H615" t="s" s="10">
        <v>714</v>
      </c>
      <c r="I615" t="s" s="10">
        <v>111</v>
      </c>
      <c r="J615" t="s" s="10">
        <v>322</v>
      </c>
      <c r="K615" t="s" s="10">
        <v>113</v>
      </c>
      <c r="L615" t="s" s="10">
        <v>76</v>
      </c>
      <c r="M615" t="s" s="10">
        <v>2373</v>
      </c>
      <c r="N615" t="s" s="10">
        <v>2373</v>
      </c>
      <c r="O615" s="11"/>
      <c r="P615" t="s" s="10">
        <v>122</v>
      </c>
      <c r="Q615" t="s" s="10">
        <v>69</v>
      </c>
      <c r="R615" t="s" s="10">
        <v>83</v>
      </c>
      <c r="S615" s="11"/>
      <c r="T615" s="11"/>
      <c r="U615" s="11"/>
      <c r="V615" t="s" s="10">
        <v>69</v>
      </c>
      <c r="W615" s="11"/>
      <c r="X615" t="s" s="10">
        <v>69</v>
      </c>
      <c r="Y615" s="11"/>
      <c r="Z615" t="s" s="10">
        <v>76</v>
      </c>
      <c r="AA615" s="11"/>
      <c r="AB615" t="s" s="10">
        <v>76</v>
      </c>
      <c r="AC615" s="11"/>
      <c r="AD615" s="11"/>
      <c r="AE615" s="11"/>
      <c r="AF615" s="11"/>
      <c r="AG615" t="s" s="10">
        <v>299</v>
      </c>
      <c r="AH615" t="s" s="10">
        <v>114</v>
      </c>
      <c r="AI615" t="s" s="10">
        <v>717</v>
      </c>
      <c r="AJ615" s="11"/>
      <c r="AK615" t="s" s="10">
        <v>83</v>
      </c>
      <c r="AL615" t="s" s="10">
        <v>293</v>
      </c>
      <c r="AM615" t="s" s="10">
        <v>294</v>
      </c>
      <c r="AN615" t="s" s="10">
        <v>1730</v>
      </c>
      <c r="AO615" s="18">
        <v>4</v>
      </c>
      <c r="AP615" s="18">
        <v>4096</v>
      </c>
      <c r="AQ615" s="18">
        <v>208997</v>
      </c>
      <c r="AR615" s="18">
        <v>34015</v>
      </c>
      <c r="AS615" t="s" s="10">
        <v>2374</v>
      </c>
      <c r="AT615" t="s" s="10">
        <v>301</v>
      </c>
      <c r="AU615" s="11"/>
      <c r="AV615" s="11"/>
      <c r="AW615" s="11"/>
      <c r="AX615" s="11"/>
      <c r="AY615" s="11"/>
      <c r="AZ615" s="11"/>
      <c r="BA615" s="11"/>
      <c r="BB615" s="11"/>
      <c r="BC615" s="11"/>
      <c r="BD615" t="s" s="10">
        <v>310</v>
      </c>
      <c r="BE615" t="s" s="10">
        <v>356</v>
      </c>
      <c r="BF615" s="18">
        <v>4</v>
      </c>
      <c r="BG615" s="18">
        <v>8</v>
      </c>
      <c r="BH615" s="11"/>
      <c r="BI615" s="11"/>
      <c r="BJ615" s="11"/>
      <c r="BK615" s="11"/>
      <c r="BL615" s="11"/>
      <c r="BM615" s="11"/>
      <c r="BN615" t="s" s="10">
        <v>78</v>
      </c>
      <c r="BO615" s="12"/>
      <c r="BP615" s="8"/>
    </row>
    <row r="616" ht="15" customHeight="1" hidden="1">
      <c r="A616" t="s" s="13">
        <v>2375</v>
      </c>
      <c r="B616" s="14"/>
      <c r="C616" t="str" s="14" cm="1">
        <f t="array" ref="C616">_xlfn.IFERROR((VLOOKUP(A616,#REF!,2,FALSE)),"")</f>
      </c>
      <c r="D616" s="14"/>
      <c r="E616" s="14"/>
      <c r="F616" s="14"/>
      <c r="G616" t="s" s="15">
        <v>2376</v>
      </c>
      <c r="H616" t="s" s="15">
        <v>714</v>
      </c>
      <c r="I616" t="s" s="15">
        <v>111</v>
      </c>
      <c r="J616" t="s" s="15">
        <v>517</v>
      </c>
      <c r="K616" t="s" s="15">
        <v>113</v>
      </c>
      <c r="L616" t="s" s="15">
        <v>76</v>
      </c>
      <c r="M616" t="s" s="15">
        <v>2377</v>
      </c>
      <c r="N616" t="s" s="15">
        <v>2377</v>
      </c>
      <c r="O616" s="14"/>
      <c r="P616" t="s" s="15">
        <v>122</v>
      </c>
      <c r="Q616" t="s" s="15">
        <v>69</v>
      </c>
      <c r="R616" t="s" s="15">
        <v>83</v>
      </c>
      <c r="S616" s="14"/>
      <c r="T616" s="14"/>
      <c r="U616" s="14"/>
      <c r="V616" t="s" s="15">
        <v>69</v>
      </c>
      <c r="W616" s="14"/>
      <c r="X616" t="s" s="15">
        <v>69</v>
      </c>
      <c r="Y616" s="14"/>
      <c r="Z616" t="s" s="15">
        <v>76</v>
      </c>
      <c r="AA616" s="14"/>
      <c r="AB616" t="s" s="15">
        <v>76</v>
      </c>
      <c r="AC616" s="14"/>
      <c r="AD616" s="14"/>
      <c r="AE616" s="14"/>
      <c r="AF616" s="14"/>
      <c r="AG616" t="s" s="15">
        <v>299</v>
      </c>
      <c r="AH616" t="s" s="15">
        <v>114</v>
      </c>
      <c r="AI616" t="s" s="15">
        <v>717</v>
      </c>
      <c r="AJ616" s="14"/>
      <c r="AK616" t="s" s="15">
        <v>83</v>
      </c>
      <c r="AL616" t="s" s="15">
        <v>293</v>
      </c>
      <c r="AM616" t="s" s="15">
        <v>294</v>
      </c>
      <c r="AN616" t="s" s="15">
        <v>2378</v>
      </c>
      <c r="AO616" s="17">
        <v>4</v>
      </c>
      <c r="AP616" s="17">
        <v>4096</v>
      </c>
      <c r="AQ616" s="17">
        <v>208982</v>
      </c>
      <c r="AR616" s="17">
        <v>63463</v>
      </c>
      <c r="AS616" t="s" s="15">
        <v>2379</v>
      </c>
      <c r="AT616" t="s" s="15">
        <v>301</v>
      </c>
      <c r="AU616" s="14"/>
      <c r="AV616" s="14"/>
      <c r="AW616" s="14"/>
      <c r="AX616" s="14"/>
      <c r="AY616" s="14"/>
      <c r="AZ616" s="14"/>
      <c r="BA616" s="14"/>
      <c r="BB616" s="14"/>
      <c r="BC616" s="14"/>
      <c r="BD616" t="s" s="15">
        <v>310</v>
      </c>
      <c r="BE616" t="s" s="15">
        <v>356</v>
      </c>
      <c r="BF616" s="17">
        <v>4</v>
      </c>
      <c r="BG616" s="17">
        <v>8</v>
      </c>
      <c r="BH616" s="14"/>
      <c r="BI616" s="14"/>
      <c r="BJ616" s="14"/>
      <c r="BK616" s="14"/>
      <c r="BL616" s="14"/>
      <c r="BM616" s="14"/>
      <c r="BN616" t="s" s="15">
        <v>78</v>
      </c>
      <c r="BO616" s="16"/>
      <c r="BP616" s="8"/>
    </row>
    <row r="617" ht="15" customHeight="1" hidden="1">
      <c r="A617" t="s" s="9">
        <v>2380</v>
      </c>
      <c r="B617" s="11"/>
      <c r="C617" t="str" s="11" cm="1">
        <f t="array" ref="C617">_xlfn.IFERROR((VLOOKUP(A617,#REF!,2,FALSE)),"")</f>
      </c>
      <c r="D617" t="s" s="10">
        <v>70</v>
      </c>
      <c r="E617" t="s" s="10">
        <v>450</v>
      </c>
      <c r="F617" s="11"/>
      <c r="G617" t="s" s="10">
        <v>2381</v>
      </c>
      <c r="H617" t="s" s="10">
        <v>1486</v>
      </c>
      <c r="I617" t="s" s="10">
        <v>111</v>
      </c>
      <c r="J617" t="s" s="10">
        <v>469</v>
      </c>
      <c r="K617" t="s" s="10">
        <v>113</v>
      </c>
      <c r="L617" t="s" s="10">
        <v>76</v>
      </c>
      <c r="M617" t="s" s="10">
        <v>2381</v>
      </c>
      <c r="N617" t="s" s="10">
        <v>2381</v>
      </c>
      <c r="O617" s="11"/>
      <c r="P617" t="s" s="10">
        <v>469</v>
      </c>
      <c r="Q617" t="s" s="10">
        <v>78</v>
      </c>
      <c r="R617" t="s" s="10">
        <v>83</v>
      </c>
      <c r="S617" s="11"/>
      <c r="T617" s="11"/>
      <c r="U617" s="11"/>
      <c r="V617" t="s" s="10">
        <v>69</v>
      </c>
      <c r="W617" s="11"/>
      <c r="X617" t="s" s="10">
        <v>69</v>
      </c>
      <c r="Y617" s="11"/>
      <c r="Z617" t="s" s="10">
        <v>76</v>
      </c>
      <c r="AA617" s="11"/>
      <c r="AB617" t="s" s="10">
        <v>76</v>
      </c>
      <c r="AC617" s="11"/>
      <c r="AD617" s="11"/>
      <c r="AE617" s="11"/>
      <c r="AF617" s="11"/>
      <c r="AG617" t="s" s="10">
        <v>453</v>
      </c>
      <c r="AH617" t="s" s="10">
        <v>114</v>
      </c>
      <c r="AI617" t="s" s="10">
        <v>717</v>
      </c>
      <c r="AJ617" s="11"/>
      <c r="AK617" t="s" s="10">
        <v>292</v>
      </c>
      <c r="AL617" t="s" s="10">
        <v>293</v>
      </c>
      <c r="AM617" t="s" s="10">
        <v>294</v>
      </c>
      <c r="AN617" t="s" s="10">
        <v>1681</v>
      </c>
      <c r="AO617" s="18">
        <v>4</v>
      </c>
      <c r="AP617" s="18">
        <v>16384</v>
      </c>
      <c r="AQ617" s="18">
        <v>88752</v>
      </c>
      <c r="AR617" s="18">
        <v>37869</v>
      </c>
      <c r="AS617" t="s" s="10">
        <v>2382</v>
      </c>
      <c r="AT617" s="11"/>
      <c r="AU617" s="11"/>
      <c r="AV617" s="11"/>
      <c r="AW617" s="11"/>
      <c r="AX617" s="11"/>
      <c r="AY617" s="11"/>
      <c r="AZ617" s="11"/>
      <c r="BA617" s="11"/>
      <c r="BB617" s="11"/>
      <c r="BC617" s="11"/>
      <c r="BD617" t="s" s="10">
        <v>366</v>
      </c>
      <c r="BE617" t="s" s="10">
        <v>394</v>
      </c>
      <c r="BF617" s="18">
        <v>4</v>
      </c>
      <c r="BG617" s="18">
        <v>16</v>
      </c>
      <c r="BH617" s="11"/>
      <c r="BI617" s="11"/>
      <c r="BJ617" s="11"/>
      <c r="BK617" s="11"/>
      <c r="BL617" s="11"/>
      <c r="BM617" s="11"/>
      <c r="BN617" t="s" s="10">
        <v>78</v>
      </c>
      <c r="BO617" s="12"/>
      <c r="BP617" s="8"/>
    </row>
    <row r="618" ht="15" customHeight="1" hidden="1">
      <c r="A618" t="s" s="13">
        <v>2383</v>
      </c>
      <c r="B618" s="14"/>
      <c r="C618" t="str" s="14" cm="1">
        <f t="array" ref="C618">_xlfn.IFERROR((VLOOKUP(A618,#REF!,2,FALSE)),"")</f>
      </c>
      <c r="D618" t="s" s="15">
        <v>70</v>
      </c>
      <c r="E618" t="s" s="15">
        <v>450</v>
      </c>
      <c r="F618" s="14"/>
      <c r="G618" t="s" s="15">
        <v>2384</v>
      </c>
      <c r="H618" t="s" s="15">
        <v>1486</v>
      </c>
      <c r="I618" t="s" s="15">
        <v>111</v>
      </c>
      <c r="J618" t="s" s="15">
        <v>469</v>
      </c>
      <c r="K618" t="s" s="15">
        <v>113</v>
      </c>
      <c r="L618" t="s" s="15">
        <v>76</v>
      </c>
      <c r="M618" t="s" s="15">
        <v>2384</v>
      </c>
      <c r="N618" t="s" s="15">
        <v>2384</v>
      </c>
      <c r="O618" s="14"/>
      <c r="P618" t="s" s="15">
        <v>469</v>
      </c>
      <c r="Q618" t="s" s="15">
        <v>78</v>
      </c>
      <c r="R618" t="s" s="15">
        <v>83</v>
      </c>
      <c r="S618" s="14"/>
      <c r="T618" s="14"/>
      <c r="U618" s="14"/>
      <c r="V618" t="s" s="15">
        <v>69</v>
      </c>
      <c r="W618" s="14"/>
      <c r="X618" t="s" s="15">
        <v>69</v>
      </c>
      <c r="Y618" s="14"/>
      <c r="Z618" t="s" s="15">
        <v>76</v>
      </c>
      <c r="AA618" s="14"/>
      <c r="AB618" t="s" s="15">
        <v>76</v>
      </c>
      <c r="AC618" s="14"/>
      <c r="AD618" s="14"/>
      <c r="AE618" s="14"/>
      <c r="AF618" s="14"/>
      <c r="AG618" t="s" s="15">
        <v>453</v>
      </c>
      <c r="AH618" t="s" s="15">
        <v>114</v>
      </c>
      <c r="AI618" t="s" s="15">
        <v>717</v>
      </c>
      <c r="AJ618" s="14"/>
      <c r="AK618" t="s" s="15">
        <v>292</v>
      </c>
      <c r="AL618" t="s" s="15">
        <v>293</v>
      </c>
      <c r="AM618" t="s" s="15">
        <v>294</v>
      </c>
      <c r="AN618" t="s" s="15">
        <v>1640</v>
      </c>
      <c r="AO618" s="17">
        <v>4</v>
      </c>
      <c r="AP618" s="17">
        <v>32768</v>
      </c>
      <c r="AQ618" s="17">
        <v>105181</v>
      </c>
      <c r="AR618" s="17">
        <v>53682</v>
      </c>
      <c r="AS618" t="s" s="15">
        <v>2385</v>
      </c>
      <c r="AT618" s="14"/>
      <c r="AU618" s="14"/>
      <c r="AV618" s="14"/>
      <c r="AW618" s="14"/>
      <c r="AX618" s="14"/>
      <c r="AY618" s="14"/>
      <c r="AZ618" s="14"/>
      <c r="BA618" s="14"/>
      <c r="BB618" s="14"/>
      <c r="BC618" s="14"/>
      <c r="BD618" t="s" s="15">
        <v>428</v>
      </c>
      <c r="BE618" t="s" s="15">
        <v>1482</v>
      </c>
      <c r="BF618" s="17">
        <v>4</v>
      </c>
      <c r="BG618" s="17">
        <v>32</v>
      </c>
      <c r="BH618" s="14"/>
      <c r="BI618" s="14"/>
      <c r="BJ618" s="14"/>
      <c r="BK618" s="14"/>
      <c r="BL618" s="14"/>
      <c r="BM618" s="14"/>
      <c r="BN618" t="s" s="15">
        <v>78</v>
      </c>
      <c r="BO618" s="16"/>
      <c r="BP618" s="8"/>
    </row>
    <row r="619" ht="15" customHeight="1" hidden="1">
      <c r="A619" t="s" s="9">
        <v>2386</v>
      </c>
      <c r="B619" s="11"/>
      <c r="C619" t="str" s="11" cm="1">
        <f t="array" ref="C619">_xlfn.IFERROR((VLOOKUP(A619,#REF!,2,FALSE)),"")</f>
      </c>
      <c r="D619" t="s" s="10">
        <v>70</v>
      </c>
      <c r="E619" t="s" s="10">
        <v>450</v>
      </c>
      <c r="F619" s="11"/>
      <c r="G619" t="s" s="10">
        <v>2387</v>
      </c>
      <c r="H619" t="s" s="10">
        <v>1486</v>
      </c>
      <c r="I619" t="s" s="10">
        <v>111</v>
      </c>
      <c r="J619" t="s" s="10">
        <v>469</v>
      </c>
      <c r="K619" t="s" s="10">
        <v>113</v>
      </c>
      <c r="L619" t="s" s="10">
        <v>76</v>
      </c>
      <c r="M619" t="s" s="10">
        <v>2387</v>
      </c>
      <c r="N619" t="s" s="10">
        <v>2387</v>
      </c>
      <c r="O619" s="11"/>
      <c r="P619" t="s" s="10">
        <v>469</v>
      </c>
      <c r="Q619" t="s" s="10">
        <v>78</v>
      </c>
      <c r="R619" t="s" s="10">
        <v>83</v>
      </c>
      <c r="S619" s="11"/>
      <c r="T619" s="11"/>
      <c r="U619" s="11"/>
      <c r="V619" t="s" s="10">
        <v>69</v>
      </c>
      <c r="W619" s="11"/>
      <c r="X619" t="s" s="10">
        <v>69</v>
      </c>
      <c r="Y619" s="11"/>
      <c r="Z619" t="s" s="10">
        <v>76</v>
      </c>
      <c r="AA619" s="11"/>
      <c r="AB619" t="s" s="10">
        <v>76</v>
      </c>
      <c r="AC619" s="11"/>
      <c r="AD619" s="11"/>
      <c r="AE619" s="11"/>
      <c r="AF619" s="11"/>
      <c r="AG619" t="s" s="10">
        <v>453</v>
      </c>
      <c r="AH619" t="s" s="10">
        <v>114</v>
      </c>
      <c r="AI619" t="s" s="10">
        <v>717</v>
      </c>
      <c r="AJ619" s="11"/>
      <c r="AK619" t="s" s="10">
        <v>292</v>
      </c>
      <c r="AL619" t="s" s="10">
        <v>293</v>
      </c>
      <c r="AM619" t="s" s="10">
        <v>294</v>
      </c>
      <c r="AN619" t="s" s="10">
        <v>1640</v>
      </c>
      <c r="AO619" s="18">
        <v>4</v>
      </c>
      <c r="AP619" s="18">
        <v>16384</v>
      </c>
      <c r="AQ619" s="18">
        <v>88796</v>
      </c>
      <c r="AR619" s="18">
        <v>36059</v>
      </c>
      <c r="AS619" t="s" s="10">
        <v>2388</v>
      </c>
      <c r="AT619" s="11"/>
      <c r="AU619" s="11"/>
      <c r="AV619" s="11"/>
      <c r="AW619" s="11"/>
      <c r="AX619" s="11"/>
      <c r="AY619" s="11"/>
      <c r="AZ619" s="11"/>
      <c r="BA619" s="11"/>
      <c r="BB619" s="11"/>
      <c r="BC619" s="11"/>
      <c r="BD619" t="s" s="10">
        <v>366</v>
      </c>
      <c r="BE619" t="s" s="10">
        <v>394</v>
      </c>
      <c r="BF619" s="18">
        <v>4</v>
      </c>
      <c r="BG619" s="18">
        <v>16</v>
      </c>
      <c r="BH619" s="11"/>
      <c r="BI619" s="11"/>
      <c r="BJ619" s="11"/>
      <c r="BK619" s="11"/>
      <c r="BL619" s="11"/>
      <c r="BM619" s="11"/>
      <c r="BN619" t="s" s="10">
        <v>78</v>
      </c>
      <c r="BO619" s="12"/>
      <c r="BP619" s="8"/>
    </row>
    <row r="620" ht="9" customHeight="1" hidden="1">
      <c r="A620" t="s" s="13">
        <v>2389</v>
      </c>
      <c r="B620" s="14"/>
      <c r="C620" t="str" s="14" cm="1">
        <f t="array" ref="C620">_xlfn.IFERROR((VLOOKUP(A620,#REF!,2,FALSE)),"")</f>
      </c>
      <c r="D620" s="14"/>
      <c r="E620" s="14"/>
      <c r="F620" s="14"/>
      <c r="G620" t="s" s="15">
        <v>2390</v>
      </c>
      <c r="H620" t="s" s="15">
        <v>2391</v>
      </c>
      <c r="I620" t="s" s="15">
        <v>111</v>
      </c>
      <c r="J620" t="s" s="15">
        <v>122</v>
      </c>
      <c r="K620" t="s" s="15">
        <v>210</v>
      </c>
      <c r="L620" t="s" s="15">
        <v>76</v>
      </c>
      <c r="M620" t="s" s="15">
        <v>2390</v>
      </c>
      <c r="N620" t="s" s="15">
        <v>2390</v>
      </c>
      <c r="O620" s="14"/>
      <c r="P620" t="s" s="15">
        <v>122</v>
      </c>
      <c r="Q620" t="s" s="15">
        <v>69</v>
      </c>
      <c r="R620" t="s" s="15">
        <v>83</v>
      </c>
      <c r="S620" s="14"/>
      <c r="T620" s="14"/>
      <c r="U620" s="14"/>
      <c r="V620" t="s" s="15">
        <v>69</v>
      </c>
      <c r="W620" s="14"/>
      <c r="X620" t="s" s="15">
        <v>69</v>
      </c>
      <c r="Y620" s="14"/>
      <c r="Z620" t="s" s="15">
        <v>76</v>
      </c>
      <c r="AA620" s="14"/>
      <c r="AB620" t="s" s="15">
        <v>76</v>
      </c>
      <c r="AC620" t="s" s="15">
        <v>2389</v>
      </c>
      <c r="AD620" t="s" s="15">
        <v>2392</v>
      </c>
      <c r="AE620" s="14"/>
      <c r="AF620" s="14"/>
      <c r="AG620" t="s" s="15">
        <v>299</v>
      </c>
      <c r="AH620" t="s" s="15">
        <v>106</v>
      </c>
      <c r="AI620" t="s" s="15">
        <v>76</v>
      </c>
      <c r="AJ620" t="s" s="15">
        <v>76</v>
      </c>
      <c r="AK620" t="s" s="15">
        <v>79</v>
      </c>
      <c r="AL620" t="s" s="15">
        <v>293</v>
      </c>
      <c r="AM620" t="s" s="15">
        <v>294</v>
      </c>
      <c r="AN620" t="s" s="15">
        <v>187</v>
      </c>
      <c r="AO620" s="17">
        <v>4</v>
      </c>
      <c r="AP620" s="17">
        <v>16384</v>
      </c>
      <c r="AQ620" s="17">
        <v>323861</v>
      </c>
      <c r="AR620" s="17">
        <v>91441</v>
      </c>
      <c r="AS620" t="s" s="15">
        <v>2393</v>
      </c>
      <c r="AT620" t="s" s="15">
        <v>301</v>
      </c>
      <c r="AU620" s="14"/>
      <c r="AV620" s="14"/>
      <c r="AW620" s="14"/>
      <c r="AX620" s="14"/>
      <c r="AY620" s="14"/>
      <c r="AZ620" s="14"/>
      <c r="BA620" s="14"/>
      <c r="BB620" s="14"/>
      <c r="BC620" s="14"/>
      <c r="BD620" s="14"/>
      <c r="BE620" s="14"/>
      <c r="BF620" s="14"/>
      <c r="BG620" s="14"/>
      <c r="BH620" s="14"/>
      <c r="BI620" s="14"/>
      <c r="BJ620" s="14"/>
      <c r="BK620" s="14"/>
      <c r="BL620" s="14"/>
      <c r="BM620" s="14"/>
      <c r="BN620" t="s" s="15">
        <v>78</v>
      </c>
      <c r="BO620" s="16"/>
      <c r="BP620" s="8"/>
    </row>
    <row r="621" ht="15" customHeight="1" hidden="1">
      <c r="A621" t="s" s="9">
        <v>2394</v>
      </c>
      <c r="B621" s="11"/>
      <c r="C621" t="str" s="11" cm="1">
        <f t="array" ref="C621">_xlfn.IFERROR((VLOOKUP(A621,#REF!,2,FALSE)),"")</f>
      </c>
      <c r="D621" s="11"/>
      <c r="E621" t="s" s="10">
        <v>2258</v>
      </c>
      <c r="F621" s="11"/>
      <c r="G621" t="s" s="10">
        <v>2395</v>
      </c>
      <c r="H621" t="s" s="10">
        <v>2260</v>
      </c>
      <c r="I621" t="s" s="10">
        <v>111</v>
      </c>
      <c r="J621" t="s" s="10">
        <v>122</v>
      </c>
      <c r="K621" s="11"/>
      <c r="L621" t="s" s="10">
        <v>83</v>
      </c>
      <c r="M621" s="11"/>
      <c r="N621" s="11"/>
      <c r="O621" t="s" s="10">
        <v>286</v>
      </c>
      <c r="P621" s="11"/>
      <c r="Q621" s="11"/>
      <c r="R621" t="s" s="10">
        <v>76</v>
      </c>
      <c r="S621" s="11"/>
      <c r="T621" s="11"/>
      <c r="U621" s="11"/>
      <c r="V621" s="11"/>
      <c r="W621" s="11"/>
      <c r="X621" s="11"/>
      <c r="Y621" s="11"/>
      <c r="Z621" t="s" s="10">
        <v>83</v>
      </c>
      <c r="AA621" s="11"/>
      <c r="AB621" t="s" s="10">
        <v>83</v>
      </c>
      <c r="AC621" s="11"/>
      <c r="AD621" s="11"/>
      <c r="AE621" s="11"/>
      <c r="AF621" s="11"/>
      <c r="AG621" t="s" s="10">
        <v>299</v>
      </c>
      <c r="AH621" t="s" s="10">
        <v>83</v>
      </c>
      <c r="AI621" t="s" s="10">
        <v>83</v>
      </c>
      <c r="AJ621" t="s" s="10">
        <v>83</v>
      </c>
      <c r="AK621" t="s" s="10">
        <v>83</v>
      </c>
      <c r="AL621" t="s" s="10">
        <v>293</v>
      </c>
      <c r="AM621" t="s" s="10">
        <v>294</v>
      </c>
      <c r="AN621" t="s" s="10">
        <v>2261</v>
      </c>
      <c r="AO621" s="11"/>
      <c r="AP621" s="11"/>
      <c r="AQ621" s="11"/>
      <c r="AR621" s="11"/>
      <c r="AS621" t="s" s="10">
        <v>2396</v>
      </c>
      <c r="AT621" s="11"/>
      <c r="AU621" s="11"/>
      <c r="AV621" s="11"/>
      <c r="AW621" s="11"/>
      <c r="AX621" s="11"/>
      <c r="AY621" s="11"/>
      <c r="AZ621" s="11"/>
      <c r="BA621" s="11"/>
      <c r="BB621" s="11"/>
      <c r="BC621" s="11"/>
      <c r="BD621" s="11"/>
      <c r="BE621" s="11"/>
      <c r="BF621" s="11"/>
      <c r="BG621" s="11"/>
      <c r="BH621" s="11"/>
      <c r="BI621" s="11"/>
      <c r="BJ621" s="11"/>
      <c r="BK621" s="11"/>
      <c r="BL621" s="11"/>
      <c r="BM621" s="11"/>
      <c r="BN621" t="s" s="10">
        <v>69</v>
      </c>
      <c r="BO621" s="12"/>
      <c r="BP621" s="8"/>
    </row>
    <row r="622" ht="9" customHeight="1" hidden="1">
      <c r="A622" t="s" s="13">
        <v>2397</v>
      </c>
      <c r="B622" s="14"/>
      <c r="C622" t="str" s="14" cm="1">
        <f t="array" ref="C622">_xlfn.IFERROR((VLOOKUP(A622,#REF!,2,FALSE)),"")</f>
      </c>
      <c r="D622" s="14"/>
      <c r="E622" t="s" s="15">
        <v>2398</v>
      </c>
      <c r="F622" s="14"/>
      <c r="G622" t="s" s="15">
        <v>2399</v>
      </c>
      <c r="H622" t="s" s="15">
        <v>1332</v>
      </c>
      <c r="I622" t="s" s="15">
        <v>111</v>
      </c>
      <c r="J622" t="s" s="15">
        <v>322</v>
      </c>
      <c r="K622" t="s" s="15">
        <v>113</v>
      </c>
      <c r="L622" t="s" s="15">
        <v>1333</v>
      </c>
      <c r="M622" s="14"/>
      <c r="N622" s="14"/>
      <c r="O622" t="s" s="15">
        <v>322</v>
      </c>
      <c r="P622" s="14"/>
      <c r="Q622" s="14"/>
      <c r="R622" t="s" s="15">
        <v>83</v>
      </c>
      <c r="S622" s="14"/>
      <c r="T622" s="14"/>
      <c r="U622" s="14"/>
      <c r="V622" s="14"/>
      <c r="W622" s="14"/>
      <c r="X622" s="14"/>
      <c r="Y622" s="14"/>
      <c r="Z622" t="s" s="15">
        <v>1334</v>
      </c>
      <c r="AA622" s="14"/>
      <c r="AB622" t="s" s="15">
        <v>1335</v>
      </c>
      <c r="AC622" s="14"/>
      <c r="AD622" s="14"/>
      <c r="AE622" s="14"/>
      <c r="AF622" s="14"/>
      <c r="AG622" t="s" s="15">
        <v>299</v>
      </c>
      <c r="AH622" t="s" s="15">
        <v>83</v>
      </c>
      <c r="AI622" t="s" s="15">
        <v>83</v>
      </c>
      <c r="AJ622" t="s" s="15">
        <v>83</v>
      </c>
      <c r="AK622" t="s" s="15">
        <v>83</v>
      </c>
      <c r="AL622" t="s" s="15">
        <v>293</v>
      </c>
      <c r="AM622" t="s" s="15">
        <v>294</v>
      </c>
      <c r="AN622" t="s" s="15">
        <v>2400</v>
      </c>
      <c r="AO622" s="14"/>
      <c r="AP622" s="14"/>
      <c r="AQ622" s="14"/>
      <c r="AR622" s="14"/>
      <c r="AS622" t="s" s="15">
        <v>2401</v>
      </c>
      <c r="AT622" s="14"/>
      <c r="AU622" s="14"/>
      <c r="AV622" s="14"/>
      <c r="AW622" s="14"/>
      <c r="AX622" s="14"/>
      <c r="AY622" s="14"/>
      <c r="AZ622" s="14"/>
      <c r="BA622" s="14"/>
      <c r="BB622" s="14"/>
      <c r="BC622" s="14"/>
      <c r="BD622" s="14"/>
      <c r="BE622" s="14"/>
      <c r="BF622" s="14"/>
      <c r="BG622" s="14"/>
      <c r="BH622" s="14"/>
      <c r="BI622" s="14"/>
      <c r="BJ622" s="14"/>
      <c r="BK622" s="14"/>
      <c r="BL622" s="14"/>
      <c r="BM622" s="14"/>
      <c r="BN622" t="s" s="15">
        <v>78</v>
      </c>
      <c r="BO622" s="16"/>
      <c r="BP622" s="8"/>
    </row>
    <row r="623" ht="9" customHeight="1" hidden="1">
      <c r="A623" t="s" s="9">
        <v>2402</v>
      </c>
      <c r="B623" s="11"/>
      <c r="C623" t="str" s="11" cm="1">
        <f t="array" ref="C623">_xlfn.IFERROR((VLOOKUP(A623,#REF!,2,FALSE)),"")</f>
      </c>
      <c r="D623" t="s" s="10">
        <v>70</v>
      </c>
      <c r="E623" t="s" s="10">
        <v>392</v>
      </c>
      <c r="F623" s="11"/>
      <c r="G623" t="s" s="10">
        <v>2403</v>
      </c>
      <c r="H623" t="s" s="10">
        <v>2403</v>
      </c>
      <c r="I623" t="s" s="10">
        <v>111</v>
      </c>
      <c r="J623" t="s" s="10">
        <v>452</v>
      </c>
      <c r="K623" t="s" s="10">
        <v>113</v>
      </c>
      <c r="L623" t="s" s="10">
        <v>76</v>
      </c>
      <c r="M623" t="s" s="10">
        <v>2403</v>
      </c>
      <c r="N623" t="s" s="10">
        <v>2403</v>
      </c>
      <c r="O623" s="11"/>
      <c r="P623" t="s" s="10">
        <v>452</v>
      </c>
      <c r="Q623" t="s" s="10">
        <v>69</v>
      </c>
      <c r="R623" t="s" s="10">
        <v>83</v>
      </c>
      <c r="S623" s="11"/>
      <c r="T623" s="11"/>
      <c r="U623" s="11"/>
      <c r="V623" t="s" s="10">
        <v>69</v>
      </c>
      <c r="W623" s="11"/>
      <c r="X623" t="s" s="10">
        <v>69</v>
      </c>
      <c r="Y623" s="11"/>
      <c r="Z623" t="s" s="10">
        <v>76</v>
      </c>
      <c r="AA623" s="11"/>
      <c r="AB623" t="s" s="10">
        <v>76</v>
      </c>
      <c r="AC623" t="s" s="10">
        <v>2402</v>
      </c>
      <c r="AD623" t="s" s="10">
        <v>2404</v>
      </c>
      <c r="AE623" s="11"/>
      <c r="AF623" s="11"/>
      <c r="AG623" s="11"/>
      <c r="AH623" t="s" s="10">
        <v>106</v>
      </c>
      <c r="AI623" t="s" s="10">
        <v>76</v>
      </c>
      <c r="AJ623" t="s" s="10">
        <v>76</v>
      </c>
      <c r="AK623" t="s" s="10">
        <v>79</v>
      </c>
      <c r="AL623" t="s" s="10">
        <v>293</v>
      </c>
      <c r="AM623" t="s" s="10">
        <v>294</v>
      </c>
      <c r="AN623" t="s" s="10">
        <v>187</v>
      </c>
      <c r="AO623" s="18">
        <v>4</v>
      </c>
      <c r="AP623" s="18">
        <v>16384</v>
      </c>
      <c r="AQ623" s="18">
        <v>1362448</v>
      </c>
      <c r="AR623" s="18">
        <v>1362448</v>
      </c>
      <c r="AS623" t="s" s="10">
        <v>2405</v>
      </c>
      <c r="AT623" s="11"/>
      <c r="AU623" s="11"/>
      <c r="AV623" s="11"/>
      <c r="AW623" s="11"/>
      <c r="AX623" s="11"/>
      <c r="AY623" s="11"/>
      <c r="AZ623" s="11"/>
      <c r="BA623" s="11"/>
      <c r="BB623" s="11"/>
      <c r="BC623" s="11"/>
      <c r="BD623" s="11"/>
      <c r="BE623" s="11"/>
      <c r="BF623" s="11"/>
      <c r="BG623" s="11"/>
      <c r="BH623" s="11"/>
      <c r="BI623" s="11"/>
      <c r="BJ623" s="11"/>
      <c r="BK623" s="11"/>
      <c r="BL623" s="11"/>
      <c r="BM623" s="11"/>
      <c r="BN623" t="s" s="10">
        <v>78</v>
      </c>
      <c r="BO623" s="12"/>
      <c r="BP623" s="8"/>
    </row>
    <row r="624" ht="9" customHeight="1" hidden="1">
      <c r="A624" t="s" s="13">
        <v>2406</v>
      </c>
      <c r="B624" s="14"/>
      <c r="C624" t="str" s="14" cm="1">
        <f t="array" ref="C624">_xlfn.IFERROR((VLOOKUP(A624,#REF!,2,FALSE)),"")</f>
      </c>
      <c r="D624" s="14"/>
      <c r="E624" t="s" s="15">
        <v>195</v>
      </c>
      <c r="F624" s="14"/>
      <c r="G624" t="s" s="15">
        <v>2407</v>
      </c>
      <c r="H624" t="s" s="15">
        <v>550</v>
      </c>
      <c r="I624" t="s" s="15">
        <v>73</v>
      </c>
      <c r="J624" t="s" s="15">
        <v>74</v>
      </c>
      <c r="K624" t="s" s="15">
        <v>113</v>
      </c>
      <c r="L624" t="s" s="15">
        <v>518</v>
      </c>
      <c r="M624" t="s" s="15">
        <v>2407</v>
      </c>
      <c r="N624" t="s" s="15">
        <v>2407</v>
      </c>
      <c r="O624" t="s" s="15">
        <v>71</v>
      </c>
      <c r="P624" t="s" s="15">
        <v>122</v>
      </c>
      <c r="Q624" t="s" s="15">
        <v>69</v>
      </c>
      <c r="R624" t="s" s="15">
        <v>71</v>
      </c>
      <c r="S624" s="14"/>
      <c r="T624" s="14"/>
      <c r="U624" s="14"/>
      <c r="V624" t="s" s="15">
        <v>69</v>
      </c>
      <c r="W624" s="14"/>
      <c r="X624" t="s" s="15">
        <v>69</v>
      </c>
      <c r="Y624" s="14"/>
      <c r="Z624" t="s" s="15">
        <v>552</v>
      </c>
      <c r="AA624" s="14"/>
      <c r="AB624" t="s" s="15">
        <v>553</v>
      </c>
      <c r="AC624" t="s" s="15">
        <v>2406</v>
      </c>
      <c r="AD624" t="s" s="15">
        <v>2408</v>
      </c>
      <c r="AE624" s="14"/>
      <c r="AF624" s="14"/>
      <c r="AG624" t="s" s="15">
        <v>299</v>
      </c>
      <c r="AH624" t="s" s="15">
        <v>114</v>
      </c>
      <c r="AI624" t="s" s="15">
        <v>76</v>
      </c>
      <c r="AJ624" t="s" s="15">
        <v>76</v>
      </c>
      <c r="AK624" t="s" s="15">
        <v>79</v>
      </c>
      <c r="AL624" t="s" s="15">
        <v>293</v>
      </c>
      <c r="AM624" t="s" s="15">
        <v>196</v>
      </c>
      <c r="AN624" t="s" s="15">
        <v>128</v>
      </c>
      <c r="AO624" s="17">
        <v>8</v>
      </c>
      <c r="AP624" s="17">
        <v>16384</v>
      </c>
      <c r="AQ624" s="17">
        <v>170190</v>
      </c>
      <c r="AR624" s="17">
        <v>96832</v>
      </c>
      <c r="AS624" t="s" s="15">
        <v>2409</v>
      </c>
      <c r="AT624" t="s" s="15">
        <v>301</v>
      </c>
      <c r="AU624" s="14"/>
      <c r="AV624" s="14"/>
      <c r="AW624" s="14"/>
      <c r="AX624" s="14"/>
      <c r="AY624" s="14"/>
      <c r="AZ624" s="14"/>
      <c r="BA624" s="14"/>
      <c r="BB624" s="14"/>
      <c r="BC624" s="14"/>
      <c r="BD624" t="s" s="15">
        <v>310</v>
      </c>
      <c r="BE624" t="s" s="15">
        <v>311</v>
      </c>
      <c r="BF624" s="17">
        <v>8</v>
      </c>
      <c r="BG624" s="17">
        <v>16</v>
      </c>
      <c r="BH624" s="14"/>
      <c r="BI624" s="14"/>
      <c r="BJ624" s="14"/>
      <c r="BK624" s="14"/>
      <c r="BL624" s="14"/>
      <c r="BM624" s="14"/>
      <c r="BN624" t="s" s="15">
        <v>69</v>
      </c>
      <c r="BO624" s="16"/>
      <c r="BP624" s="8"/>
    </row>
    <row r="625" ht="9" customHeight="1" hidden="1">
      <c r="A625" t="s" s="9">
        <v>2410</v>
      </c>
      <c r="B625" s="11"/>
      <c r="C625" t="str" s="11" cm="1">
        <f t="array" ref="C625">_xlfn.IFERROR((VLOOKUP(A625,#REF!,2,FALSE)),"")</f>
      </c>
      <c r="D625" t="s" s="10">
        <v>70</v>
      </c>
      <c r="E625" t="s" s="10">
        <v>195</v>
      </c>
      <c r="F625" s="11"/>
      <c r="G625" t="s" s="10">
        <v>2280</v>
      </c>
      <c r="H625" t="s" s="10">
        <v>550</v>
      </c>
      <c r="I625" t="s" s="10">
        <v>73</v>
      </c>
      <c r="J625" t="s" s="10">
        <v>74</v>
      </c>
      <c r="K625" t="s" s="10">
        <v>113</v>
      </c>
      <c r="L625" t="s" s="10">
        <v>518</v>
      </c>
      <c r="M625" t="s" s="10">
        <v>2411</v>
      </c>
      <c r="N625" t="s" s="10">
        <v>2282</v>
      </c>
      <c r="O625" t="s" s="10">
        <v>71</v>
      </c>
      <c r="P625" t="s" s="10">
        <v>122</v>
      </c>
      <c r="Q625" t="s" s="10">
        <v>78</v>
      </c>
      <c r="R625" t="s" s="10">
        <v>71</v>
      </c>
      <c r="S625" s="11"/>
      <c r="T625" s="11"/>
      <c r="U625" s="11"/>
      <c r="V625" t="s" s="10">
        <v>69</v>
      </c>
      <c r="W625" s="11"/>
      <c r="X625" t="s" s="10">
        <v>78</v>
      </c>
      <c r="Y625" s="11"/>
      <c r="Z625" t="s" s="10">
        <v>552</v>
      </c>
      <c r="AA625" s="11"/>
      <c r="AB625" t="s" s="10">
        <v>553</v>
      </c>
      <c r="AC625" s="11"/>
      <c r="AD625" s="11"/>
      <c r="AE625" s="11"/>
      <c r="AF625" s="11"/>
      <c r="AG625" t="s" s="10">
        <v>299</v>
      </c>
      <c r="AH625" t="s" s="10">
        <v>114</v>
      </c>
      <c r="AI625" t="s" s="10">
        <v>76</v>
      </c>
      <c r="AJ625" t="s" s="10">
        <v>76</v>
      </c>
      <c r="AK625" t="s" s="10">
        <v>79</v>
      </c>
      <c r="AL625" t="s" s="10">
        <v>293</v>
      </c>
      <c r="AM625" t="s" s="10">
        <v>196</v>
      </c>
      <c r="AN625" t="s" s="10">
        <v>128</v>
      </c>
      <c r="AO625" s="18">
        <v>8</v>
      </c>
      <c r="AP625" s="18">
        <v>16384</v>
      </c>
      <c r="AQ625" s="18">
        <v>221296</v>
      </c>
      <c r="AR625" s="18">
        <v>164037</v>
      </c>
      <c r="AS625" t="s" s="10">
        <v>2412</v>
      </c>
      <c r="AT625" s="11"/>
      <c r="AU625" s="11"/>
      <c r="AV625" s="11"/>
      <c r="AW625" s="11"/>
      <c r="AX625" s="11"/>
      <c r="AY625" s="11"/>
      <c r="AZ625" s="11"/>
      <c r="BA625" s="11"/>
      <c r="BB625" s="11"/>
      <c r="BC625" s="11"/>
      <c r="BD625" t="s" s="10">
        <v>310</v>
      </c>
      <c r="BE625" t="s" s="10">
        <v>311</v>
      </c>
      <c r="BF625" s="18">
        <v>8</v>
      </c>
      <c r="BG625" s="18">
        <v>16</v>
      </c>
      <c r="BH625" s="11"/>
      <c r="BI625" s="11"/>
      <c r="BJ625" s="11"/>
      <c r="BK625" s="11"/>
      <c r="BL625" s="11"/>
      <c r="BM625" s="11"/>
      <c r="BN625" s="11"/>
      <c r="BO625" s="12"/>
      <c r="BP625" s="8"/>
    </row>
    <row r="626" ht="9" customHeight="1" hidden="1">
      <c r="A626" t="s" s="13">
        <v>2413</v>
      </c>
      <c r="B626" s="14"/>
      <c r="C626" t="str" s="14" cm="1">
        <f t="array" ref="C626">_xlfn.IFERROR((VLOOKUP(A626,#REF!,2,FALSE)),"")</f>
      </c>
      <c r="D626" s="14"/>
      <c r="E626" t="s" s="15">
        <v>2275</v>
      </c>
      <c r="F626" t="s" s="15">
        <v>83</v>
      </c>
      <c r="G626" t="s" s="15">
        <v>2414</v>
      </c>
      <c r="H626" t="s" s="15">
        <v>550</v>
      </c>
      <c r="I626" t="s" s="15">
        <v>111</v>
      </c>
      <c r="J626" t="s" s="15">
        <v>112</v>
      </c>
      <c r="K626" t="s" s="15">
        <v>113</v>
      </c>
      <c r="L626" t="s" s="15">
        <v>2270</v>
      </c>
      <c r="M626" t="s" s="15">
        <v>2414</v>
      </c>
      <c r="N626" s="14"/>
      <c r="O626" s="14"/>
      <c r="P626" t="s" s="15">
        <v>112</v>
      </c>
      <c r="Q626" t="s" s="15">
        <v>69</v>
      </c>
      <c r="R626" t="s" s="15">
        <v>83</v>
      </c>
      <c r="S626" s="14"/>
      <c r="T626" s="14"/>
      <c r="U626" s="14"/>
      <c r="V626" t="s" s="15">
        <v>69</v>
      </c>
      <c r="W626" s="14"/>
      <c r="X626" t="s" s="15">
        <v>78</v>
      </c>
      <c r="Y626" s="14"/>
      <c r="Z626" t="s" s="15">
        <v>552</v>
      </c>
      <c r="AA626" s="14"/>
      <c r="AB626" t="s" s="15">
        <v>553</v>
      </c>
      <c r="AC626" t="s" s="24">
        <v>2415</v>
      </c>
      <c r="AD626" t="s" s="15">
        <v>2416</v>
      </c>
      <c r="AE626" s="14"/>
      <c r="AF626" s="14"/>
      <c r="AG626" t="s" s="15">
        <v>299</v>
      </c>
      <c r="AH626" t="s" s="15">
        <v>114</v>
      </c>
      <c r="AI626" t="s" s="15">
        <v>290</v>
      </c>
      <c r="AJ626" t="s" s="15">
        <v>333</v>
      </c>
      <c r="AK626" t="s" s="15">
        <v>1195</v>
      </c>
      <c r="AL626" t="s" s="15">
        <v>293</v>
      </c>
      <c r="AM626" t="s" s="15">
        <v>294</v>
      </c>
      <c r="AN626" t="s" s="15">
        <v>128</v>
      </c>
      <c r="AO626" s="17">
        <v>8</v>
      </c>
      <c r="AP626" s="17">
        <v>8192</v>
      </c>
      <c r="AQ626" s="17">
        <v>213101</v>
      </c>
      <c r="AR626" s="17">
        <v>132780</v>
      </c>
      <c r="AS626" t="s" s="15">
        <v>2417</v>
      </c>
      <c r="AT626" t="s" s="15">
        <v>301</v>
      </c>
      <c r="AU626" s="14"/>
      <c r="AV626" s="14"/>
      <c r="AW626" t="s" s="15">
        <v>83</v>
      </c>
      <c r="AX626" t="s" s="15">
        <v>83</v>
      </c>
      <c r="AY626" t="s" s="15">
        <v>309</v>
      </c>
      <c r="AZ626" t="s" s="15">
        <v>83</v>
      </c>
      <c r="BA626" t="s" s="15">
        <v>76</v>
      </c>
      <c r="BB626" t="s" s="15">
        <v>76</v>
      </c>
      <c r="BC626" t="s" s="15">
        <v>76</v>
      </c>
      <c r="BD626" t="s" s="15">
        <v>310</v>
      </c>
      <c r="BE626" t="s" s="15">
        <v>311</v>
      </c>
      <c r="BF626" s="17">
        <v>8</v>
      </c>
      <c r="BG626" s="17">
        <v>16</v>
      </c>
      <c r="BH626" t="s" s="15">
        <v>83</v>
      </c>
      <c r="BI626" t="s" s="15">
        <v>83</v>
      </c>
      <c r="BJ626" t="s" s="15">
        <v>83</v>
      </c>
      <c r="BK626" t="s" s="15">
        <v>83</v>
      </c>
      <c r="BL626" t="s" s="15">
        <v>83</v>
      </c>
      <c r="BM626" t="s" s="15">
        <v>312</v>
      </c>
      <c r="BN626" t="s" s="15">
        <v>78</v>
      </c>
      <c r="BO626" t="s" s="21">
        <v>76</v>
      </c>
      <c r="BP626" s="8"/>
    </row>
    <row r="627" ht="9" customHeight="1" hidden="1">
      <c r="A627" t="s" s="36">
        <v>2418</v>
      </c>
      <c r="B627" s="11"/>
      <c r="C627" t="str" s="11" cm="1">
        <f t="array" ref="C627">_xlfn.IFERROR((VLOOKUP(A627,#REF!,2,FALSE)),"")</f>
      </c>
      <c r="D627" s="11"/>
      <c r="E627" t="s" s="32">
        <v>2419</v>
      </c>
      <c r="F627" t="s" s="10">
        <v>83</v>
      </c>
      <c r="G627" t="s" s="32">
        <v>2399</v>
      </c>
      <c r="H627" t="s" s="32">
        <v>550</v>
      </c>
      <c r="I627" t="s" s="32">
        <v>111</v>
      </c>
      <c r="J627" t="s" s="32">
        <v>112</v>
      </c>
      <c r="K627" t="s" s="32">
        <v>113</v>
      </c>
      <c r="L627" t="s" s="32">
        <v>2270</v>
      </c>
      <c r="M627" t="s" s="10">
        <v>2399</v>
      </c>
      <c r="N627" t="s" s="10">
        <v>2399</v>
      </c>
      <c r="O627" s="33"/>
      <c r="P627" t="s" s="10">
        <v>322</v>
      </c>
      <c r="Q627" t="s" s="10">
        <v>69</v>
      </c>
      <c r="R627" t="s" s="10">
        <v>83</v>
      </c>
      <c r="S627" s="11"/>
      <c r="T627" s="11"/>
      <c r="U627" s="11"/>
      <c r="V627" t="s" s="10">
        <v>69</v>
      </c>
      <c r="W627" s="11"/>
      <c r="X627" t="s" s="10">
        <v>69</v>
      </c>
      <c r="Y627" s="11"/>
      <c r="Z627" t="s" s="32">
        <v>552</v>
      </c>
      <c r="AA627" s="11"/>
      <c r="AB627" t="s" s="32">
        <v>553</v>
      </c>
      <c r="AC627" t="s" s="25">
        <v>2397</v>
      </c>
      <c r="AD627" t="s" s="10">
        <v>2420</v>
      </c>
      <c r="AE627" s="11"/>
      <c r="AF627" s="11"/>
      <c r="AG627" t="s" s="32">
        <v>299</v>
      </c>
      <c r="AH627" t="s" s="32">
        <v>114</v>
      </c>
      <c r="AI627" s="33"/>
      <c r="AJ627" s="33"/>
      <c r="AK627" t="s" s="32">
        <v>79</v>
      </c>
      <c r="AL627" t="s" s="32">
        <v>293</v>
      </c>
      <c r="AM627" t="s" s="32">
        <v>196</v>
      </c>
      <c r="AN627" t="s" s="32">
        <v>128</v>
      </c>
      <c r="AO627" s="37">
        <v>4</v>
      </c>
      <c r="AP627" s="37">
        <v>16384</v>
      </c>
      <c r="AQ627" s="37">
        <v>323727</v>
      </c>
      <c r="AR627" s="37">
        <v>104765</v>
      </c>
      <c r="AS627" t="s" s="32">
        <v>2401</v>
      </c>
      <c r="AT627" t="s" s="32">
        <v>301</v>
      </c>
      <c r="AU627" s="33"/>
      <c r="AV627" s="33"/>
      <c r="AW627" t="s" s="32">
        <v>83</v>
      </c>
      <c r="AX627" t="s" s="32">
        <v>83</v>
      </c>
      <c r="AY627" t="s" s="32">
        <v>309</v>
      </c>
      <c r="AZ627" t="s" s="32">
        <v>83</v>
      </c>
      <c r="BA627" t="s" s="10">
        <v>76</v>
      </c>
      <c r="BB627" t="s" s="10">
        <v>76</v>
      </c>
      <c r="BC627" t="s" s="10">
        <v>76</v>
      </c>
      <c r="BD627" t="s" s="32">
        <v>310</v>
      </c>
      <c r="BE627" t="s" s="32">
        <v>311</v>
      </c>
      <c r="BF627" s="37">
        <v>8</v>
      </c>
      <c r="BG627" s="37">
        <v>16</v>
      </c>
      <c r="BH627" t="s" s="32">
        <v>83</v>
      </c>
      <c r="BI627" t="s" s="32">
        <v>83</v>
      </c>
      <c r="BJ627" t="s" s="32">
        <v>83</v>
      </c>
      <c r="BK627" t="s" s="32">
        <v>83</v>
      </c>
      <c r="BL627" t="s" s="32">
        <v>83</v>
      </c>
      <c r="BM627" t="s" s="32">
        <v>312</v>
      </c>
      <c r="BN627" t="s" s="32">
        <v>78</v>
      </c>
      <c r="BO627" t="s" s="38">
        <v>76</v>
      </c>
      <c r="BP627" s="8"/>
    </row>
    <row r="628" ht="15" customHeight="1">
      <c r="A628" t="s" s="13">
        <v>2421</v>
      </c>
      <c r="B628" s="14"/>
      <c r="C628" t="str" s="14" cm="1">
        <f t="array" ref="C628">_xlfn.IFERROR((VLOOKUP(A628,#REF!,2,FALSE)),"")</f>
      </c>
      <c r="D628" t="s" s="15">
        <v>70</v>
      </c>
      <c r="E628" t="s" s="15">
        <v>1181</v>
      </c>
      <c r="F628" s="14"/>
      <c r="G628" t="s" s="15">
        <v>2422</v>
      </c>
      <c r="H628" t="s" s="15">
        <v>550</v>
      </c>
      <c r="I628" t="s" s="15">
        <v>111</v>
      </c>
      <c r="J628" t="s" s="15">
        <v>122</v>
      </c>
      <c r="K628" t="s" s="15">
        <v>113</v>
      </c>
      <c r="L628" t="s" s="15">
        <v>518</v>
      </c>
      <c r="M628" t="s" s="15">
        <v>2423</v>
      </c>
      <c r="N628" t="s" s="15">
        <v>2422</v>
      </c>
      <c r="O628" s="14"/>
      <c r="P628" t="s" s="15">
        <v>112</v>
      </c>
      <c r="Q628" t="s" s="15">
        <v>78</v>
      </c>
      <c r="R628" t="s" s="15">
        <v>83</v>
      </c>
      <c r="S628" s="14"/>
      <c r="T628" s="14"/>
      <c r="U628" s="14"/>
      <c r="V628" t="s" s="15">
        <v>69</v>
      </c>
      <c r="W628" s="14"/>
      <c r="X628" t="s" s="15">
        <v>78</v>
      </c>
      <c r="Y628" t="s" s="15">
        <v>69</v>
      </c>
      <c r="Z628" t="s" s="15">
        <v>552</v>
      </c>
      <c r="AA628" s="14"/>
      <c r="AB628" t="s" s="15">
        <v>553</v>
      </c>
      <c r="AC628" s="14"/>
      <c r="AD628" s="14"/>
      <c r="AE628" s="14"/>
      <c r="AF628" s="14"/>
      <c r="AG628" t="s" s="15">
        <v>299</v>
      </c>
      <c r="AH628" t="s" s="15">
        <v>114</v>
      </c>
      <c r="AI628" t="s" s="15">
        <v>440</v>
      </c>
      <c r="AJ628" s="14"/>
      <c r="AK628" t="s" s="15">
        <v>83</v>
      </c>
      <c r="AL628" t="s" s="15">
        <v>293</v>
      </c>
      <c r="AM628" t="s" s="15">
        <v>294</v>
      </c>
      <c r="AN628" t="s" s="15">
        <v>190</v>
      </c>
      <c r="AO628" s="17">
        <v>8</v>
      </c>
      <c r="AP628" s="17">
        <v>8192</v>
      </c>
      <c r="AQ628" s="17">
        <v>213099</v>
      </c>
      <c r="AR628" s="17">
        <v>135417</v>
      </c>
      <c r="AS628" t="s" s="15">
        <v>2424</v>
      </c>
      <c r="AT628" s="14"/>
      <c r="AU628" s="14"/>
      <c r="AV628" s="14"/>
      <c r="AW628" s="14"/>
      <c r="AX628" s="14"/>
      <c r="AY628" s="14"/>
      <c r="AZ628" s="14"/>
      <c r="BA628" s="14"/>
      <c r="BB628" s="14"/>
      <c r="BC628" s="14"/>
      <c r="BD628" t="s" s="15">
        <v>310</v>
      </c>
      <c r="BE628" t="s" s="15">
        <v>311</v>
      </c>
      <c r="BF628" s="17">
        <v>8</v>
      </c>
      <c r="BG628" s="17">
        <v>16</v>
      </c>
      <c r="BH628" s="14"/>
      <c r="BI628" s="14"/>
      <c r="BJ628" s="14"/>
      <c r="BK628" s="14"/>
      <c r="BL628" s="14"/>
      <c r="BM628" s="14"/>
      <c r="BN628" t="s" s="15">
        <v>69</v>
      </c>
      <c r="BO628" s="16"/>
      <c r="BP628" s="8"/>
    </row>
    <row r="629" ht="15" customHeight="1" hidden="1">
      <c r="A629" t="s" s="9">
        <v>2425</v>
      </c>
      <c r="B629" s="11"/>
      <c r="C629" t="str" s="11" cm="1">
        <f t="array" ref="C629">_xlfn.IFERROR((VLOOKUP(A629,#REF!,2,FALSE)),"")</f>
      </c>
      <c r="D629" t="s" s="10">
        <v>70</v>
      </c>
      <c r="E629" t="s" s="10">
        <v>1181</v>
      </c>
      <c r="F629" s="11"/>
      <c r="G629" t="s" s="10">
        <v>2426</v>
      </c>
      <c r="H629" t="s" s="10">
        <v>550</v>
      </c>
      <c r="I629" t="s" s="10">
        <v>111</v>
      </c>
      <c r="J629" t="s" s="10">
        <v>112</v>
      </c>
      <c r="K629" t="s" s="10">
        <v>113</v>
      </c>
      <c r="L629" t="s" s="10">
        <v>518</v>
      </c>
      <c r="M629" t="s" s="10">
        <v>2427</v>
      </c>
      <c r="N629" t="s" s="10">
        <v>2426</v>
      </c>
      <c r="O629" s="11"/>
      <c r="P629" t="s" s="10">
        <v>112</v>
      </c>
      <c r="Q629" t="s" s="10">
        <v>78</v>
      </c>
      <c r="R629" t="s" s="10">
        <v>83</v>
      </c>
      <c r="S629" s="11"/>
      <c r="T629" s="11"/>
      <c r="U629" s="11"/>
      <c r="V629" t="s" s="10">
        <v>69</v>
      </c>
      <c r="W629" s="11"/>
      <c r="X629" t="s" s="10">
        <v>78</v>
      </c>
      <c r="Y629" t="s" s="10">
        <v>69</v>
      </c>
      <c r="Z629" t="s" s="10">
        <v>552</v>
      </c>
      <c r="AA629" s="11"/>
      <c r="AB629" t="s" s="10">
        <v>553</v>
      </c>
      <c r="AC629" s="11"/>
      <c r="AD629" s="11"/>
      <c r="AE629" s="11"/>
      <c r="AF629" s="11"/>
      <c r="AG629" t="s" s="10">
        <v>299</v>
      </c>
      <c r="AH629" t="s" s="10">
        <v>114</v>
      </c>
      <c r="AI629" t="s" s="10">
        <v>440</v>
      </c>
      <c r="AJ629" s="11"/>
      <c r="AK629" t="s" s="10">
        <v>83</v>
      </c>
      <c r="AL629" t="s" s="10">
        <v>293</v>
      </c>
      <c r="AM629" t="s" s="10">
        <v>294</v>
      </c>
      <c r="AN629" t="s" s="10">
        <v>128</v>
      </c>
      <c r="AO629" s="18">
        <v>8</v>
      </c>
      <c r="AP629" s="18">
        <v>8192</v>
      </c>
      <c r="AQ629" s="18">
        <v>213111</v>
      </c>
      <c r="AR629" s="18">
        <v>124445</v>
      </c>
      <c r="AS629" t="s" s="10">
        <v>2428</v>
      </c>
      <c r="AT629" s="11"/>
      <c r="AU629" s="11"/>
      <c r="AV629" s="11"/>
      <c r="AW629" s="11"/>
      <c r="AX629" s="11"/>
      <c r="AY629" s="11"/>
      <c r="AZ629" s="11"/>
      <c r="BA629" s="11"/>
      <c r="BB629" s="11"/>
      <c r="BC629" s="11"/>
      <c r="BD629" t="s" s="10">
        <v>310</v>
      </c>
      <c r="BE629" t="s" s="10">
        <v>311</v>
      </c>
      <c r="BF629" s="18">
        <v>8</v>
      </c>
      <c r="BG629" s="18">
        <v>16</v>
      </c>
      <c r="BH629" s="11"/>
      <c r="BI629" s="11"/>
      <c r="BJ629" s="11"/>
      <c r="BK629" s="11"/>
      <c r="BL629" s="11"/>
      <c r="BM629" s="11"/>
      <c r="BN629" t="s" s="10">
        <v>78</v>
      </c>
      <c r="BO629" s="12"/>
      <c r="BP629" s="8"/>
    </row>
    <row r="630" ht="13.55" customHeight="1">
      <c r="A630" t="s" s="13">
        <v>2429</v>
      </c>
      <c r="B630" s="14"/>
      <c r="C630" t="str" s="14" cm="1">
        <f t="array" ref="C630">_xlfn.IFERROR((VLOOKUP(A630,#REF!,2,FALSE)),"")</f>
      </c>
      <c r="D630" s="14"/>
      <c r="E630" t="s" s="15">
        <v>2430</v>
      </c>
      <c r="F630" t="s" s="15">
        <v>83</v>
      </c>
      <c r="G630" t="s" s="15">
        <v>2431</v>
      </c>
      <c r="H630" t="s" s="15">
        <v>550</v>
      </c>
      <c r="I630" t="s" s="15">
        <v>111</v>
      </c>
      <c r="J630" t="s" s="15">
        <v>122</v>
      </c>
      <c r="K630" t="s" s="15">
        <v>113</v>
      </c>
      <c r="L630" t="s" s="15">
        <v>2270</v>
      </c>
      <c r="M630" t="s" s="15">
        <v>2432</v>
      </c>
      <c r="N630" s="14"/>
      <c r="O630" s="14"/>
      <c r="P630" t="s" s="15">
        <v>112</v>
      </c>
      <c r="Q630" t="s" s="15">
        <v>69</v>
      </c>
      <c r="R630" t="s" s="15">
        <v>83</v>
      </c>
      <c r="S630" s="14"/>
      <c r="T630" s="14"/>
      <c r="U630" s="14"/>
      <c r="V630" t="s" s="15">
        <v>69</v>
      </c>
      <c r="W630" s="14"/>
      <c r="X630" t="s" s="15">
        <v>78</v>
      </c>
      <c r="Y630" s="14"/>
      <c r="Z630" t="s" s="15">
        <v>552</v>
      </c>
      <c r="AA630" s="14"/>
      <c r="AB630" t="s" s="15">
        <v>553</v>
      </c>
      <c r="AC630" t="s" s="24">
        <v>2429</v>
      </c>
      <c r="AD630" t="s" s="15">
        <v>2433</v>
      </c>
      <c r="AE630" s="14"/>
      <c r="AF630" s="14"/>
      <c r="AG630" t="s" s="15">
        <v>299</v>
      </c>
      <c r="AH630" t="s" s="15">
        <v>114</v>
      </c>
      <c r="AI630" t="s" s="15">
        <v>440</v>
      </c>
      <c r="AJ630" t="s" s="15">
        <v>83</v>
      </c>
      <c r="AK630" t="s" s="15">
        <v>1195</v>
      </c>
      <c r="AL630" t="s" s="15">
        <v>293</v>
      </c>
      <c r="AM630" t="s" s="15">
        <v>294</v>
      </c>
      <c r="AN630" t="s" s="15">
        <v>190</v>
      </c>
      <c r="AO630" s="17">
        <v>8</v>
      </c>
      <c r="AP630" s="17">
        <v>8192</v>
      </c>
      <c r="AQ630" s="17">
        <v>238108</v>
      </c>
      <c r="AR630" s="17">
        <v>111670</v>
      </c>
      <c r="AS630" t="s" s="15">
        <v>2434</v>
      </c>
      <c r="AT630" t="s" s="15">
        <v>301</v>
      </c>
      <c r="AU630" s="14"/>
      <c r="AV630" s="14"/>
      <c r="AW630" t="s" s="15">
        <v>83</v>
      </c>
      <c r="AX630" t="s" s="15">
        <v>83</v>
      </c>
      <c r="AY630" t="s" s="15">
        <v>309</v>
      </c>
      <c r="AZ630" t="s" s="15">
        <v>83</v>
      </c>
      <c r="BA630" t="s" s="15">
        <v>76</v>
      </c>
      <c r="BB630" t="s" s="15">
        <v>76</v>
      </c>
      <c r="BC630" t="s" s="15">
        <v>76</v>
      </c>
      <c r="BD630" t="s" s="15">
        <v>310</v>
      </c>
      <c r="BE630" t="s" s="15">
        <v>311</v>
      </c>
      <c r="BF630" s="17">
        <v>8</v>
      </c>
      <c r="BG630" s="17">
        <v>16</v>
      </c>
      <c r="BH630" t="s" s="15">
        <v>83</v>
      </c>
      <c r="BI630" t="s" s="15">
        <v>83</v>
      </c>
      <c r="BJ630" t="s" s="15">
        <v>83</v>
      </c>
      <c r="BK630" t="s" s="15">
        <v>83</v>
      </c>
      <c r="BL630" t="s" s="15">
        <v>83</v>
      </c>
      <c r="BM630" t="s" s="15">
        <v>312</v>
      </c>
      <c r="BN630" t="s" s="15">
        <v>69</v>
      </c>
      <c r="BO630" t="s" s="21">
        <v>76</v>
      </c>
      <c r="BP630" s="8"/>
    </row>
    <row r="631" ht="9" customHeight="1" hidden="1">
      <c r="A631" t="s" s="9">
        <v>2435</v>
      </c>
      <c r="B631" s="11"/>
      <c r="C631" t="str" s="11" cm="1">
        <f t="array" ref="C631">_xlfn.IFERROR((VLOOKUP(A631,#REF!,2,FALSE)),"")</f>
      </c>
      <c r="D631" s="11"/>
      <c r="E631" t="s" s="10">
        <v>2275</v>
      </c>
      <c r="F631" t="s" s="10">
        <v>83</v>
      </c>
      <c r="G631" t="s" s="10">
        <v>2436</v>
      </c>
      <c r="H631" t="s" s="10">
        <v>550</v>
      </c>
      <c r="I631" t="s" s="10">
        <v>111</v>
      </c>
      <c r="J631" t="s" s="10">
        <v>112</v>
      </c>
      <c r="K631" t="s" s="10">
        <v>113</v>
      </c>
      <c r="L631" t="s" s="10">
        <v>2270</v>
      </c>
      <c r="M631" t="s" s="10">
        <v>2436</v>
      </c>
      <c r="N631" s="11"/>
      <c r="O631" s="11"/>
      <c r="P631" t="s" s="10">
        <v>112</v>
      </c>
      <c r="Q631" t="s" s="10">
        <v>69</v>
      </c>
      <c r="R631" t="s" s="10">
        <v>83</v>
      </c>
      <c r="S631" s="11"/>
      <c r="T631" s="11"/>
      <c r="U631" s="11"/>
      <c r="V631" t="s" s="10">
        <v>69</v>
      </c>
      <c r="W631" s="11"/>
      <c r="X631" t="s" s="10">
        <v>78</v>
      </c>
      <c r="Y631" s="11"/>
      <c r="Z631" t="s" s="10">
        <v>552</v>
      </c>
      <c r="AA631" s="11"/>
      <c r="AB631" t="s" s="10">
        <v>553</v>
      </c>
      <c r="AC631" t="s" s="25">
        <v>2435</v>
      </c>
      <c r="AD631" t="s" s="10">
        <v>2437</v>
      </c>
      <c r="AE631" s="11"/>
      <c r="AF631" s="11"/>
      <c r="AG631" t="s" s="10">
        <v>299</v>
      </c>
      <c r="AH631" t="s" s="10">
        <v>114</v>
      </c>
      <c r="AI631" t="s" s="10">
        <v>290</v>
      </c>
      <c r="AJ631" t="s" s="10">
        <v>333</v>
      </c>
      <c r="AK631" t="s" s="10">
        <v>1195</v>
      </c>
      <c r="AL631" t="s" s="10">
        <v>293</v>
      </c>
      <c r="AM631" t="s" s="10">
        <v>294</v>
      </c>
      <c r="AN631" t="s" s="10">
        <v>128</v>
      </c>
      <c r="AO631" s="18">
        <v>8</v>
      </c>
      <c r="AP631" s="18">
        <v>8192</v>
      </c>
      <c r="AQ631" s="18">
        <v>161911</v>
      </c>
      <c r="AR631" s="18">
        <v>78658</v>
      </c>
      <c r="AS631" t="s" s="10">
        <v>2438</v>
      </c>
      <c r="AT631" t="s" s="10">
        <v>301</v>
      </c>
      <c r="AU631" s="11"/>
      <c r="AV631" s="11"/>
      <c r="AW631" t="s" s="10">
        <v>83</v>
      </c>
      <c r="AX631" t="s" s="10">
        <v>83</v>
      </c>
      <c r="AY631" t="s" s="10">
        <v>309</v>
      </c>
      <c r="AZ631" t="s" s="10">
        <v>83</v>
      </c>
      <c r="BA631" t="s" s="10">
        <v>76</v>
      </c>
      <c r="BB631" t="s" s="10">
        <v>76</v>
      </c>
      <c r="BC631" t="s" s="10">
        <v>76</v>
      </c>
      <c r="BD631" t="s" s="10">
        <v>310</v>
      </c>
      <c r="BE631" t="s" s="10">
        <v>311</v>
      </c>
      <c r="BF631" s="18">
        <v>8</v>
      </c>
      <c r="BG631" s="18">
        <v>16</v>
      </c>
      <c r="BH631" t="s" s="10">
        <v>83</v>
      </c>
      <c r="BI631" t="s" s="10">
        <v>83</v>
      </c>
      <c r="BJ631" t="s" s="10">
        <v>83</v>
      </c>
      <c r="BK631" t="s" s="10">
        <v>83</v>
      </c>
      <c r="BL631" t="s" s="10">
        <v>83</v>
      </c>
      <c r="BM631" t="s" s="10">
        <v>312</v>
      </c>
      <c r="BN631" t="s" s="10">
        <v>78</v>
      </c>
      <c r="BO631" t="s" s="19">
        <v>76</v>
      </c>
      <c r="BP631" s="8"/>
    </row>
    <row r="632" ht="9" customHeight="1" hidden="1">
      <c r="A632" t="s" s="13">
        <v>2439</v>
      </c>
      <c r="B632" t="s" s="15">
        <v>69</v>
      </c>
      <c r="C632" t="str" s="14" cm="1">
        <f t="array" ref="C632">_xlfn.IFERROR((VLOOKUP(A632,#REF!,2,FALSE)),"")</f>
      </c>
      <c r="D632" s="14"/>
      <c r="E632" t="s" s="15">
        <v>2440</v>
      </c>
      <c r="F632" s="14"/>
      <c r="G632" t="s" s="15">
        <v>2441</v>
      </c>
      <c r="H632" t="s" s="15">
        <v>609</v>
      </c>
      <c r="I632" t="s" s="15">
        <v>111</v>
      </c>
      <c r="J632" t="s" s="15">
        <v>122</v>
      </c>
      <c r="K632" t="s" s="15">
        <v>113</v>
      </c>
      <c r="L632" t="s" s="15">
        <v>76</v>
      </c>
      <c r="M632" t="s" s="15">
        <v>2441</v>
      </c>
      <c r="N632" t="s" s="15">
        <v>2441</v>
      </c>
      <c r="O632" s="14"/>
      <c r="P632" t="s" s="15">
        <v>122</v>
      </c>
      <c r="Q632" t="s" s="15">
        <v>69</v>
      </c>
      <c r="R632" t="s" s="15">
        <v>83</v>
      </c>
      <c r="S632" s="14"/>
      <c r="T632" s="14"/>
      <c r="U632" s="14"/>
      <c r="V632" t="s" s="15">
        <v>69</v>
      </c>
      <c r="W632" s="14"/>
      <c r="X632" t="s" s="15">
        <v>69</v>
      </c>
      <c r="Y632" s="14"/>
      <c r="Z632" t="s" s="15">
        <v>76</v>
      </c>
      <c r="AA632" s="14"/>
      <c r="AB632" t="s" s="15">
        <v>76</v>
      </c>
      <c r="AC632" t="s" s="15">
        <v>2439</v>
      </c>
      <c r="AD632" t="s" s="15">
        <v>2442</v>
      </c>
      <c r="AE632" s="14"/>
      <c r="AF632" s="14"/>
      <c r="AG632" t="s" s="15">
        <v>299</v>
      </c>
      <c r="AH632" t="s" s="15">
        <v>106</v>
      </c>
      <c r="AI632" t="s" s="15">
        <v>76</v>
      </c>
      <c r="AJ632" t="s" s="15">
        <v>76</v>
      </c>
      <c r="AK632" t="s" s="15">
        <v>79</v>
      </c>
      <c r="AL632" t="s" s="15">
        <v>293</v>
      </c>
      <c r="AM632" t="s" s="15">
        <v>294</v>
      </c>
      <c r="AN632" t="s" s="15">
        <v>187</v>
      </c>
      <c r="AO632" s="17">
        <v>4</v>
      </c>
      <c r="AP632" s="17">
        <v>8192</v>
      </c>
      <c r="AQ632" s="17">
        <v>264285</v>
      </c>
      <c r="AR632" s="17">
        <v>80652</v>
      </c>
      <c r="AS632" t="s" s="15">
        <v>2443</v>
      </c>
      <c r="AT632" t="s" s="15">
        <v>301</v>
      </c>
      <c r="AU632" s="14"/>
      <c r="AV632" s="14"/>
      <c r="AW632" s="14"/>
      <c r="AX632" s="14"/>
      <c r="AY632" s="14"/>
      <c r="AZ632" s="14"/>
      <c r="BA632" s="14"/>
      <c r="BB632" s="14"/>
      <c r="BC632" s="14"/>
      <c r="BD632" t="s" s="15">
        <v>310</v>
      </c>
      <c r="BE632" t="s" s="15">
        <v>356</v>
      </c>
      <c r="BF632" s="14"/>
      <c r="BG632" s="14"/>
      <c r="BH632" s="14"/>
      <c r="BI632" s="14"/>
      <c r="BJ632" s="14"/>
      <c r="BK632" s="14"/>
      <c r="BL632" s="14"/>
      <c r="BM632" s="14"/>
      <c r="BN632" t="s" s="15">
        <v>69</v>
      </c>
      <c r="BO632" s="16"/>
      <c r="BP632" s="8"/>
    </row>
    <row r="633" ht="9" customHeight="1" hidden="1">
      <c r="A633" t="s" s="9">
        <v>2444</v>
      </c>
      <c r="B633" s="11"/>
      <c r="C633" t="str" s="11" cm="1">
        <f t="array" ref="C633">_xlfn.IFERROR((VLOOKUP(A633,#REF!,2,FALSE)),"")</f>
      </c>
      <c r="D633" t="s" s="10">
        <v>70</v>
      </c>
      <c r="E633" t="s" s="10">
        <v>2445</v>
      </c>
      <c r="F633" s="11"/>
      <c r="G633" t="s" s="10">
        <v>2446</v>
      </c>
      <c r="H633" t="s" s="10">
        <v>609</v>
      </c>
      <c r="I633" t="s" s="10">
        <v>111</v>
      </c>
      <c r="J633" t="s" s="10">
        <v>452</v>
      </c>
      <c r="K633" t="s" s="10">
        <v>113</v>
      </c>
      <c r="L633" t="s" s="10">
        <v>76</v>
      </c>
      <c r="M633" t="s" s="10">
        <v>2446</v>
      </c>
      <c r="N633" t="s" s="10">
        <v>2446</v>
      </c>
      <c r="O633" s="11"/>
      <c r="P633" t="s" s="10">
        <v>452</v>
      </c>
      <c r="Q633" t="s" s="10">
        <v>69</v>
      </c>
      <c r="R633" t="s" s="10">
        <v>83</v>
      </c>
      <c r="S633" s="11"/>
      <c r="T633" s="11"/>
      <c r="U633" s="11"/>
      <c r="V633" t="s" s="10">
        <v>69</v>
      </c>
      <c r="W633" s="11"/>
      <c r="X633" t="s" s="10">
        <v>69</v>
      </c>
      <c r="Y633" s="11"/>
      <c r="Z633" t="s" s="10">
        <v>76</v>
      </c>
      <c r="AA633" s="11"/>
      <c r="AB633" t="s" s="10">
        <v>76</v>
      </c>
      <c r="AC633" t="s" s="10">
        <v>2444</v>
      </c>
      <c r="AD633" s="11"/>
      <c r="AE633" s="11"/>
      <c r="AF633" s="11"/>
      <c r="AG633" t="s" s="10">
        <v>453</v>
      </c>
      <c r="AH633" t="s" s="10">
        <v>106</v>
      </c>
      <c r="AI633" t="s" s="10">
        <v>76</v>
      </c>
      <c r="AJ633" t="s" s="10">
        <v>76</v>
      </c>
      <c r="AK633" t="s" s="10">
        <v>79</v>
      </c>
      <c r="AL633" t="s" s="10">
        <v>293</v>
      </c>
      <c r="AM633" t="s" s="10">
        <v>294</v>
      </c>
      <c r="AN633" t="s" s="10">
        <v>2447</v>
      </c>
      <c r="AO633" s="18">
        <v>4</v>
      </c>
      <c r="AP633" s="18">
        <v>8192</v>
      </c>
      <c r="AQ633" s="18">
        <v>264627</v>
      </c>
      <c r="AR633" s="18">
        <v>264627</v>
      </c>
      <c r="AS633" t="s" s="10">
        <v>2448</v>
      </c>
      <c r="AT633" s="11"/>
      <c r="AU633" s="11"/>
      <c r="AV633" s="11"/>
      <c r="AW633" s="11"/>
      <c r="AX633" s="11"/>
      <c r="AY633" s="11"/>
      <c r="AZ633" s="11"/>
      <c r="BA633" s="11"/>
      <c r="BB633" s="11"/>
      <c r="BC633" s="11"/>
      <c r="BD633" t="s" s="10">
        <v>310</v>
      </c>
      <c r="BE633" t="s" s="25">
        <v>419</v>
      </c>
      <c r="BF633" s="23"/>
      <c r="BG633" s="23"/>
      <c r="BH633" s="11"/>
      <c r="BI633" s="11"/>
      <c r="BJ633" s="11"/>
      <c r="BK633" s="11"/>
      <c r="BL633" s="11"/>
      <c r="BM633" s="11"/>
      <c r="BN633" t="s" s="10">
        <v>78</v>
      </c>
      <c r="BO633" s="12"/>
      <c r="BP633" s="8"/>
    </row>
    <row r="634" ht="13.55" customHeight="1">
      <c r="A634" t="s" s="13">
        <v>2449</v>
      </c>
      <c r="B634" s="14"/>
      <c r="C634" t="str" s="14" cm="1">
        <f t="array" ref="C634">_xlfn.IFERROR((VLOOKUP(A634,#REF!,2,FALSE)),"")</f>
      </c>
      <c r="D634" s="14"/>
      <c r="E634" t="s" s="15">
        <v>2450</v>
      </c>
      <c r="F634" t="s" s="15">
        <v>76</v>
      </c>
      <c r="G634" t="s" s="15">
        <v>2451</v>
      </c>
      <c r="H634" t="s" s="15">
        <v>1183</v>
      </c>
      <c r="I634" t="s" s="15">
        <v>111</v>
      </c>
      <c r="J634" t="s" s="15">
        <v>112</v>
      </c>
      <c r="K634" t="s" s="15">
        <v>113</v>
      </c>
      <c r="L634" t="s" s="15">
        <v>518</v>
      </c>
      <c r="M634" t="s" s="15">
        <v>2451</v>
      </c>
      <c r="N634" t="s" s="15">
        <v>2451</v>
      </c>
      <c r="O634" t="s" s="15">
        <v>1162</v>
      </c>
      <c r="P634" t="s" s="15">
        <v>469</v>
      </c>
      <c r="Q634" t="s" s="15">
        <v>78</v>
      </c>
      <c r="R634" t="s" s="15">
        <v>83</v>
      </c>
      <c r="S634" s="14"/>
      <c r="T634" s="14"/>
      <c r="U634" s="14"/>
      <c r="V634" t="s" s="15">
        <v>69</v>
      </c>
      <c r="W634" s="14"/>
      <c r="X634" t="s" s="15">
        <v>69</v>
      </c>
      <c r="Y634" s="14"/>
      <c r="Z634" t="s" s="15">
        <v>205</v>
      </c>
      <c r="AA634" s="14"/>
      <c r="AB634" t="s" s="15">
        <v>1184</v>
      </c>
      <c r="AC634" t="s" s="15">
        <v>1226</v>
      </c>
      <c r="AD634" s="14"/>
      <c r="AE634" s="14"/>
      <c r="AF634" s="14"/>
      <c r="AG634" t="s" s="15">
        <v>299</v>
      </c>
      <c r="AH634" t="s" s="15">
        <v>114</v>
      </c>
      <c r="AI634" t="s" s="15">
        <v>290</v>
      </c>
      <c r="AJ634" t="s" s="15">
        <v>827</v>
      </c>
      <c r="AK634" t="s" s="15">
        <v>1195</v>
      </c>
      <c r="AL634" t="s" s="15">
        <v>293</v>
      </c>
      <c r="AM634" t="s" s="15">
        <v>294</v>
      </c>
      <c r="AN634" t="s" s="15">
        <v>2304</v>
      </c>
      <c r="AO634" s="17">
        <v>4</v>
      </c>
      <c r="AP634" s="17">
        <v>4096</v>
      </c>
      <c r="AQ634" s="17">
        <v>106592</v>
      </c>
      <c r="AR634" s="17">
        <v>27121</v>
      </c>
      <c r="AS634" t="s" s="15">
        <v>2452</v>
      </c>
      <c r="AT634" t="s" s="15">
        <v>301</v>
      </c>
      <c r="AU634" s="14"/>
      <c r="AV634" s="14"/>
      <c r="AW634" t="s" s="15">
        <v>83</v>
      </c>
      <c r="AX634" t="s" s="15">
        <v>83</v>
      </c>
      <c r="AY634" t="s" s="15">
        <v>309</v>
      </c>
      <c r="AZ634" t="s" s="15">
        <v>83</v>
      </c>
      <c r="BA634" t="s" s="15">
        <v>76</v>
      </c>
      <c r="BB634" t="s" s="15">
        <v>76</v>
      </c>
      <c r="BC634" t="s" s="15">
        <v>76</v>
      </c>
      <c r="BD634" t="s" s="15">
        <v>310</v>
      </c>
      <c r="BE634" t="s" s="15">
        <v>356</v>
      </c>
      <c r="BF634" s="17">
        <v>4</v>
      </c>
      <c r="BG634" s="17">
        <v>8</v>
      </c>
      <c r="BH634" t="s" s="15">
        <v>83</v>
      </c>
      <c r="BI634" t="s" s="15">
        <v>83</v>
      </c>
      <c r="BJ634" t="s" s="15">
        <v>83</v>
      </c>
      <c r="BK634" t="s" s="15">
        <v>83</v>
      </c>
      <c r="BL634" t="s" s="15">
        <v>83</v>
      </c>
      <c r="BM634" t="s" s="15">
        <v>312</v>
      </c>
      <c r="BN634" t="s" s="15">
        <v>69</v>
      </c>
      <c r="BO634" t="s" s="21">
        <v>76</v>
      </c>
      <c r="BP634" s="8"/>
    </row>
    <row r="635" ht="13.55" customHeight="1">
      <c r="A635" t="s" s="9">
        <v>2453</v>
      </c>
      <c r="B635" s="11"/>
      <c r="C635" t="str" s="11" cm="1">
        <f t="array" ref="C635">_xlfn.IFERROR((VLOOKUP(A635,#REF!,2,FALSE)),"")</f>
      </c>
      <c r="D635" s="11"/>
      <c r="E635" t="s" s="10">
        <v>2454</v>
      </c>
      <c r="F635" t="s" s="10">
        <v>76</v>
      </c>
      <c r="G635" t="s" s="10">
        <v>2455</v>
      </c>
      <c r="H635" t="s" s="10">
        <v>1183</v>
      </c>
      <c r="I635" t="s" s="10">
        <v>111</v>
      </c>
      <c r="J635" t="s" s="10">
        <v>112</v>
      </c>
      <c r="K635" t="s" s="10">
        <v>113</v>
      </c>
      <c r="L635" t="s" s="10">
        <v>518</v>
      </c>
      <c r="M635" t="s" s="10">
        <v>2455</v>
      </c>
      <c r="N635" t="s" s="10">
        <v>2455</v>
      </c>
      <c r="O635" t="s" s="10">
        <v>1162</v>
      </c>
      <c r="P635" t="s" s="10">
        <v>469</v>
      </c>
      <c r="Q635" t="s" s="10">
        <v>78</v>
      </c>
      <c r="R635" t="s" s="10">
        <v>83</v>
      </c>
      <c r="S635" s="11"/>
      <c r="T635" s="11"/>
      <c r="U635" s="11"/>
      <c r="V635" t="s" s="10">
        <v>69</v>
      </c>
      <c r="W635" s="11"/>
      <c r="X635" t="s" s="10">
        <v>69</v>
      </c>
      <c r="Y635" s="11"/>
      <c r="Z635" t="s" s="10">
        <v>205</v>
      </c>
      <c r="AA635" s="11"/>
      <c r="AB635" t="s" s="10">
        <v>1184</v>
      </c>
      <c r="AC635" t="s" s="10">
        <v>1226</v>
      </c>
      <c r="AD635" s="11"/>
      <c r="AE635" s="11"/>
      <c r="AF635" s="11"/>
      <c r="AG635" t="s" s="10">
        <v>299</v>
      </c>
      <c r="AH635" t="s" s="10">
        <v>114</v>
      </c>
      <c r="AI635" t="s" s="10">
        <v>290</v>
      </c>
      <c r="AJ635" t="s" s="10">
        <v>827</v>
      </c>
      <c r="AK635" t="s" s="10">
        <v>1195</v>
      </c>
      <c r="AL635" t="s" s="10">
        <v>293</v>
      </c>
      <c r="AM635" t="s" s="10">
        <v>294</v>
      </c>
      <c r="AN635" t="s" s="10">
        <v>1343</v>
      </c>
      <c r="AO635" s="18">
        <v>4</v>
      </c>
      <c r="AP635" s="18">
        <v>4096</v>
      </c>
      <c r="AQ635" s="18">
        <v>285797</v>
      </c>
      <c r="AR635" s="18">
        <v>222521</v>
      </c>
      <c r="AS635" t="s" s="10">
        <v>2456</v>
      </c>
      <c r="AT635" t="s" s="10">
        <v>301</v>
      </c>
      <c r="AU635" s="11"/>
      <c r="AV635" s="11"/>
      <c r="AW635" t="s" s="10">
        <v>83</v>
      </c>
      <c r="AX635" t="s" s="10">
        <v>83</v>
      </c>
      <c r="AY635" t="s" s="10">
        <v>309</v>
      </c>
      <c r="AZ635" t="s" s="10">
        <v>83</v>
      </c>
      <c r="BA635" t="s" s="10">
        <v>76</v>
      </c>
      <c r="BB635" t="s" s="10">
        <v>76</v>
      </c>
      <c r="BC635" t="s" s="10">
        <v>76</v>
      </c>
      <c r="BD635" t="s" s="10">
        <v>310</v>
      </c>
      <c r="BE635" t="s" s="10">
        <v>356</v>
      </c>
      <c r="BF635" s="18">
        <v>4</v>
      </c>
      <c r="BG635" s="18">
        <v>8</v>
      </c>
      <c r="BH635" t="s" s="10">
        <v>83</v>
      </c>
      <c r="BI635" t="s" s="10">
        <v>83</v>
      </c>
      <c r="BJ635" t="s" s="10">
        <v>83</v>
      </c>
      <c r="BK635" t="s" s="10">
        <v>83</v>
      </c>
      <c r="BL635" t="s" s="10">
        <v>83</v>
      </c>
      <c r="BM635" t="s" s="10">
        <v>312</v>
      </c>
      <c r="BN635" t="s" s="10">
        <v>69</v>
      </c>
      <c r="BO635" t="s" s="19">
        <v>76</v>
      </c>
      <c r="BP635" s="8"/>
    </row>
    <row r="636" ht="15" customHeight="1">
      <c r="A636" t="s" s="13">
        <v>2457</v>
      </c>
      <c r="B636" s="14"/>
      <c r="C636" t="str" s="14" cm="1">
        <f t="array" ref="C636">_xlfn.IFERROR((VLOOKUP(A636,#REF!,2,FALSE)),"")</f>
      </c>
      <c r="D636" s="14"/>
      <c r="E636" t="s" s="15">
        <v>2458</v>
      </c>
      <c r="F636" s="14"/>
      <c r="G636" t="s" s="15">
        <v>2459</v>
      </c>
      <c r="H636" t="s" s="15">
        <v>1183</v>
      </c>
      <c r="I636" t="s" s="15">
        <v>111</v>
      </c>
      <c r="J636" t="s" s="15">
        <v>112</v>
      </c>
      <c r="K636" t="s" s="15">
        <v>113</v>
      </c>
      <c r="L636" t="s" s="15">
        <v>518</v>
      </c>
      <c r="M636" t="s" s="15">
        <v>2459</v>
      </c>
      <c r="N636" t="s" s="15">
        <v>2459</v>
      </c>
      <c r="O636" t="s" s="15">
        <v>1162</v>
      </c>
      <c r="P636" t="s" s="15">
        <v>469</v>
      </c>
      <c r="Q636" t="s" s="15">
        <v>78</v>
      </c>
      <c r="R636" t="s" s="15">
        <v>83</v>
      </c>
      <c r="S636" s="14"/>
      <c r="T636" s="14"/>
      <c r="U636" s="14"/>
      <c r="V636" t="s" s="15">
        <v>69</v>
      </c>
      <c r="W636" s="14"/>
      <c r="X636" t="s" s="15">
        <v>69</v>
      </c>
      <c r="Y636" s="14"/>
      <c r="Z636" t="s" s="15">
        <v>205</v>
      </c>
      <c r="AA636" s="14"/>
      <c r="AB636" t="s" s="15">
        <v>1184</v>
      </c>
      <c r="AC636" t="s" s="15">
        <v>1226</v>
      </c>
      <c r="AD636" s="14"/>
      <c r="AE636" s="14"/>
      <c r="AF636" s="14"/>
      <c r="AG636" t="s" s="15">
        <v>299</v>
      </c>
      <c r="AH636" t="s" s="15">
        <v>114</v>
      </c>
      <c r="AI636" t="s" s="15">
        <v>290</v>
      </c>
      <c r="AJ636" t="s" s="15">
        <v>827</v>
      </c>
      <c r="AK636" t="s" s="15">
        <v>1195</v>
      </c>
      <c r="AL636" t="s" s="15">
        <v>293</v>
      </c>
      <c r="AM636" t="s" s="15">
        <v>294</v>
      </c>
      <c r="AN636" t="s" s="15">
        <v>1343</v>
      </c>
      <c r="AO636" s="17">
        <v>4</v>
      </c>
      <c r="AP636" s="17">
        <v>4096</v>
      </c>
      <c r="AQ636" s="17">
        <v>106597</v>
      </c>
      <c r="AR636" s="17">
        <v>53586</v>
      </c>
      <c r="AS636" t="s" s="15">
        <v>2460</v>
      </c>
      <c r="AT636" t="s" s="15">
        <v>301</v>
      </c>
      <c r="AU636" s="14"/>
      <c r="AV636" s="14"/>
      <c r="AW636" t="s" s="15">
        <v>83</v>
      </c>
      <c r="AX636" t="s" s="15">
        <v>83</v>
      </c>
      <c r="AY636" t="s" s="15">
        <v>309</v>
      </c>
      <c r="AZ636" t="s" s="15">
        <v>83</v>
      </c>
      <c r="BA636" t="s" s="15">
        <v>76</v>
      </c>
      <c r="BB636" t="s" s="15">
        <v>76</v>
      </c>
      <c r="BC636" t="s" s="15">
        <v>76</v>
      </c>
      <c r="BD636" t="s" s="15">
        <v>310</v>
      </c>
      <c r="BE636" t="s" s="15">
        <v>356</v>
      </c>
      <c r="BF636" s="17">
        <v>4</v>
      </c>
      <c r="BG636" s="17">
        <v>8</v>
      </c>
      <c r="BH636" t="s" s="15">
        <v>83</v>
      </c>
      <c r="BI636" t="s" s="15">
        <v>83</v>
      </c>
      <c r="BJ636" t="s" s="15">
        <v>83</v>
      </c>
      <c r="BK636" t="s" s="15">
        <v>83</v>
      </c>
      <c r="BL636" t="s" s="15">
        <v>83</v>
      </c>
      <c r="BM636" t="s" s="15">
        <v>312</v>
      </c>
      <c r="BN636" t="s" s="15">
        <v>69</v>
      </c>
      <c r="BO636" t="s" s="21">
        <v>76</v>
      </c>
      <c r="BP636" s="8"/>
    </row>
    <row r="637" ht="15" customHeight="1">
      <c r="A637" t="s" s="9">
        <v>2461</v>
      </c>
      <c r="B637" s="11"/>
      <c r="C637" t="str" s="11" cm="1">
        <f t="array" ref="C637">_xlfn.IFERROR((VLOOKUP(A637,#REF!,2,FALSE)),"")</f>
      </c>
      <c r="D637" s="11"/>
      <c r="E637" t="s" s="10">
        <v>2462</v>
      </c>
      <c r="F637" t="s" s="10">
        <v>2463</v>
      </c>
      <c r="G637" t="s" s="10">
        <v>2464</v>
      </c>
      <c r="H637" t="s" s="10">
        <v>1183</v>
      </c>
      <c r="I637" t="s" s="10">
        <v>111</v>
      </c>
      <c r="J637" t="s" s="10">
        <v>112</v>
      </c>
      <c r="K637" t="s" s="10">
        <v>113</v>
      </c>
      <c r="L637" t="s" s="10">
        <v>518</v>
      </c>
      <c r="M637" t="s" s="10">
        <v>2464</v>
      </c>
      <c r="N637" t="s" s="10">
        <v>2464</v>
      </c>
      <c r="O637" t="s" s="10">
        <v>1162</v>
      </c>
      <c r="P637" t="s" s="10">
        <v>469</v>
      </c>
      <c r="Q637" t="s" s="10">
        <v>78</v>
      </c>
      <c r="R637" t="s" s="10">
        <v>83</v>
      </c>
      <c r="S637" s="11"/>
      <c r="T637" s="11"/>
      <c r="U637" s="11"/>
      <c r="V637" t="s" s="10">
        <v>69</v>
      </c>
      <c r="W637" s="11"/>
      <c r="X637" t="s" s="10">
        <v>69</v>
      </c>
      <c r="Y637" s="11"/>
      <c r="Z637" t="s" s="10">
        <v>205</v>
      </c>
      <c r="AA637" s="11"/>
      <c r="AB637" t="s" s="10">
        <v>1184</v>
      </c>
      <c r="AC637" t="s" s="10">
        <v>1226</v>
      </c>
      <c r="AD637" s="11"/>
      <c r="AE637" s="11"/>
      <c r="AF637" s="11"/>
      <c r="AG637" t="s" s="10">
        <v>299</v>
      </c>
      <c r="AH637" t="s" s="10">
        <v>114</v>
      </c>
      <c r="AI637" t="s" s="10">
        <v>290</v>
      </c>
      <c r="AJ637" t="s" s="10">
        <v>827</v>
      </c>
      <c r="AK637" t="s" s="10">
        <v>1195</v>
      </c>
      <c r="AL637" t="s" s="10">
        <v>293</v>
      </c>
      <c r="AM637" t="s" s="10">
        <v>294</v>
      </c>
      <c r="AN637" t="s" s="10">
        <v>1730</v>
      </c>
      <c r="AO637" s="18">
        <v>4</v>
      </c>
      <c r="AP637" s="18">
        <v>10240</v>
      </c>
      <c r="AQ637" s="18">
        <v>1946585</v>
      </c>
      <c r="AR637" s="18">
        <v>1109257</v>
      </c>
      <c r="AS637" t="s" s="10">
        <v>2465</v>
      </c>
      <c r="AT637" t="s" s="10">
        <v>301</v>
      </c>
      <c r="AU637" s="11"/>
      <c r="AV637" s="11"/>
      <c r="AW637" t="s" s="10">
        <v>83</v>
      </c>
      <c r="AX637" t="s" s="10">
        <v>83</v>
      </c>
      <c r="AY637" t="s" s="10">
        <v>309</v>
      </c>
      <c r="AZ637" t="s" s="10">
        <v>83</v>
      </c>
      <c r="BA637" t="s" s="10">
        <v>76</v>
      </c>
      <c r="BB637" t="s" s="10">
        <v>76</v>
      </c>
      <c r="BC637" t="s" s="10">
        <v>76</v>
      </c>
      <c r="BD637" t="s" s="10">
        <v>310</v>
      </c>
      <c r="BE637" t="s" s="10">
        <v>394</v>
      </c>
      <c r="BF637" s="18">
        <v>4</v>
      </c>
      <c r="BG637" s="18">
        <v>16</v>
      </c>
      <c r="BH637" t="s" s="10">
        <v>83</v>
      </c>
      <c r="BI637" t="s" s="10">
        <v>83</v>
      </c>
      <c r="BJ637" t="s" s="10">
        <v>83</v>
      </c>
      <c r="BK637" t="s" s="10">
        <v>83</v>
      </c>
      <c r="BL637" t="s" s="10">
        <v>83</v>
      </c>
      <c r="BM637" t="s" s="10">
        <v>312</v>
      </c>
      <c r="BN637" t="s" s="10">
        <v>69</v>
      </c>
      <c r="BO637" t="s" s="19">
        <v>76</v>
      </c>
      <c r="BP637" s="8"/>
    </row>
    <row r="638" ht="9" customHeight="1" hidden="1">
      <c r="A638" t="s" s="13">
        <v>2466</v>
      </c>
      <c r="B638" s="14"/>
      <c r="C638" t="str" s="14" cm="1">
        <f t="array" ref="C638">_xlfn.IFERROR((VLOOKUP(A638,#REF!,2,FALSE)),"")</f>
      </c>
      <c r="D638" s="14"/>
      <c r="E638" t="s" s="15">
        <v>2467</v>
      </c>
      <c r="F638" s="14"/>
      <c r="G638" t="s" s="15">
        <v>2468</v>
      </c>
      <c r="H638" t="s" s="15">
        <v>2469</v>
      </c>
      <c r="I638" t="s" s="15">
        <v>73</v>
      </c>
      <c r="J638" t="s" s="15">
        <v>74</v>
      </c>
      <c r="K638" t="s" s="15">
        <v>113</v>
      </c>
      <c r="L638" t="s" s="15">
        <v>76</v>
      </c>
      <c r="M638" t="s" s="15">
        <v>2468</v>
      </c>
      <c r="N638" s="14"/>
      <c r="O638" t="s" s="15">
        <v>71</v>
      </c>
      <c r="P638" t="s" s="15">
        <v>469</v>
      </c>
      <c r="Q638" t="s" s="15">
        <v>69</v>
      </c>
      <c r="R638" t="s" s="15">
        <v>71</v>
      </c>
      <c r="S638" s="14"/>
      <c r="T638" s="14"/>
      <c r="U638" s="14"/>
      <c r="V638" t="s" s="15">
        <v>69</v>
      </c>
      <c r="W638" t="s" s="15">
        <v>2466</v>
      </c>
      <c r="X638" t="s" s="15">
        <v>78</v>
      </c>
      <c r="Y638" s="14"/>
      <c r="Z638" t="s" s="15">
        <v>76</v>
      </c>
      <c r="AA638" s="14"/>
      <c r="AB638" t="s" s="15">
        <v>76</v>
      </c>
      <c r="AC638" t="s" s="15">
        <v>2466</v>
      </c>
      <c r="AD638" t="s" s="15">
        <v>2470</v>
      </c>
      <c r="AE638" s="14"/>
      <c r="AF638" s="14"/>
      <c r="AG638" t="s" s="15">
        <v>299</v>
      </c>
      <c r="AH638" t="s" s="15">
        <v>106</v>
      </c>
      <c r="AI638" t="s" s="15">
        <v>76</v>
      </c>
      <c r="AJ638" t="s" s="15">
        <v>76</v>
      </c>
      <c r="AK638" t="s" s="15">
        <v>79</v>
      </c>
      <c r="AL638" t="s" s="15">
        <v>293</v>
      </c>
      <c r="AM638" t="s" s="15">
        <v>294</v>
      </c>
      <c r="AN638" t="s" s="15">
        <v>187</v>
      </c>
      <c r="AO638" s="17">
        <v>4</v>
      </c>
      <c r="AP638" s="17">
        <v>8192</v>
      </c>
      <c r="AQ638" s="17">
        <v>213108</v>
      </c>
      <c r="AR638" s="17">
        <v>40159</v>
      </c>
      <c r="AS638" t="s" s="15">
        <v>2471</v>
      </c>
      <c r="AT638" t="s" s="15">
        <v>301</v>
      </c>
      <c r="AU638" s="14"/>
      <c r="AV638" s="14"/>
      <c r="AW638" s="14"/>
      <c r="AX638" s="14"/>
      <c r="AY638" s="14"/>
      <c r="AZ638" s="14"/>
      <c r="BA638" s="14"/>
      <c r="BB638" s="14"/>
      <c r="BC638" s="14"/>
      <c r="BD638" t="s" s="15">
        <v>310</v>
      </c>
      <c r="BE638" t="s" s="24">
        <v>419</v>
      </c>
      <c r="BF638" s="20"/>
      <c r="BG638" s="20"/>
      <c r="BH638" s="14"/>
      <c r="BI638" s="14"/>
      <c r="BJ638" s="14"/>
      <c r="BK638" s="14"/>
      <c r="BL638" s="14"/>
      <c r="BM638" s="14"/>
      <c r="BN638" s="14"/>
      <c r="BO638" s="16"/>
      <c r="BP638" s="8"/>
    </row>
    <row r="639" ht="15" customHeight="1" hidden="1">
      <c r="A639" t="s" s="9">
        <v>2472</v>
      </c>
      <c r="B639" s="11"/>
      <c r="C639" t="str" s="11" cm="1">
        <f t="array" ref="C639">_xlfn.IFERROR((VLOOKUP(A639,#REF!,2,FALSE)),"")</f>
      </c>
      <c r="D639" t="s" s="10">
        <v>70</v>
      </c>
      <c r="E639" t="s" s="10">
        <v>450</v>
      </c>
      <c r="F639" s="11"/>
      <c r="G639" t="s" s="10">
        <v>2473</v>
      </c>
      <c r="H639" t="s" s="10">
        <v>741</v>
      </c>
      <c r="I639" t="s" s="10">
        <v>111</v>
      </c>
      <c r="J639" t="s" s="10">
        <v>469</v>
      </c>
      <c r="K639" t="s" s="10">
        <v>140</v>
      </c>
      <c r="L639" t="s" s="10">
        <v>518</v>
      </c>
      <c r="M639" t="s" s="10">
        <v>2473</v>
      </c>
      <c r="N639" t="s" s="10">
        <v>2473</v>
      </c>
      <c r="O639" s="11"/>
      <c r="P639" t="s" s="10">
        <v>469</v>
      </c>
      <c r="Q639" t="s" s="10">
        <v>78</v>
      </c>
      <c r="R639" t="s" s="10">
        <v>83</v>
      </c>
      <c r="S639" s="11"/>
      <c r="T639" s="11"/>
      <c r="U639" s="11"/>
      <c r="V639" t="s" s="10">
        <v>69</v>
      </c>
      <c r="W639" s="11"/>
      <c r="X639" t="s" s="10">
        <v>69</v>
      </c>
      <c r="Y639" s="11"/>
      <c r="Z639" t="s" s="10">
        <v>552</v>
      </c>
      <c r="AA639" s="11"/>
      <c r="AB639" t="s" s="10">
        <v>743</v>
      </c>
      <c r="AC639" s="11"/>
      <c r="AD639" s="11"/>
      <c r="AE639" s="11"/>
      <c r="AF639" t="s" s="10">
        <v>741</v>
      </c>
      <c r="AG639" t="s" s="10">
        <v>453</v>
      </c>
      <c r="AH639" t="s" s="10">
        <v>289</v>
      </c>
      <c r="AI639" t="s" s="10">
        <v>332</v>
      </c>
      <c r="AJ639" t="s" s="10">
        <v>473</v>
      </c>
      <c r="AK639" t="s" s="10">
        <v>83</v>
      </c>
      <c r="AL639" t="s" s="10">
        <v>293</v>
      </c>
      <c r="AM639" t="s" s="10">
        <v>294</v>
      </c>
      <c r="AN639" t="s" s="10">
        <v>1343</v>
      </c>
      <c r="AO639" s="18">
        <v>4</v>
      </c>
      <c r="AP639" s="18">
        <v>4096</v>
      </c>
      <c r="AQ639" s="18">
        <v>1499522</v>
      </c>
      <c r="AR639" s="18">
        <v>1499522</v>
      </c>
      <c r="AS639" t="s" s="10">
        <v>2474</v>
      </c>
      <c r="AT639" s="11"/>
      <c r="AU639" s="11"/>
      <c r="AV639" s="11"/>
      <c r="AW639" t="s" s="10">
        <v>2475</v>
      </c>
      <c r="AX639" s="11"/>
      <c r="AY639" s="11"/>
      <c r="AZ639" s="11"/>
      <c r="BA639" s="11"/>
      <c r="BB639" s="11"/>
      <c r="BC639" s="11"/>
      <c r="BD639" t="s" s="10">
        <v>366</v>
      </c>
      <c r="BE639" t="s" s="10">
        <v>367</v>
      </c>
      <c r="BF639" s="11"/>
      <c r="BG639" s="11"/>
      <c r="BH639" s="11"/>
      <c r="BI639" s="11"/>
      <c r="BJ639" s="11"/>
      <c r="BK639" s="11"/>
      <c r="BL639" s="11"/>
      <c r="BM639" s="11"/>
      <c r="BN639" t="s" s="10">
        <v>78</v>
      </c>
      <c r="BO639" s="12"/>
      <c r="BP639" s="8"/>
    </row>
    <row r="640" ht="15" customHeight="1" hidden="1">
      <c r="A640" t="s" s="13">
        <v>2476</v>
      </c>
      <c r="B640" s="14"/>
      <c r="C640" t="str" s="14" cm="1">
        <f t="array" ref="C640">_xlfn.IFERROR((VLOOKUP(A640,#REF!,2,FALSE)),"")</f>
      </c>
      <c r="D640" s="14"/>
      <c r="E640" s="14"/>
      <c r="F640" s="14"/>
      <c r="G640" t="s" s="15">
        <v>1198</v>
      </c>
      <c r="H640" t="s" s="15">
        <v>1198</v>
      </c>
      <c r="I640" t="s" s="15">
        <v>111</v>
      </c>
      <c r="J640" t="s" s="15">
        <v>122</v>
      </c>
      <c r="K640" t="s" s="15">
        <v>210</v>
      </c>
      <c r="L640" t="s" s="15">
        <v>76</v>
      </c>
      <c r="M640" t="s" s="15">
        <v>1198</v>
      </c>
      <c r="N640" t="s" s="15">
        <v>1198</v>
      </c>
      <c r="O640" s="14"/>
      <c r="P640" t="s" s="15">
        <v>469</v>
      </c>
      <c r="Q640" t="s" s="15">
        <v>69</v>
      </c>
      <c r="R640" t="s" s="15">
        <v>83</v>
      </c>
      <c r="S640" s="14"/>
      <c r="T640" s="14"/>
      <c r="U640" s="14"/>
      <c r="V640" t="s" s="15">
        <v>69</v>
      </c>
      <c r="W640" s="14"/>
      <c r="X640" t="s" s="15">
        <v>69</v>
      </c>
      <c r="Y640" s="14"/>
      <c r="Z640" t="s" s="15">
        <v>76</v>
      </c>
      <c r="AA640" s="14"/>
      <c r="AB640" t="s" s="15">
        <v>76</v>
      </c>
      <c r="AC640" t="s" s="15">
        <v>2476</v>
      </c>
      <c r="AD640" t="s" s="15">
        <v>2477</v>
      </c>
      <c r="AE640" s="14"/>
      <c r="AF640" t="s" s="15">
        <v>76</v>
      </c>
      <c r="AG640" t="s" s="15">
        <v>299</v>
      </c>
      <c r="AH640" t="s" s="15">
        <v>114</v>
      </c>
      <c r="AI640" t="s" s="15">
        <v>332</v>
      </c>
      <c r="AJ640" t="s" s="15">
        <v>798</v>
      </c>
      <c r="AK640" t="s" s="15">
        <v>83</v>
      </c>
      <c r="AL640" t="s" s="15">
        <v>293</v>
      </c>
      <c r="AM640" t="s" s="15">
        <v>294</v>
      </c>
      <c r="AN640" t="s" s="15">
        <v>187</v>
      </c>
      <c r="AO640" s="17">
        <v>4</v>
      </c>
      <c r="AP640" s="17">
        <v>8192</v>
      </c>
      <c r="AQ640" s="17">
        <v>213098</v>
      </c>
      <c r="AR640" s="17">
        <v>213098</v>
      </c>
      <c r="AS640" t="s" s="15">
        <v>2478</v>
      </c>
      <c r="AT640" t="s" s="15">
        <v>301</v>
      </c>
      <c r="AU640" s="14"/>
      <c r="AV640" s="14"/>
      <c r="AW640" s="14"/>
      <c r="AX640" s="14"/>
      <c r="AY640" s="14"/>
      <c r="AZ640" s="14"/>
      <c r="BA640" s="14"/>
      <c r="BB640" s="14"/>
      <c r="BC640" s="14"/>
      <c r="BD640" t="s" s="15">
        <v>310</v>
      </c>
      <c r="BE640" t="s" s="15">
        <v>356</v>
      </c>
      <c r="BF640" s="17">
        <v>4</v>
      </c>
      <c r="BG640" s="17">
        <v>8</v>
      </c>
      <c r="BH640" s="14"/>
      <c r="BI640" s="14"/>
      <c r="BJ640" s="14"/>
      <c r="BK640" s="14"/>
      <c r="BL640" s="14"/>
      <c r="BM640" s="14"/>
      <c r="BN640" t="s" s="15">
        <v>78</v>
      </c>
      <c r="BO640" s="16"/>
      <c r="BP640" s="8"/>
    </row>
    <row r="641" ht="15" customHeight="1" hidden="1">
      <c r="A641" t="s" s="9">
        <v>2479</v>
      </c>
      <c r="B641" s="11"/>
      <c r="C641" t="str" s="11" cm="1">
        <f t="array" ref="C641">_xlfn.IFERROR((VLOOKUP(A641,#REF!,2,FALSE)),"")</f>
      </c>
      <c r="D641" t="s" s="10">
        <v>70</v>
      </c>
      <c r="E641" t="s" s="10">
        <v>450</v>
      </c>
      <c r="F641" s="11"/>
      <c r="G641" t="s" s="10">
        <v>2480</v>
      </c>
      <c r="H641" t="s" s="10">
        <v>2481</v>
      </c>
      <c r="I641" t="s" s="10">
        <v>111</v>
      </c>
      <c r="J641" t="s" s="10">
        <v>452</v>
      </c>
      <c r="K641" t="s" s="10">
        <v>113</v>
      </c>
      <c r="L641" t="s" s="10">
        <v>518</v>
      </c>
      <c r="M641" t="s" s="10">
        <v>2480</v>
      </c>
      <c r="N641" t="s" s="10">
        <v>2480</v>
      </c>
      <c r="O641" s="11"/>
      <c r="P641" t="s" s="10">
        <v>452</v>
      </c>
      <c r="Q641" t="s" s="10">
        <v>78</v>
      </c>
      <c r="R641" t="s" s="10">
        <v>83</v>
      </c>
      <c r="S641" s="11"/>
      <c r="T641" t="s" s="10">
        <v>69</v>
      </c>
      <c r="U641" s="11"/>
      <c r="V641" t="s" s="10">
        <v>69</v>
      </c>
      <c r="W641" s="11"/>
      <c r="X641" t="s" s="10">
        <v>69</v>
      </c>
      <c r="Y641" s="11"/>
      <c r="Z641" t="s" s="10">
        <v>552</v>
      </c>
      <c r="AA641" s="11"/>
      <c r="AB641" t="s" s="10">
        <v>1691</v>
      </c>
      <c r="AC641" s="11"/>
      <c r="AD641" s="11"/>
      <c r="AE641" s="11"/>
      <c r="AF641" s="11"/>
      <c r="AG641" t="s" s="10">
        <v>453</v>
      </c>
      <c r="AH641" t="s" s="10">
        <v>289</v>
      </c>
      <c r="AI641" t="s" s="10">
        <v>440</v>
      </c>
      <c r="AJ641" s="11"/>
      <c r="AK641" t="s" s="10">
        <v>524</v>
      </c>
      <c r="AL641" t="s" s="10">
        <v>293</v>
      </c>
      <c r="AM641" t="s" s="10">
        <v>294</v>
      </c>
      <c r="AN641" t="s" s="10">
        <v>1239</v>
      </c>
      <c r="AO641" s="18">
        <v>4</v>
      </c>
      <c r="AP641" s="18">
        <v>16384</v>
      </c>
      <c r="AQ641" s="18">
        <v>262264</v>
      </c>
      <c r="AR641" s="18">
        <v>138168</v>
      </c>
      <c r="AS641" t="s" s="10">
        <v>2482</v>
      </c>
      <c r="AT641" s="11"/>
      <c r="AU641" s="11"/>
      <c r="AV641" s="11"/>
      <c r="AW641" t="s" s="10">
        <v>2483</v>
      </c>
      <c r="AX641" s="11"/>
      <c r="AY641" s="11"/>
      <c r="AZ641" s="11"/>
      <c r="BA641" s="11"/>
      <c r="BB641" s="11"/>
      <c r="BC641" s="11"/>
      <c r="BD641" t="s" s="10">
        <v>310</v>
      </c>
      <c r="BE641" t="s" s="10">
        <v>356</v>
      </c>
      <c r="BF641" s="11"/>
      <c r="BG641" s="11"/>
      <c r="BH641" s="11"/>
      <c r="BI641" s="11"/>
      <c r="BJ641" s="11"/>
      <c r="BK641" s="11"/>
      <c r="BL641" s="11"/>
      <c r="BM641" s="11"/>
      <c r="BN641" t="s" s="10">
        <v>78</v>
      </c>
      <c r="BO641" s="12"/>
      <c r="BP641" s="8"/>
    </row>
    <row r="642" ht="15" customHeight="1" hidden="1">
      <c r="A642" t="s" s="13">
        <v>2484</v>
      </c>
      <c r="B642" s="14"/>
      <c r="C642" t="str" s="14" cm="1">
        <f t="array" ref="C642">_xlfn.IFERROR((VLOOKUP(A642,#REF!,2,FALSE)),"")</f>
      </c>
      <c r="D642" t="s" s="15">
        <v>70</v>
      </c>
      <c r="E642" t="s" s="15">
        <v>450</v>
      </c>
      <c r="F642" s="14"/>
      <c r="G642" t="s" s="15">
        <v>2485</v>
      </c>
      <c r="H642" t="s" s="15">
        <v>2486</v>
      </c>
      <c r="I642" t="s" s="15">
        <v>111</v>
      </c>
      <c r="J642" t="s" s="15">
        <v>452</v>
      </c>
      <c r="K642" t="s" s="15">
        <v>113</v>
      </c>
      <c r="L642" t="s" s="15">
        <v>518</v>
      </c>
      <c r="M642" t="s" s="15">
        <v>2485</v>
      </c>
      <c r="N642" t="s" s="15">
        <v>2485</v>
      </c>
      <c r="O642" s="14"/>
      <c r="P642" t="s" s="15">
        <v>452</v>
      </c>
      <c r="Q642" t="s" s="15">
        <v>78</v>
      </c>
      <c r="R642" t="s" s="15">
        <v>83</v>
      </c>
      <c r="S642" s="14"/>
      <c r="T642" t="s" s="15">
        <v>69</v>
      </c>
      <c r="U642" s="14"/>
      <c r="V642" t="s" s="15">
        <v>78</v>
      </c>
      <c r="W642" s="14"/>
      <c r="X642" t="s" s="15">
        <v>69</v>
      </c>
      <c r="Y642" s="14"/>
      <c r="Z642" t="s" s="15">
        <v>552</v>
      </c>
      <c r="AA642" s="14"/>
      <c r="AB642" t="s" s="15">
        <v>1691</v>
      </c>
      <c r="AC642" s="14"/>
      <c r="AD642" s="14"/>
      <c r="AE642" s="14"/>
      <c r="AF642" s="14"/>
      <c r="AG642" t="s" s="15">
        <v>453</v>
      </c>
      <c r="AH642" t="s" s="15">
        <v>289</v>
      </c>
      <c r="AI642" t="s" s="15">
        <v>440</v>
      </c>
      <c r="AJ642" s="14"/>
      <c r="AK642" t="s" s="15">
        <v>524</v>
      </c>
      <c r="AL642" t="s" s="15">
        <v>293</v>
      </c>
      <c r="AM642" t="s" s="15">
        <v>294</v>
      </c>
      <c r="AN642" s="14"/>
      <c r="AO642" s="17">
        <v>4</v>
      </c>
      <c r="AP642" s="17">
        <v>16384</v>
      </c>
      <c r="AQ642" s="17">
        <v>262238</v>
      </c>
      <c r="AR642" s="17">
        <v>138140</v>
      </c>
      <c r="AS642" t="s" s="15">
        <v>2487</v>
      </c>
      <c r="AT642" s="14"/>
      <c r="AU642" s="14"/>
      <c r="AV642" s="14"/>
      <c r="AW642" t="s" s="15">
        <v>2488</v>
      </c>
      <c r="AX642" s="14"/>
      <c r="AY642" s="14"/>
      <c r="AZ642" s="14"/>
      <c r="BA642" s="14"/>
      <c r="BB642" s="14"/>
      <c r="BC642" s="14"/>
      <c r="BD642" s="14"/>
      <c r="BE642" s="14"/>
      <c r="BF642" s="14"/>
      <c r="BG642" s="14"/>
      <c r="BH642" s="14"/>
      <c r="BI642" s="14"/>
      <c r="BJ642" s="14"/>
      <c r="BK642" s="14"/>
      <c r="BL642" s="14"/>
      <c r="BM642" s="14"/>
      <c r="BN642" t="s" s="15">
        <v>78</v>
      </c>
      <c r="BO642" s="16"/>
      <c r="BP642" s="8"/>
    </row>
    <row r="643" ht="9" customHeight="1" hidden="1">
      <c r="A643" t="s" s="9">
        <v>2489</v>
      </c>
      <c r="B643" s="11"/>
      <c r="C643" t="str" s="11" cm="1">
        <f t="array" ref="C643">_xlfn.IFERROR((VLOOKUP(A643,#REF!,2,FALSE)),"")</f>
      </c>
      <c r="D643" s="11"/>
      <c r="E643" t="s" s="10">
        <v>303</v>
      </c>
      <c r="F643" s="11"/>
      <c r="G643" t="s" s="10">
        <v>2490</v>
      </c>
      <c r="H643" t="s" s="10">
        <v>1624</v>
      </c>
      <c r="I643" t="s" s="10">
        <v>73</v>
      </c>
      <c r="J643" t="s" s="10">
        <v>74</v>
      </c>
      <c r="K643" t="s" s="10">
        <v>113</v>
      </c>
      <c r="L643" t="s" s="10">
        <v>1625</v>
      </c>
      <c r="M643" t="s" s="10">
        <v>2490</v>
      </c>
      <c r="N643" t="s" s="10">
        <v>2490</v>
      </c>
      <c r="O643" t="s" s="10">
        <v>71</v>
      </c>
      <c r="P643" t="s" s="10">
        <v>122</v>
      </c>
      <c r="Q643" t="s" s="10">
        <v>69</v>
      </c>
      <c r="R643" t="s" s="10">
        <v>71</v>
      </c>
      <c r="S643" s="11"/>
      <c r="T643" s="11"/>
      <c r="U643" s="11"/>
      <c r="V643" t="s" s="10">
        <v>69</v>
      </c>
      <c r="W643" t="s" s="10">
        <v>2489</v>
      </c>
      <c r="X643" t="s" s="10">
        <v>69</v>
      </c>
      <c r="Y643" s="11"/>
      <c r="Z643" t="s" s="10">
        <v>1626</v>
      </c>
      <c r="AA643" s="11"/>
      <c r="AB643" t="s" s="10">
        <v>1627</v>
      </c>
      <c r="AC643" s="11"/>
      <c r="AD643" s="11"/>
      <c r="AE643" s="11"/>
      <c r="AF643" t="s" s="10">
        <v>1624</v>
      </c>
      <c r="AG643" t="s" s="10">
        <v>299</v>
      </c>
      <c r="AH643" t="s" s="10">
        <v>114</v>
      </c>
      <c r="AI643" t="s" s="10">
        <v>76</v>
      </c>
      <c r="AJ643" t="s" s="10">
        <v>76</v>
      </c>
      <c r="AK643" t="s" s="10">
        <v>79</v>
      </c>
      <c r="AL643" t="s" s="10">
        <v>293</v>
      </c>
      <c r="AM643" t="s" s="10">
        <v>294</v>
      </c>
      <c r="AN643" t="s" s="10">
        <v>187</v>
      </c>
      <c r="AO643" s="18">
        <v>4</v>
      </c>
      <c r="AP643" s="18">
        <v>16384</v>
      </c>
      <c r="AQ643" s="18">
        <v>1218674</v>
      </c>
      <c r="AR643" s="18">
        <v>114289</v>
      </c>
      <c r="AS643" t="s" s="10">
        <v>2491</v>
      </c>
      <c r="AT643" s="11"/>
      <c r="AU643" s="11"/>
      <c r="AV643" s="11"/>
      <c r="AW643" s="11"/>
      <c r="AX643" s="11"/>
      <c r="AY643" s="11"/>
      <c r="AZ643" s="11"/>
      <c r="BA643" s="11"/>
      <c r="BB643" s="11"/>
      <c r="BC643" s="11"/>
      <c r="BD643" t="s" s="10">
        <v>366</v>
      </c>
      <c r="BE643" t="s" s="10">
        <v>394</v>
      </c>
      <c r="BF643" s="18">
        <v>4</v>
      </c>
      <c r="BG643" s="18">
        <v>16</v>
      </c>
      <c r="BH643" s="11"/>
      <c r="BI643" s="11"/>
      <c r="BJ643" s="11"/>
      <c r="BK643" s="11"/>
      <c r="BL643" s="11"/>
      <c r="BM643" s="11"/>
      <c r="BN643" s="11"/>
      <c r="BO643" s="12"/>
      <c r="BP643" s="8"/>
    </row>
    <row r="644" ht="9" customHeight="1" hidden="1">
      <c r="A644" t="s" s="13">
        <v>2492</v>
      </c>
      <c r="B644" s="14"/>
      <c r="C644" t="str" s="14" cm="1">
        <f t="array" ref="C644">_xlfn.IFERROR((VLOOKUP(A644,#REF!,2,FALSE)),"")</f>
      </c>
      <c r="D644" s="14"/>
      <c r="E644" t="s" s="15">
        <v>2493</v>
      </c>
      <c r="F644" s="14"/>
      <c r="G644" t="s" s="15">
        <v>2494</v>
      </c>
      <c r="H644" t="s" s="15">
        <v>2495</v>
      </c>
      <c r="I644" t="s" s="15">
        <v>111</v>
      </c>
      <c r="J644" t="s" s="15">
        <v>112</v>
      </c>
      <c r="K644" t="s" s="15">
        <v>113</v>
      </c>
      <c r="L644" t="s" s="15">
        <v>518</v>
      </c>
      <c r="M644" t="s" s="15">
        <v>2494</v>
      </c>
      <c r="N644" t="s" s="15">
        <v>2496</v>
      </c>
      <c r="O644" s="14"/>
      <c r="P644" t="s" s="15">
        <v>469</v>
      </c>
      <c r="Q644" t="s" s="15">
        <v>69</v>
      </c>
      <c r="R644" t="s" s="15">
        <v>83</v>
      </c>
      <c r="S644" s="14"/>
      <c r="T644" s="14"/>
      <c r="U644" s="14"/>
      <c r="V644" t="s" s="15">
        <v>69</v>
      </c>
      <c r="W644" s="14"/>
      <c r="X644" t="s" s="15">
        <v>69</v>
      </c>
      <c r="Y644" t="s" s="15">
        <v>69</v>
      </c>
      <c r="Z644" t="s" s="15">
        <v>1170</v>
      </c>
      <c r="AA644" s="14"/>
      <c r="AB644" t="s" s="15">
        <v>1171</v>
      </c>
      <c r="AC644" t="s" s="24">
        <v>2492</v>
      </c>
      <c r="AD644" t="s" s="15">
        <v>2497</v>
      </c>
      <c r="AE644" s="14"/>
      <c r="AF644" s="14"/>
      <c r="AG644" t="s" s="15">
        <v>299</v>
      </c>
      <c r="AH644" t="s" s="15">
        <v>114</v>
      </c>
      <c r="AI644" t="s" s="15">
        <v>290</v>
      </c>
      <c r="AJ644" t="s" s="15">
        <v>333</v>
      </c>
      <c r="AK644" t="s" s="15">
        <v>1195</v>
      </c>
      <c r="AL644" t="s" s="15">
        <v>293</v>
      </c>
      <c r="AM644" t="s" s="15">
        <v>294</v>
      </c>
      <c r="AN644" t="s" s="15">
        <v>128</v>
      </c>
      <c r="AO644" s="17">
        <v>2</v>
      </c>
      <c r="AP644" s="17">
        <v>4096</v>
      </c>
      <c r="AQ644" s="17">
        <v>208989</v>
      </c>
      <c r="AR644" s="17">
        <v>208989</v>
      </c>
      <c r="AS644" t="s" s="15">
        <v>2498</v>
      </c>
      <c r="AT644" t="s" s="15">
        <v>301</v>
      </c>
      <c r="AU644" s="14"/>
      <c r="AV644" s="14"/>
      <c r="AW644" t="s" s="15">
        <v>83</v>
      </c>
      <c r="AX644" t="s" s="15">
        <v>83</v>
      </c>
      <c r="AY644" t="s" s="15">
        <v>309</v>
      </c>
      <c r="AZ644" t="s" s="15">
        <v>83</v>
      </c>
      <c r="BA644" t="s" s="15">
        <v>76</v>
      </c>
      <c r="BB644" t="s" s="15">
        <v>76</v>
      </c>
      <c r="BC644" t="s" s="15">
        <v>76</v>
      </c>
      <c r="BD644" t="s" s="15">
        <v>310</v>
      </c>
      <c r="BE644" t="s" s="15">
        <v>419</v>
      </c>
      <c r="BF644" s="17">
        <v>2</v>
      </c>
      <c r="BG644" s="17">
        <v>4</v>
      </c>
      <c r="BH644" t="s" s="15">
        <v>83</v>
      </c>
      <c r="BI644" t="s" s="15">
        <v>83</v>
      </c>
      <c r="BJ644" t="s" s="15">
        <v>83</v>
      </c>
      <c r="BK644" t="s" s="15">
        <v>83</v>
      </c>
      <c r="BL644" t="s" s="15">
        <v>83</v>
      </c>
      <c r="BM644" t="s" s="15">
        <v>312</v>
      </c>
      <c r="BN644" t="s" s="15">
        <v>78</v>
      </c>
      <c r="BO644" t="s" s="21">
        <v>76</v>
      </c>
      <c r="BP644" s="8"/>
    </row>
    <row r="645" ht="9" customHeight="1" hidden="1">
      <c r="A645" t="s" s="9">
        <v>2499</v>
      </c>
      <c r="B645" s="11"/>
      <c r="C645" t="str" s="11" cm="1">
        <f t="array" ref="C645">_xlfn.IFERROR((VLOOKUP(A645,#REF!,2,FALSE)),"")</f>
      </c>
      <c r="D645" t="s" s="10">
        <v>70</v>
      </c>
      <c r="E645" t="s" s="10">
        <v>195</v>
      </c>
      <c r="F645" s="11"/>
      <c r="G645" t="s" s="10">
        <v>2500</v>
      </c>
      <c r="H645" t="s" s="10">
        <v>2501</v>
      </c>
      <c r="I645" t="s" s="10">
        <v>73</v>
      </c>
      <c r="J645" t="s" s="10">
        <v>74</v>
      </c>
      <c r="K645" t="s" s="10">
        <v>351</v>
      </c>
      <c r="L645" t="s" s="10">
        <v>1638</v>
      </c>
      <c r="M645" t="s" s="10">
        <v>2500</v>
      </c>
      <c r="N645" t="s" s="10">
        <v>2500</v>
      </c>
      <c r="O645" t="s" s="10">
        <v>71</v>
      </c>
      <c r="P645" t="s" s="10">
        <v>469</v>
      </c>
      <c r="Q645" t="s" s="10">
        <v>78</v>
      </c>
      <c r="R645" t="s" s="10">
        <v>71</v>
      </c>
      <c r="S645" s="11"/>
      <c r="T645" s="11"/>
      <c r="U645" s="11"/>
      <c r="V645" t="s" s="10">
        <v>78</v>
      </c>
      <c r="W645" s="11"/>
      <c r="X645" t="s" s="10">
        <v>69</v>
      </c>
      <c r="Y645" s="11"/>
      <c r="Z645" t="s" s="10">
        <v>1639</v>
      </c>
      <c r="AA645" s="11"/>
      <c r="AB645" t="s" s="10">
        <v>76</v>
      </c>
      <c r="AC645" s="11"/>
      <c r="AD645" s="11"/>
      <c r="AE645" s="11"/>
      <c r="AF645" s="11"/>
      <c r="AG645" s="11"/>
      <c r="AH645" t="s" s="10">
        <v>106</v>
      </c>
      <c r="AI645" t="s" s="10">
        <v>76</v>
      </c>
      <c r="AJ645" t="s" s="10">
        <v>76</v>
      </c>
      <c r="AK645" t="s" s="10">
        <v>79</v>
      </c>
      <c r="AL645" s="11"/>
      <c r="AM645" t="s" s="10">
        <v>196</v>
      </c>
      <c r="AN645" s="11"/>
      <c r="AO645" s="18">
        <v>4</v>
      </c>
      <c r="AP645" s="18">
        <v>16384</v>
      </c>
      <c r="AQ645" s="18">
        <v>170292</v>
      </c>
      <c r="AR645" s="18">
        <v>23280</v>
      </c>
      <c r="AS645" s="11"/>
      <c r="AT645" s="11"/>
      <c r="AU645" s="11"/>
      <c r="AV645" s="11"/>
      <c r="AW645" s="11"/>
      <c r="AX645" s="11"/>
      <c r="AY645" s="11"/>
      <c r="AZ645" s="11"/>
      <c r="BA645" s="11"/>
      <c r="BB645" s="11"/>
      <c r="BC645" s="11"/>
      <c r="BD645" t="s" s="10">
        <v>366</v>
      </c>
      <c r="BE645" t="s" s="10">
        <v>367</v>
      </c>
      <c r="BF645" s="11"/>
      <c r="BG645" s="11"/>
      <c r="BH645" s="11"/>
      <c r="BI645" s="11"/>
      <c r="BJ645" s="11"/>
      <c r="BK645" s="11"/>
      <c r="BL645" s="11"/>
      <c r="BM645" s="11"/>
      <c r="BN645" s="11"/>
      <c r="BO645" s="12"/>
      <c r="BP645" s="8"/>
    </row>
    <row r="646" ht="9" customHeight="1" hidden="1">
      <c r="A646" t="s" s="13">
        <v>2502</v>
      </c>
      <c r="B646" s="14"/>
      <c r="C646" t="str" s="14" cm="1">
        <f t="array" ref="C646">_xlfn.IFERROR((VLOOKUP(A646,#REF!,2,FALSE)),"")</f>
      </c>
      <c r="D646" t="s" s="15">
        <v>70</v>
      </c>
      <c r="E646" t="s" s="15">
        <v>195</v>
      </c>
      <c r="F646" s="14"/>
      <c r="G646" t="s" s="15">
        <v>2503</v>
      </c>
      <c r="H646" t="s" s="15">
        <v>2504</v>
      </c>
      <c r="I646" t="s" s="15">
        <v>73</v>
      </c>
      <c r="J646" t="s" s="15">
        <v>74</v>
      </c>
      <c r="K646" t="s" s="15">
        <v>351</v>
      </c>
      <c r="L646" t="s" s="15">
        <v>1638</v>
      </c>
      <c r="M646" t="s" s="15">
        <v>2503</v>
      </c>
      <c r="N646" t="s" s="15">
        <v>2503</v>
      </c>
      <c r="O646" t="s" s="15">
        <v>71</v>
      </c>
      <c r="P646" t="s" s="15">
        <v>112</v>
      </c>
      <c r="Q646" t="s" s="15">
        <v>78</v>
      </c>
      <c r="R646" t="s" s="15">
        <v>71</v>
      </c>
      <c r="S646" s="14"/>
      <c r="T646" s="14"/>
      <c r="U646" s="14"/>
      <c r="V646" t="s" s="15">
        <v>78</v>
      </c>
      <c r="W646" s="14"/>
      <c r="X646" t="s" s="15">
        <v>69</v>
      </c>
      <c r="Y646" s="14"/>
      <c r="Z646" t="s" s="15">
        <v>1639</v>
      </c>
      <c r="AA646" s="14"/>
      <c r="AB646" t="s" s="15">
        <v>76</v>
      </c>
      <c r="AC646" s="14"/>
      <c r="AD646" s="14"/>
      <c r="AE646" s="14"/>
      <c r="AF646" s="14"/>
      <c r="AG646" s="14"/>
      <c r="AH646" t="s" s="15">
        <v>106</v>
      </c>
      <c r="AI646" t="s" s="15">
        <v>76</v>
      </c>
      <c r="AJ646" t="s" s="15">
        <v>76</v>
      </c>
      <c r="AK646" t="s" s="15">
        <v>79</v>
      </c>
      <c r="AL646" s="14"/>
      <c r="AM646" t="s" s="15">
        <v>196</v>
      </c>
      <c r="AN646" s="14"/>
      <c r="AO646" s="17">
        <v>4</v>
      </c>
      <c r="AP646" s="17">
        <v>16384</v>
      </c>
      <c r="AQ646" s="17">
        <v>170326</v>
      </c>
      <c r="AR646" s="17">
        <v>21987</v>
      </c>
      <c r="AS646" s="14"/>
      <c r="AT646" s="14"/>
      <c r="AU646" s="14"/>
      <c r="AV646" s="14"/>
      <c r="AW646" s="14"/>
      <c r="AX646" s="14"/>
      <c r="AY646" s="14"/>
      <c r="AZ646" s="14"/>
      <c r="BA646" s="14"/>
      <c r="BB646" s="14"/>
      <c r="BC646" s="14"/>
      <c r="BD646" t="s" s="15">
        <v>366</v>
      </c>
      <c r="BE646" t="s" s="15">
        <v>367</v>
      </c>
      <c r="BF646" s="14"/>
      <c r="BG646" s="14"/>
      <c r="BH646" s="14"/>
      <c r="BI646" s="14"/>
      <c r="BJ646" s="14"/>
      <c r="BK646" s="14"/>
      <c r="BL646" s="14"/>
      <c r="BM646" s="14"/>
      <c r="BN646" s="14"/>
      <c r="BO646" s="16"/>
      <c r="BP646" s="8"/>
    </row>
    <row r="647" ht="9" customHeight="1" hidden="1">
      <c r="A647" t="s" s="9">
        <v>2505</v>
      </c>
      <c r="B647" s="11"/>
      <c r="C647" t="str" s="11" cm="1">
        <f t="array" ref="C647">_xlfn.IFERROR((VLOOKUP(A647,#REF!,2,FALSE)),"")</f>
      </c>
      <c r="D647" t="s" s="10">
        <v>70</v>
      </c>
      <c r="E647" t="s" s="10">
        <v>1636</v>
      </c>
      <c r="F647" s="11"/>
      <c r="G647" t="s" s="10">
        <v>2506</v>
      </c>
      <c r="H647" t="s" s="10">
        <v>2507</v>
      </c>
      <c r="I647" t="s" s="10">
        <v>271</v>
      </c>
      <c r="J647" t="s" s="10">
        <v>74</v>
      </c>
      <c r="K647" t="s" s="10">
        <v>351</v>
      </c>
      <c r="L647" t="s" s="10">
        <v>1638</v>
      </c>
      <c r="M647" t="s" s="10">
        <v>2506</v>
      </c>
      <c r="N647" t="s" s="10">
        <v>2506</v>
      </c>
      <c r="O647" s="11"/>
      <c r="P647" t="s" s="10">
        <v>74</v>
      </c>
      <c r="Q647" t="s" s="10">
        <v>78</v>
      </c>
      <c r="R647" t="s" s="10">
        <v>83</v>
      </c>
      <c r="S647" s="11"/>
      <c r="T647" s="11"/>
      <c r="U647" s="11"/>
      <c r="V647" t="s" s="10">
        <v>78</v>
      </c>
      <c r="W647" s="11"/>
      <c r="X647" t="s" s="10">
        <v>69</v>
      </c>
      <c r="Y647" s="11"/>
      <c r="Z647" t="s" s="10">
        <v>1639</v>
      </c>
      <c r="AA647" s="11"/>
      <c r="AB647" t="s" s="10">
        <v>76</v>
      </c>
      <c r="AC647" s="11"/>
      <c r="AD647" s="11"/>
      <c r="AE647" s="11"/>
      <c r="AF647" s="11"/>
      <c r="AG647" s="11"/>
      <c r="AH647" t="s" s="10">
        <v>106</v>
      </c>
      <c r="AI647" t="s" s="10">
        <v>76</v>
      </c>
      <c r="AJ647" t="s" s="10">
        <v>76</v>
      </c>
      <c r="AK647" t="s" s="10">
        <v>79</v>
      </c>
      <c r="AL647" s="11"/>
      <c r="AM647" t="s" s="10">
        <v>196</v>
      </c>
      <c r="AN647" s="11"/>
      <c r="AO647" s="18">
        <v>4</v>
      </c>
      <c r="AP647" s="18">
        <v>16384</v>
      </c>
      <c r="AQ647" s="18">
        <v>170318</v>
      </c>
      <c r="AR647" s="18">
        <v>23963</v>
      </c>
      <c r="AS647" s="11"/>
      <c r="AT647" s="11"/>
      <c r="AU647" s="11"/>
      <c r="AV647" s="11"/>
      <c r="AW647" s="11"/>
      <c r="AX647" s="11"/>
      <c r="AY647" s="11"/>
      <c r="AZ647" s="11"/>
      <c r="BA647" s="11"/>
      <c r="BB647" s="11"/>
      <c r="BC647" s="11"/>
      <c r="BD647" t="s" s="10">
        <v>310</v>
      </c>
      <c r="BE647" t="s" s="10">
        <v>356</v>
      </c>
      <c r="BF647" s="11"/>
      <c r="BG647" s="11"/>
      <c r="BH647" s="11"/>
      <c r="BI647" s="11"/>
      <c r="BJ647" s="11"/>
      <c r="BK647" s="11"/>
      <c r="BL647" s="11"/>
      <c r="BM647" s="11"/>
      <c r="BN647" t="s" s="10">
        <v>78</v>
      </c>
      <c r="BO647" s="12"/>
      <c r="BP647" s="8"/>
    </row>
    <row r="648" ht="9" customHeight="1" hidden="1">
      <c r="A648" t="s" s="13">
        <v>2508</v>
      </c>
      <c r="B648" s="14"/>
      <c r="C648" t="str" s="14" cm="1">
        <f t="array" ref="C648">_xlfn.IFERROR((VLOOKUP(A648,#REF!,2,FALSE)),"")</f>
      </c>
      <c r="D648" s="14"/>
      <c r="E648" t="s" s="15">
        <v>2509</v>
      </c>
      <c r="F648" t="s" s="15">
        <v>2510</v>
      </c>
      <c r="G648" t="s" s="15">
        <v>2511</v>
      </c>
      <c r="H648" t="s" s="15">
        <v>2512</v>
      </c>
      <c r="I648" t="s" s="15">
        <v>73</v>
      </c>
      <c r="J648" t="s" s="15">
        <v>74</v>
      </c>
      <c r="K648" t="s" s="15">
        <v>113</v>
      </c>
      <c r="L648" t="s" s="15">
        <v>1467</v>
      </c>
      <c r="M648" t="s" s="15">
        <v>2511</v>
      </c>
      <c r="N648" s="14"/>
      <c r="O648" t="s" s="15">
        <v>71</v>
      </c>
      <c r="P648" t="s" s="15">
        <v>322</v>
      </c>
      <c r="Q648" t="s" s="15">
        <v>69</v>
      </c>
      <c r="R648" t="s" s="15">
        <v>83</v>
      </c>
      <c r="S648" s="14"/>
      <c r="T648" s="14"/>
      <c r="U648" s="14"/>
      <c r="V648" t="s" s="15">
        <v>69</v>
      </c>
      <c r="W648" s="14"/>
      <c r="X648" t="s" s="15">
        <v>78</v>
      </c>
      <c r="Y648" s="14"/>
      <c r="Z648" t="s" s="15">
        <v>205</v>
      </c>
      <c r="AA648" s="14"/>
      <c r="AB648" t="s" s="15">
        <v>2513</v>
      </c>
      <c r="AC648" t="s" s="24">
        <v>2508</v>
      </c>
      <c r="AD648" t="s" s="15">
        <v>2514</v>
      </c>
      <c r="AE648" s="14"/>
      <c r="AF648" s="14"/>
      <c r="AG648" t="s" s="15">
        <v>299</v>
      </c>
      <c r="AH648" t="s" s="15">
        <v>114</v>
      </c>
      <c r="AI648" t="s" s="15">
        <v>76</v>
      </c>
      <c r="AJ648" t="s" s="15">
        <v>76</v>
      </c>
      <c r="AK648" t="s" s="15">
        <v>79</v>
      </c>
      <c r="AL648" t="s" s="15">
        <v>293</v>
      </c>
      <c r="AM648" t="s" s="15">
        <v>294</v>
      </c>
      <c r="AN648" t="s" s="15">
        <v>187</v>
      </c>
      <c r="AO648" s="17">
        <v>4</v>
      </c>
      <c r="AP648" s="17">
        <v>8192</v>
      </c>
      <c r="AQ648" s="17">
        <v>213107</v>
      </c>
      <c r="AR648" s="17">
        <v>67646</v>
      </c>
      <c r="AS648" t="s" s="15">
        <v>2515</v>
      </c>
      <c r="AT648" t="s" s="15">
        <v>301</v>
      </c>
      <c r="AU648" s="14"/>
      <c r="AV648" t="s" s="15">
        <v>76</v>
      </c>
      <c r="AW648" t="s" s="15">
        <v>83</v>
      </c>
      <c r="AX648" t="s" s="15">
        <v>83</v>
      </c>
      <c r="AY648" t="s" s="15">
        <v>309</v>
      </c>
      <c r="AZ648" t="s" s="15">
        <v>83</v>
      </c>
      <c r="BA648" t="s" s="15">
        <v>76</v>
      </c>
      <c r="BB648" t="s" s="15">
        <v>76</v>
      </c>
      <c r="BC648" t="s" s="15">
        <v>76</v>
      </c>
      <c r="BD648" t="s" s="15">
        <v>310</v>
      </c>
      <c r="BE648" t="s" s="15">
        <v>356</v>
      </c>
      <c r="BF648" s="17">
        <v>4</v>
      </c>
      <c r="BG648" s="17">
        <v>8</v>
      </c>
      <c r="BH648" t="s" s="15">
        <v>83</v>
      </c>
      <c r="BI648" t="s" s="15">
        <v>83</v>
      </c>
      <c r="BJ648" t="s" s="15">
        <v>83</v>
      </c>
      <c r="BK648" t="s" s="15">
        <v>83</v>
      </c>
      <c r="BL648" t="s" s="15">
        <v>83</v>
      </c>
      <c r="BM648" t="s" s="15">
        <v>312</v>
      </c>
      <c r="BN648" t="s" s="15">
        <v>78</v>
      </c>
      <c r="BO648" t="s" s="21">
        <v>76</v>
      </c>
      <c r="BP648" s="8"/>
    </row>
    <row r="649" ht="15" customHeight="1">
      <c r="A649" t="s" s="9">
        <v>2516</v>
      </c>
      <c r="B649" s="11"/>
      <c r="C649" t="str" s="11" cm="1">
        <f t="array" ref="C649">_xlfn.IFERROR((VLOOKUP(A649,#REF!,2,FALSE)),"")</f>
      </c>
      <c r="D649" s="11"/>
      <c r="E649" t="s" s="10">
        <v>2517</v>
      </c>
      <c r="F649" s="11"/>
      <c r="G649" t="s" s="10">
        <v>2518</v>
      </c>
      <c r="H649" t="s" s="10">
        <v>2518</v>
      </c>
      <c r="I649" t="s" s="10">
        <v>111</v>
      </c>
      <c r="J649" t="s" s="10">
        <v>122</v>
      </c>
      <c r="K649" t="s" s="10">
        <v>113</v>
      </c>
      <c r="L649" t="s" s="10">
        <v>2114</v>
      </c>
      <c r="M649" t="s" s="10">
        <v>2519</v>
      </c>
      <c r="N649" s="11"/>
      <c r="O649" s="11"/>
      <c r="P649" t="s" s="10">
        <v>122</v>
      </c>
      <c r="Q649" t="s" s="10">
        <v>69</v>
      </c>
      <c r="R649" t="s" s="10">
        <v>83</v>
      </c>
      <c r="S649" s="11"/>
      <c r="T649" s="11"/>
      <c r="U649" s="11"/>
      <c r="V649" t="s" s="10">
        <v>69</v>
      </c>
      <c r="W649" s="11"/>
      <c r="X649" t="s" s="10">
        <v>78</v>
      </c>
      <c r="Y649" s="11"/>
      <c r="Z649" t="s" s="10">
        <v>2066</v>
      </c>
      <c r="AA649" s="11"/>
      <c r="AB649" t="s" s="10">
        <v>2520</v>
      </c>
      <c r="AC649" t="s" s="10">
        <v>2516</v>
      </c>
      <c r="AD649" s="11"/>
      <c r="AE649" s="11"/>
      <c r="AF649" t="s" s="10">
        <v>2518</v>
      </c>
      <c r="AG649" t="s" s="10">
        <v>299</v>
      </c>
      <c r="AH649" t="s" s="10">
        <v>114</v>
      </c>
      <c r="AI649" t="s" s="10">
        <v>332</v>
      </c>
      <c r="AJ649" t="s" s="10">
        <v>405</v>
      </c>
      <c r="AK649" t="s" s="10">
        <v>83</v>
      </c>
      <c r="AL649" t="s" s="10">
        <v>293</v>
      </c>
      <c r="AM649" t="s" s="10">
        <v>294</v>
      </c>
      <c r="AN649" t="s" s="10">
        <v>190</v>
      </c>
      <c r="AO649" s="18">
        <v>16</v>
      </c>
      <c r="AP649" s="18">
        <v>16384</v>
      </c>
      <c r="AQ649" s="18">
        <v>221308</v>
      </c>
      <c r="AR649" s="18">
        <v>94078</v>
      </c>
      <c r="AS649" t="s" s="10">
        <v>2521</v>
      </c>
      <c r="AT649" s="11"/>
      <c r="AU649" s="11"/>
      <c r="AV649" s="11"/>
      <c r="AW649" s="11"/>
      <c r="AX649" s="11"/>
      <c r="AY649" s="11"/>
      <c r="AZ649" s="11"/>
      <c r="BA649" s="11"/>
      <c r="BB649" s="11"/>
      <c r="BC649" s="11"/>
      <c r="BD649" t="s" s="10">
        <v>310</v>
      </c>
      <c r="BE649" t="s" s="10">
        <v>2296</v>
      </c>
      <c r="BF649" s="18">
        <v>16</v>
      </c>
      <c r="BG649" s="18">
        <v>32</v>
      </c>
      <c r="BH649" s="11"/>
      <c r="BI649" s="11"/>
      <c r="BJ649" s="11"/>
      <c r="BK649" s="11"/>
      <c r="BL649" s="11"/>
      <c r="BM649" s="11"/>
      <c r="BN649" t="s" s="10">
        <v>69</v>
      </c>
      <c r="BO649" s="12"/>
      <c r="BP649" s="8"/>
    </row>
    <row r="650" ht="15" customHeight="1">
      <c r="A650" t="s" s="13">
        <v>2522</v>
      </c>
      <c r="B650" s="14"/>
      <c r="C650" t="str" s="14" cm="1">
        <f t="array" ref="C650">_xlfn.IFERROR((VLOOKUP(A650,#REF!,2,FALSE)),"")</f>
      </c>
      <c r="D650" s="14"/>
      <c r="E650" t="s" s="15">
        <v>2517</v>
      </c>
      <c r="F650" s="14"/>
      <c r="G650" t="s" s="15">
        <v>2523</v>
      </c>
      <c r="H650" t="s" s="15">
        <v>2518</v>
      </c>
      <c r="I650" t="s" s="15">
        <v>111</v>
      </c>
      <c r="J650" t="s" s="15">
        <v>122</v>
      </c>
      <c r="K650" t="s" s="15">
        <v>113</v>
      </c>
      <c r="L650" t="s" s="15">
        <v>2114</v>
      </c>
      <c r="M650" t="s" s="15">
        <v>2524</v>
      </c>
      <c r="N650" s="14"/>
      <c r="O650" s="14"/>
      <c r="P650" t="s" s="15">
        <v>122</v>
      </c>
      <c r="Q650" t="s" s="15">
        <v>69</v>
      </c>
      <c r="R650" t="s" s="15">
        <v>83</v>
      </c>
      <c r="S650" s="14"/>
      <c r="T650" s="14"/>
      <c r="U650" s="14"/>
      <c r="V650" t="s" s="15">
        <v>69</v>
      </c>
      <c r="W650" s="14"/>
      <c r="X650" t="s" s="15">
        <v>78</v>
      </c>
      <c r="Y650" s="14"/>
      <c r="Z650" t="s" s="15">
        <v>2066</v>
      </c>
      <c r="AA650" s="14"/>
      <c r="AB650" t="s" s="15">
        <v>2520</v>
      </c>
      <c r="AC650" t="s" s="15">
        <v>2522</v>
      </c>
      <c r="AD650" s="14"/>
      <c r="AE650" s="14"/>
      <c r="AF650" t="s" s="15">
        <v>2518</v>
      </c>
      <c r="AG650" t="s" s="15">
        <v>299</v>
      </c>
      <c r="AH650" t="s" s="15">
        <v>114</v>
      </c>
      <c r="AI650" t="s" s="15">
        <v>332</v>
      </c>
      <c r="AJ650" t="s" s="15">
        <v>405</v>
      </c>
      <c r="AK650" t="s" s="15">
        <v>83</v>
      </c>
      <c r="AL650" t="s" s="15">
        <v>293</v>
      </c>
      <c r="AM650" t="s" s="15">
        <v>294</v>
      </c>
      <c r="AN650" t="s" s="15">
        <v>190</v>
      </c>
      <c r="AO650" s="17">
        <v>16</v>
      </c>
      <c r="AP650" s="17">
        <v>16384</v>
      </c>
      <c r="AQ650" s="17">
        <v>221292</v>
      </c>
      <c r="AR650" s="17">
        <v>70152</v>
      </c>
      <c r="AS650" t="s" s="15">
        <v>2525</v>
      </c>
      <c r="AT650" s="14"/>
      <c r="AU650" s="14"/>
      <c r="AV650" s="14"/>
      <c r="AW650" s="14"/>
      <c r="AX650" s="14"/>
      <c r="AY650" s="14"/>
      <c r="AZ650" s="14"/>
      <c r="BA650" s="14"/>
      <c r="BB650" s="14"/>
      <c r="BC650" s="14"/>
      <c r="BD650" t="s" s="15">
        <v>310</v>
      </c>
      <c r="BE650" t="s" s="15">
        <v>2296</v>
      </c>
      <c r="BF650" s="17">
        <v>16</v>
      </c>
      <c r="BG650" s="17">
        <v>32</v>
      </c>
      <c r="BH650" s="14"/>
      <c r="BI650" s="14"/>
      <c r="BJ650" s="14"/>
      <c r="BK650" s="14"/>
      <c r="BL650" s="14"/>
      <c r="BM650" s="14"/>
      <c r="BN650" t="s" s="15">
        <v>69</v>
      </c>
      <c r="BO650" s="16"/>
      <c r="BP650" s="8"/>
    </row>
    <row r="651" ht="9" customHeight="1" hidden="1">
      <c r="A651" t="s" s="9">
        <v>2526</v>
      </c>
      <c r="B651" s="11"/>
      <c r="C651" t="str" s="11" cm="1">
        <f t="array" ref="C651">_xlfn.IFERROR((VLOOKUP(A651,#REF!,2,FALSE)),"")</f>
      </c>
      <c r="D651" t="s" s="10">
        <v>70</v>
      </c>
      <c r="E651" t="s" s="10">
        <v>450</v>
      </c>
      <c r="F651" s="11"/>
      <c r="G651" t="s" s="10">
        <v>2527</v>
      </c>
      <c r="H651" s="11"/>
      <c r="I651" t="s" s="10">
        <v>111</v>
      </c>
      <c r="J651" t="s" s="10">
        <v>452</v>
      </c>
      <c r="K651" t="s" s="10">
        <v>113</v>
      </c>
      <c r="L651" t="s" s="10">
        <v>76</v>
      </c>
      <c r="M651" t="s" s="10">
        <v>2527</v>
      </c>
      <c r="N651" s="11"/>
      <c r="O651" s="11"/>
      <c r="P651" t="s" s="10">
        <v>452</v>
      </c>
      <c r="Q651" t="s" s="10">
        <v>69</v>
      </c>
      <c r="R651" t="s" s="10">
        <v>83</v>
      </c>
      <c r="S651" s="11"/>
      <c r="T651" s="11"/>
      <c r="U651" s="11"/>
      <c r="V651" t="s" s="10">
        <v>69</v>
      </c>
      <c r="W651" s="11"/>
      <c r="X651" t="s" s="10">
        <v>78</v>
      </c>
      <c r="Y651" s="11"/>
      <c r="Z651" t="s" s="10">
        <v>76</v>
      </c>
      <c r="AA651" s="11"/>
      <c r="AB651" t="s" s="10">
        <v>76</v>
      </c>
      <c r="AC651" t="s" s="10">
        <v>2526</v>
      </c>
      <c r="AD651" t="s" s="10">
        <v>2528</v>
      </c>
      <c r="AE651" s="11"/>
      <c r="AF651" s="11"/>
      <c r="AG651" t="s" s="10">
        <v>453</v>
      </c>
      <c r="AH651" t="s" s="10">
        <v>106</v>
      </c>
      <c r="AI651" t="s" s="10">
        <v>76</v>
      </c>
      <c r="AJ651" t="s" s="10">
        <v>76</v>
      </c>
      <c r="AK651" t="s" s="10">
        <v>79</v>
      </c>
      <c r="AL651" t="s" s="10">
        <v>293</v>
      </c>
      <c r="AM651" t="s" s="10">
        <v>294</v>
      </c>
      <c r="AN651" t="s" s="10">
        <v>190</v>
      </c>
      <c r="AO651" s="18">
        <v>16</v>
      </c>
      <c r="AP651" s="18">
        <v>16384</v>
      </c>
      <c r="AQ651" s="18">
        <v>221280</v>
      </c>
      <c r="AR651" s="18">
        <v>72085</v>
      </c>
      <c r="AS651" t="s" s="10">
        <v>2529</v>
      </c>
      <c r="AT651" s="11"/>
      <c r="AU651" s="11"/>
      <c r="AV651" s="11"/>
      <c r="AW651" s="11"/>
      <c r="AX651" s="11"/>
      <c r="AY651" s="11"/>
      <c r="AZ651" s="11"/>
      <c r="BA651" s="11"/>
      <c r="BB651" s="11"/>
      <c r="BC651" s="11"/>
      <c r="BD651" s="11"/>
      <c r="BE651" s="11"/>
      <c r="BF651" s="11"/>
      <c r="BG651" s="11"/>
      <c r="BH651" s="11"/>
      <c r="BI651" s="11"/>
      <c r="BJ651" s="11"/>
      <c r="BK651" s="11"/>
      <c r="BL651" s="11"/>
      <c r="BM651" s="11"/>
      <c r="BN651" t="s" s="10">
        <v>69</v>
      </c>
      <c r="BO651" s="12"/>
      <c r="BP651" s="8"/>
    </row>
    <row r="652" ht="13.55" customHeight="1">
      <c r="A652" t="s" s="13">
        <v>2530</v>
      </c>
      <c r="B652" s="14"/>
      <c r="C652" t="str" s="14" cm="1">
        <f t="array" ref="C652">_xlfn.IFERROR((VLOOKUP(A652,#REF!,2,FALSE)),"")</f>
      </c>
      <c r="D652" t="s" s="15">
        <v>70</v>
      </c>
      <c r="E652" t="s" s="15">
        <v>1181</v>
      </c>
      <c r="F652" s="14"/>
      <c r="G652" t="s" s="15">
        <v>2531</v>
      </c>
      <c r="H652" t="s" s="15">
        <v>1183</v>
      </c>
      <c r="I652" t="s" s="15">
        <v>111</v>
      </c>
      <c r="J652" t="s" s="15">
        <v>122</v>
      </c>
      <c r="K652" t="s" s="15">
        <v>113</v>
      </c>
      <c r="L652" t="s" s="15">
        <v>518</v>
      </c>
      <c r="M652" t="s" s="15">
        <v>2532</v>
      </c>
      <c r="N652" t="s" s="15">
        <v>2531</v>
      </c>
      <c r="O652" s="14"/>
      <c r="P652" t="s" s="15">
        <v>122</v>
      </c>
      <c r="Q652" t="s" s="15">
        <v>78</v>
      </c>
      <c r="R652" t="s" s="15">
        <v>83</v>
      </c>
      <c r="S652" s="14"/>
      <c r="T652" s="14"/>
      <c r="U652" s="14"/>
      <c r="V652" t="s" s="15">
        <v>69</v>
      </c>
      <c r="W652" s="14"/>
      <c r="X652" t="s" s="15">
        <v>78</v>
      </c>
      <c r="Y652" s="14"/>
      <c r="Z652" t="s" s="15">
        <v>205</v>
      </c>
      <c r="AA652" s="14"/>
      <c r="AB652" t="s" s="15">
        <v>1184</v>
      </c>
      <c r="AC652" s="14"/>
      <c r="AD652" s="14"/>
      <c r="AE652" s="14"/>
      <c r="AF652" s="14"/>
      <c r="AG652" t="s" s="15">
        <v>299</v>
      </c>
      <c r="AH652" t="s" s="15">
        <v>114</v>
      </c>
      <c r="AI652" t="s" s="15">
        <v>440</v>
      </c>
      <c r="AJ652" s="14"/>
      <c r="AK652" t="s" s="15">
        <v>83</v>
      </c>
      <c r="AL652" t="s" s="15">
        <v>293</v>
      </c>
      <c r="AM652" t="s" s="15">
        <v>294</v>
      </c>
      <c r="AN652" t="s" s="15">
        <v>1264</v>
      </c>
      <c r="AO652" s="17">
        <v>4</v>
      </c>
      <c r="AP652" s="17">
        <v>16384</v>
      </c>
      <c r="AQ652" s="17">
        <v>1759910</v>
      </c>
      <c r="AR652" s="17">
        <v>856579</v>
      </c>
      <c r="AS652" t="s" s="15">
        <v>2533</v>
      </c>
      <c r="AT652" t="s" s="15">
        <v>301</v>
      </c>
      <c r="AU652" s="14"/>
      <c r="AV652" s="14"/>
      <c r="AW652" s="14"/>
      <c r="AX652" s="14"/>
      <c r="AY652" s="14"/>
      <c r="AZ652" s="14"/>
      <c r="BA652" s="14"/>
      <c r="BB652" s="14"/>
      <c r="BC652" s="14"/>
      <c r="BD652" t="s" s="15">
        <v>366</v>
      </c>
      <c r="BE652" t="s" s="15">
        <v>394</v>
      </c>
      <c r="BF652" s="17">
        <v>4</v>
      </c>
      <c r="BG652" s="17">
        <v>16</v>
      </c>
      <c r="BH652" s="14"/>
      <c r="BI652" s="14"/>
      <c r="BJ652" s="14"/>
      <c r="BK652" s="14"/>
      <c r="BL652" s="14"/>
      <c r="BM652" s="14"/>
      <c r="BN652" t="s" s="15">
        <v>69</v>
      </c>
      <c r="BO652" s="16"/>
      <c r="BP652" s="8"/>
    </row>
    <row r="653" ht="13.55" customHeight="1">
      <c r="A653" t="s" s="9">
        <v>2534</v>
      </c>
      <c r="B653" s="11"/>
      <c r="C653" t="str" s="11" cm="1">
        <f t="array" ref="C653">_xlfn.IFERROR((VLOOKUP(A653,#REF!,2,FALSE)),"")</f>
      </c>
      <c r="D653" t="s" s="10">
        <v>70</v>
      </c>
      <c r="E653" t="s" s="10">
        <v>1181</v>
      </c>
      <c r="F653" s="11"/>
      <c r="G653" t="s" s="10">
        <v>2535</v>
      </c>
      <c r="H653" t="s" s="10">
        <v>1183</v>
      </c>
      <c r="I653" t="s" s="10">
        <v>111</v>
      </c>
      <c r="J653" t="s" s="10">
        <v>122</v>
      </c>
      <c r="K653" t="s" s="10">
        <v>113</v>
      </c>
      <c r="L653" t="s" s="10">
        <v>518</v>
      </c>
      <c r="M653" t="s" s="10">
        <v>2536</v>
      </c>
      <c r="N653" t="s" s="10">
        <v>2535</v>
      </c>
      <c r="O653" s="11"/>
      <c r="P653" t="s" s="10">
        <v>122</v>
      </c>
      <c r="Q653" t="s" s="10">
        <v>78</v>
      </c>
      <c r="R653" t="s" s="10">
        <v>83</v>
      </c>
      <c r="S653" s="11"/>
      <c r="T653" s="11"/>
      <c r="U653" s="11"/>
      <c r="V653" t="s" s="10">
        <v>69</v>
      </c>
      <c r="W653" s="11"/>
      <c r="X653" t="s" s="10">
        <v>78</v>
      </c>
      <c r="Y653" s="11"/>
      <c r="Z653" t="s" s="10">
        <v>205</v>
      </c>
      <c r="AA653" s="11"/>
      <c r="AB653" t="s" s="10">
        <v>1184</v>
      </c>
      <c r="AC653" s="11"/>
      <c r="AD653" s="11"/>
      <c r="AE653" s="11"/>
      <c r="AF653" s="11"/>
      <c r="AG653" t="s" s="10">
        <v>299</v>
      </c>
      <c r="AH653" t="s" s="10">
        <v>114</v>
      </c>
      <c r="AI653" t="s" s="10">
        <v>440</v>
      </c>
      <c r="AJ653" s="11"/>
      <c r="AK653" t="s" s="10">
        <v>83</v>
      </c>
      <c r="AL653" t="s" s="10">
        <v>293</v>
      </c>
      <c r="AM653" t="s" s="10">
        <v>294</v>
      </c>
      <c r="AN653" t="s" s="10">
        <v>1893</v>
      </c>
      <c r="AO653" s="18">
        <v>4</v>
      </c>
      <c r="AP653" s="18">
        <v>4096</v>
      </c>
      <c r="AQ653" s="18">
        <v>144796</v>
      </c>
      <c r="AR653" s="18">
        <v>48591</v>
      </c>
      <c r="AS653" t="s" s="10">
        <v>2537</v>
      </c>
      <c r="AT653" s="11"/>
      <c r="AU653" s="11"/>
      <c r="AV653" s="11"/>
      <c r="AW653" s="11"/>
      <c r="AX653" s="11"/>
      <c r="AY653" s="11"/>
      <c r="AZ653" s="11"/>
      <c r="BA653" s="11"/>
      <c r="BB653" s="11"/>
      <c r="BC653" s="11"/>
      <c r="BD653" t="s" s="10">
        <v>310</v>
      </c>
      <c r="BE653" t="s" s="10">
        <v>356</v>
      </c>
      <c r="BF653" s="18">
        <v>4</v>
      </c>
      <c r="BG653" s="18">
        <v>8</v>
      </c>
      <c r="BH653" s="11"/>
      <c r="BI653" s="11"/>
      <c r="BJ653" s="11"/>
      <c r="BK653" s="11"/>
      <c r="BL653" s="11"/>
      <c r="BM653" s="11"/>
      <c r="BN653" t="s" s="10">
        <v>69</v>
      </c>
      <c r="BO653" s="12"/>
      <c r="BP653" s="8"/>
    </row>
    <row r="654" ht="13.55" customHeight="1">
      <c r="A654" t="s" s="13">
        <v>2538</v>
      </c>
      <c r="B654" s="14"/>
      <c r="C654" t="str" s="14" cm="1">
        <f t="array" ref="C654">_xlfn.IFERROR((VLOOKUP(A654,#REF!,2,FALSE)),"")</f>
      </c>
      <c r="D654" t="s" s="15">
        <v>70</v>
      </c>
      <c r="E654" t="s" s="15">
        <v>1181</v>
      </c>
      <c r="F654" s="14"/>
      <c r="G654" t="s" s="15">
        <v>2539</v>
      </c>
      <c r="H654" t="s" s="15">
        <v>1183</v>
      </c>
      <c r="I654" t="s" s="15">
        <v>111</v>
      </c>
      <c r="J654" t="s" s="15">
        <v>122</v>
      </c>
      <c r="K654" t="s" s="15">
        <v>140</v>
      </c>
      <c r="L654" t="s" s="15">
        <v>518</v>
      </c>
      <c r="M654" t="s" s="15">
        <v>2540</v>
      </c>
      <c r="N654" t="s" s="15">
        <v>2539</v>
      </c>
      <c r="O654" s="14"/>
      <c r="P654" t="s" s="15">
        <v>122</v>
      </c>
      <c r="Q654" t="s" s="15">
        <v>78</v>
      </c>
      <c r="R654" t="s" s="15">
        <v>83</v>
      </c>
      <c r="S654" s="14"/>
      <c r="T654" s="14"/>
      <c r="U654" s="14"/>
      <c r="V654" t="s" s="15">
        <v>69</v>
      </c>
      <c r="W654" s="14"/>
      <c r="X654" t="s" s="15">
        <v>78</v>
      </c>
      <c r="Y654" s="14"/>
      <c r="Z654" t="s" s="15">
        <v>205</v>
      </c>
      <c r="AA654" s="14"/>
      <c r="AB654" t="s" s="15">
        <v>1184</v>
      </c>
      <c r="AC654" s="14"/>
      <c r="AD654" s="14"/>
      <c r="AE654" s="14"/>
      <c r="AF654" s="14"/>
      <c r="AG654" t="s" s="15">
        <v>299</v>
      </c>
      <c r="AH654" t="s" s="15">
        <v>114</v>
      </c>
      <c r="AI654" t="s" s="15">
        <v>440</v>
      </c>
      <c r="AJ654" s="14"/>
      <c r="AK654" t="s" s="15">
        <v>83</v>
      </c>
      <c r="AL654" t="s" s="15">
        <v>293</v>
      </c>
      <c r="AM654" t="s" s="15">
        <v>294</v>
      </c>
      <c r="AN654" t="s" s="15">
        <v>1185</v>
      </c>
      <c r="AO654" s="17">
        <v>4</v>
      </c>
      <c r="AP654" s="17">
        <v>12288</v>
      </c>
      <c r="AQ654" s="17">
        <v>176207</v>
      </c>
      <c r="AR654" s="17">
        <v>79754</v>
      </c>
      <c r="AS654" t="s" s="15">
        <v>2541</v>
      </c>
      <c r="AT654" t="s" s="15">
        <v>301</v>
      </c>
      <c r="AU654" s="14"/>
      <c r="AV654" s="14"/>
      <c r="AW654" s="14"/>
      <c r="AX654" s="14"/>
      <c r="AY654" s="14"/>
      <c r="AZ654" s="14"/>
      <c r="BA654" s="14"/>
      <c r="BB654" s="14"/>
      <c r="BC654" s="14"/>
      <c r="BD654" t="s" s="15">
        <v>310</v>
      </c>
      <c r="BE654" t="s" s="15">
        <v>394</v>
      </c>
      <c r="BF654" s="17">
        <v>4</v>
      </c>
      <c r="BG654" s="17">
        <v>16</v>
      </c>
      <c r="BH654" s="14"/>
      <c r="BI654" s="14"/>
      <c r="BJ654" s="14"/>
      <c r="BK654" s="14"/>
      <c r="BL654" s="14"/>
      <c r="BM654" s="14"/>
      <c r="BN654" t="s" s="15">
        <v>69</v>
      </c>
      <c r="BO654" s="16"/>
      <c r="BP654" s="8"/>
    </row>
    <row r="655" ht="15" customHeight="1" hidden="1">
      <c r="A655" t="s" s="9">
        <v>2542</v>
      </c>
      <c r="B655" s="11"/>
      <c r="C655" t="str" s="11" cm="1">
        <f t="array" ref="C655">_xlfn.IFERROR((VLOOKUP(A655,#REF!,2,FALSE)),"")</f>
      </c>
      <c r="D655" s="11"/>
      <c r="E655" t="s" s="10">
        <v>1706</v>
      </c>
      <c r="F655" s="11"/>
      <c r="G655" t="s" s="10">
        <v>2543</v>
      </c>
      <c r="H655" t="s" s="10">
        <v>2544</v>
      </c>
      <c r="I655" t="s" s="10">
        <v>111</v>
      </c>
      <c r="J655" t="s" s="10">
        <v>122</v>
      </c>
      <c r="K655" t="s" s="10">
        <v>113</v>
      </c>
      <c r="L655" t="s" s="10">
        <v>2545</v>
      </c>
      <c r="M655" t="s" s="10">
        <v>2543</v>
      </c>
      <c r="N655" s="11"/>
      <c r="O655" s="11"/>
      <c r="P655" t="s" s="10">
        <v>122</v>
      </c>
      <c r="Q655" t="s" s="10">
        <v>69</v>
      </c>
      <c r="R655" t="s" s="10">
        <v>83</v>
      </c>
      <c r="S655" s="11"/>
      <c r="T655" s="11"/>
      <c r="U655" s="11"/>
      <c r="V655" t="s" s="10">
        <v>69</v>
      </c>
      <c r="W655" s="11"/>
      <c r="X655" t="s" s="10">
        <v>78</v>
      </c>
      <c r="Y655" s="11"/>
      <c r="Z655" t="s" s="10">
        <v>205</v>
      </c>
      <c r="AA655" s="11"/>
      <c r="AB655" t="s" s="10">
        <v>2546</v>
      </c>
      <c r="AC655" s="11"/>
      <c r="AD655" s="11"/>
      <c r="AE655" s="11"/>
      <c r="AF655" t="s" s="10">
        <v>2544</v>
      </c>
      <c r="AG655" t="s" s="10">
        <v>299</v>
      </c>
      <c r="AH655" t="s" s="10">
        <v>114</v>
      </c>
      <c r="AI655" t="s" s="10">
        <v>332</v>
      </c>
      <c r="AJ655" t="s" s="10">
        <v>798</v>
      </c>
      <c r="AK655" t="s" s="10">
        <v>292</v>
      </c>
      <c r="AL655" t="s" s="10">
        <v>293</v>
      </c>
      <c r="AM655" t="s" s="10">
        <v>294</v>
      </c>
      <c r="AN655" t="s" s="10">
        <v>2547</v>
      </c>
      <c r="AO655" s="18">
        <v>4</v>
      </c>
      <c r="AP655" s="18">
        <v>4096</v>
      </c>
      <c r="AQ655" s="18">
        <v>208985</v>
      </c>
      <c r="AR655" s="18">
        <v>120533</v>
      </c>
      <c r="AS655" t="s" s="10">
        <v>2548</v>
      </c>
      <c r="AT655" t="s" s="10">
        <v>301</v>
      </c>
      <c r="AU655" s="11"/>
      <c r="AV655" s="11"/>
      <c r="AW655" s="11"/>
      <c r="AX655" s="11"/>
      <c r="AY655" s="11"/>
      <c r="AZ655" s="11"/>
      <c r="BA655" s="11"/>
      <c r="BB655" s="11"/>
      <c r="BC655" s="11"/>
      <c r="BD655" t="s" s="10">
        <v>310</v>
      </c>
      <c r="BE655" t="s" s="10">
        <v>356</v>
      </c>
      <c r="BF655" s="18">
        <v>4</v>
      </c>
      <c r="BG655" s="18">
        <v>8</v>
      </c>
      <c r="BH655" s="11"/>
      <c r="BI655" s="11"/>
      <c r="BJ655" s="11"/>
      <c r="BK655" s="11"/>
      <c r="BL655" s="11"/>
      <c r="BM655" s="11"/>
      <c r="BN655" t="s" s="10">
        <v>78</v>
      </c>
      <c r="BO655" s="12"/>
      <c r="BP655" s="8"/>
    </row>
    <row r="656" ht="15" customHeight="1" hidden="1">
      <c r="A656" t="s" s="13">
        <v>2549</v>
      </c>
      <c r="B656" s="14"/>
      <c r="C656" t="str" s="14" cm="1">
        <f t="array" ref="C656">_xlfn.IFERROR((VLOOKUP(A656,#REF!,2,FALSE)),"")</f>
      </c>
      <c r="D656" s="14"/>
      <c r="E656" t="s" s="15">
        <v>2550</v>
      </c>
      <c r="F656" s="14"/>
      <c r="G656" t="s" s="15">
        <v>2551</v>
      </c>
      <c r="H656" t="s" s="15">
        <v>2552</v>
      </c>
      <c r="I656" t="s" s="15">
        <v>111</v>
      </c>
      <c r="J656" t="s" s="15">
        <v>322</v>
      </c>
      <c r="K656" t="s" s="15">
        <v>113</v>
      </c>
      <c r="L656" t="s" s="15">
        <v>1760</v>
      </c>
      <c r="M656" t="s" s="15">
        <v>2553</v>
      </c>
      <c r="N656" s="14"/>
      <c r="O656" t="s" s="15">
        <v>322</v>
      </c>
      <c r="P656" t="s" s="15">
        <v>322</v>
      </c>
      <c r="Q656" t="s" s="15">
        <v>69</v>
      </c>
      <c r="R656" t="s" s="15">
        <v>83</v>
      </c>
      <c r="S656" s="14"/>
      <c r="T656" s="14"/>
      <c r="U656" s="14"/>
      <c r="V656" t="s" s="15">
        <v>69</v>
      </c>
      <c r="W656" s="14"/>
      <c r="X656" t="s" s="15">
        <v>78</v>
      </c>
      <c r="Y656" s="14"/>
      <c r="Z656" t="s" s="15">
        <v>552</v>
      </c>
      <c r="AA656" s="14"/>
      <c r="AB656" t="s" s="15">
        <v>1760</v>
      </c>
      <c r="AC656" t="s" s="24">
        <v>2549</v>
      </c>
      <c r="AD656" t="s" s="15">
        <v>2554</v>
      </c>
      <c r="AE656" s="14"/>
      <c r="AF656" s="14"/>
      <c r="AG656" t="s" s="15">
        <v>299</v>
      </c>
      <c r="AH656" t="s" s="15">
        <v>114</v>
      </c>
      <c r="AI656" t="s" s="15">
        <v>290</v>
      </c>
      <c r="AJ656" t="s" s="15">
        <v>405</v>
      </c>
      <c r="AK656" t="s" s="15">
        <v>1195</v>
      </c>
      <c r="AL656" t="s" s="15">
        <v>293</v>
      </c>
      <c r="AM656" t="s" s="15">
        <v>294</v>
      </c>
      <c r="AN656" t="s" s="15">
        <v>190</v>
      </c>
      <c r="AO656" s="17">
        <v>6</v>
      </c>
      <c r="AP656" s="17">
        <v>32768</v>
      </c>
      <c r="AQ656" s="17">
        <v>647341</v>
      </c>
      <c r="AR656" s="17">
        <v>398130</v>
      </c>
      <c r="AS656" t="s" s="15">
        <v>2555</v>
      </c>
      <c r="AT656" t="s" s="15">
        <v>301</v>
      </c>
      <c r="AU656" t="s" s="15">
        <v>1174</v>
      </c>
      <c r="AV656" t="s" s="15">
        <v>83</v>
      </c>
      <c r="AW656" t="s" s="15">
        <v>83</v>
      </c>
      <c r="AX656" t="s" s="15">
        <v>83</v>
      </c>
      <c r="AY656" t="s" s="15">
        <v>309</v>
      </c>
      <c r="AZ656" t="s" s="15">
        <v>83</v>
      </c>
      <c r="BA656" t="s" s="15">
        <v>76</v>
      </c>
      <c r="BB656" t="s" s="15">
        <v>76</v>
      </c>
      <c r="BC656" t="s" s="15">
        <v>76</v>
      </c>
      <c r="BD656" t="s" s="15">
        <v>366</v>
      </c>
      <c r="BE656" t="s" s="15">
        <v>367</v>
      </c>
      <c r="BF656" s="17">
        <v>8</v>
      </c>
      <c r="BG656" s="17">
        <v>32</v>
      </c>
      <c r="BH656" t="s" s="15">
        <v>83</v>
      </c>
      <c r="BI656" t="s" s="15">
        <v>83</v>
      </c>
      <c r="BJ656" t="s" s="15">
        <v>83</v>
      </c>
      <c r="BK656" t="s" s="15">
        <v>83</v>
      </c>
      <c r="BL656" t="s" s="15">
        <v>83</v>
      </c>
      <c r="BM656" t="s" s="15">
        <v>312</v>
      </c>
      <c r="BN656" t="s" s="15">
        <v>78</v>
      </c>
      <c r="BO656" t="s" s="21">
        <v>76</v>
      </c>
      <c r="BP656" s="8"/>
    </row>
    <row r="657" ht="13.55" customHeight="1">
      <c r="A657" t="s" s="9">
        <v>2556</v>
      </c>
      <c r="B657" s="11"/>
      <c r="C657" t="str" s="11" cm="1">
        <f t="array" ref="C657">_xlfn.IFERROR((VLOOKUP(A657,#REF!,2,FALSE)),"")</f>
      </c>
      <c r="D657" s="11"/>
      <c r="E657" s="11"/>
      <c r="F657" s="11"/>
      <c r="G657" t="s" s="10">
        <v>2557</v>
      </c>
      <c r="H657" t="s" s="10">
        <v>2552</v>
      </c>
      <c r="I657" t="s" s="10">
        <v>111</v>
      </c>
      <c r="J657" t="s" s="10">
        <v>122</v>
      </c>
      <c r="K657" t="s" s="10">
        <v>113</v>
      </c>
      <c r="L657" t="s" s="10">
        <v>1760</v>
      </c>
      <c r="M657" t="s" s="10">
        <v>2557</v>
      </c>
      <c r="N657" s="11"/>
      <c r="O657" s="11"/>
      <c r="P657" t="s" s="10">
        <v>122</v>
      </c>
      <c r="Q657" t="s" s="10">
        <v>69</v>
      </c>
      <c r="R657" t="s" s="10">
        <v>83</v>
      </c>
      <c r="S657" s="11"/>
      <c r="T657" s="11"/>
      <c r="U657" s="11"/>
      <c r="V657" t="s" s="10">
        <v>69</v>
      </c>
      <c r="W657" s="11"/>
      <c r="X657" t="s" s="10">
        <v>78</v>
      </c>
      <c r="Y657" s="11"/>
      <c r="Z657" t="s" s="10">
        <v>552</v>
      </c>
      <c r="AA657" s="11"/>
      <c r="AB657" t="s" s="10">
        <v>1760</v>
      </c>
      <c r="AC657" t="s" s="10">
        <v>2556</v>
      </c>
      <c r="AD657" t="s" s="10">
        <v>2558</v>
      </c>
      <c r="AE657" s="11"/>
      <c r="AF657" t="s" s="10">
        <v>2552</v>
      </c>
      <c r="AG657" t="s" s="10">
        <v>299</v>
      </c>
      <c r="AH657" t="s" s="10">
        <v>114</v>
      </c>
      <c r="AI657" t="s" s="10">
        <v>332</v>
      </c>
      <c r="AJ657" t="s" s="10">
        <v>405</v>
      </c>
      <c r="AK657" t="s" s="10">
        <v>83</v>
      </c>
      <c r="AL657" t="s" s="10">
        <v>293</v>
      </c>
      <c r="AM657" t="s" s="10">
        <v>294</v>
      </c>
      <c r="AN657" t="s" s="10">
        <v>190</v>
      </c>
      <c r="AO657" s="18">
        <v>6</v>
      </c>
      <c r="AP657" s="18">
        <v>32768</v>
      </c>
      <c r="AQ657" s="18">
        <v>647586</v>
      </c>
      <c r="AR657" s="18">
        <v>404708</v>
      </c>
      <c r="AS657" t="s" s="10">
        <v>2559</v>
      </c>
      <c r="AT657" t="s" s="10">
        <v>301</v>
      </c>
      <c r="AU657" s="11"/>
      <c r="AV657" s="11"/>
      <c r="AW657" s="11"/>
      <c r="AX657" s="11"/>
      <c r="AY657" s="11"/>
      <c r="AZ657" s="11"/>
      <c r="BA657" s="11"/>
      <c r="BB657" s="11"/>
      <c r="BC657" s="11"/>
      <c r="BD657" t="s" s="10">
        <v>366</v>
      </c>
      <c r="BE657" t="s" s="10">
        <v>367</v>
      </c>
      <c r="BF657" s="18">
        <v>8</v>
      </c>
      <c r="BG657" s="18">
        <v>32</v>
      </c>
      <c r="BH657" s="11"/>
      <c r="BI657" s="11"/>
      <c r="BJ657" s="11"/>
      <c r="BK657" s="11"/>
      <c r="BL657" s="11"/>
      <c r="BM657" s="11"/>
      <c r="BN657" t="s" s="10">
        <v>69</v>
      </c>
      <c r="BO657" s="12"/>
      <c r="BP657" s="8"/>
    </row>
    <row r="658" ht="15" customHeight="1">
      <c r="A658" t="s" s="13">
        <v>2560</v>
      </c>
      <c r="B658" s="14"/>
      <c r="C658" t="str" s="14" cm="1">
        <f t="array" ref="C658">_xlfn.IFERROR((VLOOKUP(A658,#REF!,2,FALSE)),"")</f>
      </c>
      <c r="D658" s="14"/>
      <c r="E658" s="14"/>
      <c r="F658" s="14"/>
      <c r="G658" t="s" s="15">
        <v>2561</v>
      </c>
      <c r="H658" t="s" s="15">
        <v>2562</v>
      </c>
      <c r="I658" t="s" s="15">
        <v>111</v>
      </c>
      <c r="J658" t="s" s="15">
        <v>122</v>
      </c>
      <c r="K658" t="s" s="15">
        <v>113</v>
      </c>
      <c r="L658" t="s" s="15">
        <v>76</v>
      </c>
      <c r="M658" t="s" s="15">
        <v>2561</v>
      </c>
      <c r="N658" s="14"/>
      <c r="O658" s="14"/>
      <c r="P658" t="s" s="15">
        <v>122</v>
      </c>
      <c r="Q658" t="s" s="15">
        <v>69</v>
      </c>
      <c r="R658" t="s" s="15">
        <v>83</v>
      </c>
      <c r="S658" s="14"/>
      <c r="T658" s="14"/>
      <c r="U658" s="14"/>
      <c r="V658" t="s" s="15">
        <v>69</v>
      </c>
      <c r="W658" s="14"/>
      <c r="X658" t="s" s="15">
        <v>78</v>
      </c>
      <c r="Y658" s="14"/>
      <c r="Z658" t="s" s="15">
        <v>205</v>
      </c>
      <c r="AA658" s="14"/>
      <c r="AB658" t="s" s="15">
        <v>1154</v>
      </c>
      <c r="AC658" t="s" s="15">
        <v>2560</v>
      </c>
      <c r="AD658" t="s" s="15">
        <v>2563</v>
      </c>
      <c r="AE658" s="14"/>
      <c r="AF658" s="14"/>
      <c r="AG658" t="s" s="15">
        <v>299</v>
      </c>
      <c r="AH658" t="s" s="15">
        <v>114</v>
      </c>
      <c r="AI658" t="s" s="15">
        <v>440</v>
      </c>
      <c r="AJ658" s="14"/>
      <c r="AK658" t="s" s="15">
        <v>83</v>
      </c>
      <c r="AL658" t="s" s="15">
        <v>293</v>
      </c>
      <c r="AM658" t="s" s="15">
        <v>294</v>
      </c>
      <c r="AN658" t="s" s="15">
        <v>190</v>
      </c>
      <c r="AO658" s="17">
        <v>2</v>
      </c>
      <c r="AP658" s="17">
        <v>4096</v>
      </c>
      <c r="AQ658" s="17">
        <v>157778</v>
      </c>
      <c r="AR658" s="17">
        <v>157778</v>
      </c>
      <c r="AS658" t="s" s="15">
        <v>2564</v>
      </c>
      <c r="AT658" t="s" s="15">
        <v>301</v>
      </c>
      <c r="AU658" s="14"/>
      <c r="AV658" s="14"/>
      <c r="AW658" s="14"/>
      <c r="AX658" s="14"/>
      <c r="AY658" s="14"/>
      <c r="AZ658" s="14"/>
      <c r="BA658" s="14"/>
      <c r="BB658" s="14"/>
      <c r="BC658" s="14"/>
      <c r="BD658" t="s" s="15">
        <v>310</v>
      </c>
      <c r="BE658" t="s" s="15">
        <v>419</v>
      </c>
      <c r="BF658" s="17">
        <v>2</v>
      </c>
      <c r="BG658" s="17">
        <v>4</v>
      </c>
      <c r="BH658" s="14"/>
      <c r="BI658" s="14"/>
      <c r="BJ658" s="14"/>
      <c r="BK658" s="14"/>
      <c r="BL658" s="14"/>
      <c r="BM658" s="14"/>
      <c r="BN658" t="s" s="15">
        <v>69</v>
      </c>
      <c r="BO658" s="16"/>
      <c r="BP658" s="8"/>
    </row>
    <row r="659" ht="9" customHeight="1" hidden="1">
      <c r="A659" t="s" s="9">
        <v>2565</v>
      </c>
      <c r="B659" s="11"/>
      <c r="C659" t="str" s="11" cm="1">
        <f t="array" ref="C659">_xlfn.IFERROR((VLOOKUP(A659,#REF!,2,FALSE)),"")</f>
      </c>
      <c r="D659" t="s" s="10">
        <v>70</v>
      </c>
      <c r="E659" t="s" s="10">
        <v>2566</v>
      </c>
      <c r="F659" t="s" s="10">
        <v>76</v>
      </c>
      <c r="G659" t="s" s="10">
        <v>2567</v>
      </c>
      <c r="H659" t="s" s="10">
        <v>2512</v>
      </c>
      <c r="I659" t="s" s="10">
        <v>73</v>
      </c>
      <c r="J659" t="s" s="10">
        <v>74</v>
      </c>
      <c r="K659" t="s" s="10">
        <v>113</v>
      </c>
      <c r="L659" t="s" s="10">
        <v>1467</v>
      </c>
      <c r="M659" t="s" s="10">
        <v>2568</v>
      </c>
      <c r="N659" t="s" s="10">
        <v>2567</v>
      </c>
      <c r="O659" t="s" s="10">
        <v>71</v>
      </c>
      <c r="P659" t="s" s="10">
        <v>112</v>
      </c>
      <c r="Q659" t="s" s="10">
        <v>78</v>
      </c>
      <c r="R659" t="s" s="10">
        <v>83</v>
      </c>
      <c r="S659" s="11"/>
      <c r="T659" s="11"/>
      <c r="U659" s="11"/>
      <c r="V659" t="s" s="10">
        <v>69</v>
      </c>
      <c r="W659" s="11"/>
      <c r="X659" t="s" s="10">
        <v>78</v>
      </c>
      <c r="Y659" s="11"/>
      <c r="Z659" t="s" s="10">
        <v>205</v>
      </c>
      <c r="AA659" s="11"/>
      <c r="AB659" t="s" s="10">
        <v>2513</v>
      </c>
      <c r="AC659" t="s" s="25">
        <v>2565</v>
      </c>
      <c r="AD659" s="11"/>
      <c r="AE659" s="11"/>
      <c r="AF659" s="11"/>
      <c r="AG659" t="s" s="10">
        <v>299</v>
      </c>
      <c r="AH659" t="s" s="10">
        <v>114</v>
      </c>
      <c r="AI659" t="s" s="10">
        <v>76</v>
      </c>
      <c r="AJ659" t="s" s="10">
        <v>76</v>
      </c>
      <c r="AK659" t="s" s="10">
        <v>79</v>
      </c>
      <c r="AL659" t="s" s="10">
        <v>293</v>
      </c>
      <c r="AM659" t="s" s="10">
        <v>294</v>
      </c>
      <c r="AN659" t="s" s="10">
        <v>190</v>
      </c>
      <c r="AO659" s="18">
        <v>8</v>
      </c>
      <c r="AP659" s="18">
        <v>8192</v>
      </c>
      <c r="AQ659" s="18">
        <v>161901</v>
      </c>
      <c r="AR659" s="18">
        <v>44655</v>
      </c>
      <c r="AS659" t="s" s="10">
        <v>2569</v>
      </c>
      <c r="AT659" t="s" s="10">
        <v>301</v>
      </c>
      <c r="AU659" s="11"/>
      <c r="AV659" t="s" s="10">
        <v>76</v>
      </c>
      <c r="AW659" t="s" s="10">
        <v>83</v>
      </c>
      <c r="AX659" t="s" s="10">
        <v>83</v>
      </c>
      <c r="AY659" t="s" s="10">
        <v>309</v>
      </c>
      <c r="AZ659" t="s" s="10">
        <v>83</v>
      </c>
      <c r="BA659" t="s" s="10">
        <v>76</v>
      </c>
      <c r="BB659" t="s" s="10">
        <v>76</v>
      </c>
      <c r="BC659" t="s" s="10">
        <v>76</v>
      </c>
      <c r="BD659" t="s" s="10">
        <v>310</v>
      </c>
      <c r="BE659" t="s" s="10">
        <v>311</v>
      </c>
      <c r="BF659" s="18">
        <v>8</v>
      </c>
      <c r="BG659" s="18">
        <v>16</v>
      </c>
      <c r="BH659" t="s" s="10">
        <v>83</v>
      </c>
      <c r="BI659" t="s" s="10">
        <v>83</v>
      </c>
      <c r="BJ659" t="s" s="10">
        <v>83</v>
      </c>
      <c r="BK659" t="s" s="10">
        <v>83</v>
      </c>
      <c r="BL659" t="s" s="10">
        <v>83</v>
      </c>
      <c r="BM659" t="s" s="10">
        <v>312</v>
      </c>
      <c r="BN659" t="s" s="10">
        <v>78</v>
      </c>
      <c r="BO659" t="s" s="19">
        <v>76</v>
      </c>
      <c r="BP659" s="8"/>
    </row>
    <row r="660" ht="9" customHeight="1" hidden="1">
      <c r="A660" t="s" s="13">
        <v>2570</v>
      </c>
      <c r="B660" s="14"/>
      <c r="C660" t="str" s="14" cm="1">
        <f t="array" ref="C660">_xlfn.IFERROR((VLOOKUP(A660,#REF!,2,FALSE)),"")</f>
      </c>
      <c r="D660" s="14"/>
      <c r="E660" t="s" s="15">
        <v>1997</v>
      </c>
      <c r="F660" s="14"/>
      <c r="G660" t="s" s="15">
        <v>2571</v>
      </c>
      <c r="H660" t="s" s="15">
        <v>2571</v>
      </c>
      <c r="I660" t="s" s="15">
        <v>73</v>
      </c>
      <c r="J660" t="s" s="15">
        <v>74</v>
      </c>
      <c r="K660" t="s" s="15">
        <v>113</v>
      </c>
      <c r="L660" t="s" s="15">
        <v>76</v>
      </c>
      <c r="M660" t="s" s="15">
        <v>2571</v>
      </c>
      <c r="N660" s="14"/>
      <c r="O660" t="s" s="15">
        <v>71</v>
      </c>
      <c r="P660" t="s" s="15">
        <v>112</v>
      </c>
      <c r="Q660" t="s" s="15">
        <v>69</v>
      </c>
      <c r="R660" t="s" s="15">
        <v>71</v>
      </c>
      <c r="S660" s="14"/>
      <c r="T660" s="14"/>
      <c r="U660" s="14"/>
      <c r="V660" t="s" s="15">
        <v>69</v>
      </c>
      <c r="W660" s="14"/>
      <c r="X660" t="s" s="15">
        <v>78</v>
      </c>
      <c r="Y660" s="14"/>
      <c r="Z660" t="s" s="15">
        <v>76</v>
      </c>
      <c r="AA660" s="14"/>
      <c r="AB660" t="s" s="15">
        <v>76</v>
      </c>
      <c r="AC660" t="s" s="15">
        <v>2570</v>
      </c>
      <c r="AD660" s="14"/>
      <c r="AE660" s="14"/>
      <c r="AF660" s="14"/>
      <c r="AG660" t="s" s="15">
        <v>299</v>
      </c>
      <c r="AH660" t="s" s="15">
        <v>106</v>
      </c>
      <c r="AI660" t="s" s="15">
        <v>76</v>
      </c>
      <c r="AJ660" t="s" s="15">
        <v>76</v>
      </c>
      <c r="AK660" t="s" s="15">
        <v>79</v>
      </c>
      <c r="AL660" t="s" s="15">
        <v>293</v>
      </c>
      <c r="AM660" t="s" s="15">
        <v>196</v>
      </c>
      <c r="AN660" t="s" s="15">
        <v>190</v>
      </c>
      <c r="AO660" s="17">
        <v>4</v>
      </c>
      <c r="AP660" s="17">
        <v>16384</v>
      </c>
      <c r="AQ660" s="17">
        <v>170068</v>
      </c>
      <c r="AR660" s="17">
        <v>57663</v>
      </c>
      <c r="AS660" t="s" s="15">
        <v>2572</v>
      </c>
      <c r="AT660" t="s" s="15">
        <v>301</v>
      </c>
      <c r="AU660" s="14"/>
      <c r="AV660" s="14"/>
      <c r="AW660" s="14"/>
      <c r="AX660" s="14"/>
      <c r="AY660" s="14"/>
      <c r="AZ660" s="14"/>
      <c r="BA660" s="14"/>
      <c r="BB660" s="14"/>
      <c r="BC660" s="14"/>
      <c r="BD660" s="14"/>
      <c r="BE660" s="14"/>
      <c r="BF660" s="14"/>
      <c r="BG660" s="14"/>
      <c r="BH660" s="14"/>
      <c r="BI660" s="14"/>
      <c r="BJ660" s="14"/>
      <c r="BK660" s="14"/>
      <c r="BL660" s="14"/>
      <c r="BM660" s="14"/>
      <c r="BN660" s="14"/>
      <c r="BO660" s="16"/>
      <c r="BP660" s="8"/>
    </row>
    <row r="661" ht="15" customHeight="1" hidden="1">
      <c r="A661" t="s" s="9">
        <v>2573</v>
      </c>
      <c r="B661" s="11"/>
      <c r="C661" t="str" s="11" cm="1">
        <f t="array" ref="C661">_xlfn.IFERROR((VLOOKUP(A661,#REF!,2,FALSE)),"")</f>
      </c>
      <c r="D661" s="11"/>
      <c r="E661" s="11"/>
      <c r="F661" s="11"/>
      <c r="G661" t="s" s="10">
        <v>2574</v>
      </c>
      <c r="H661" t="s" s="10">
        <v>550</v>
      </c>
      <c r="I661" t="s" s="10">
        <v>111</v>
      </c>
      <c r="J661" t="s" s="10">
        <v>112</v>
      </c>
      <c r="K661" t="s" s="10">
        <v>113</v>
      </c>
      <c r="L661" t="s" s="10">
        <v>518</v>
      </c>
      <c r="M661" t="s" s="10">
        <v>2574</v>
      </c>
      <c r="N661" s="11"/>
      <c r="O661" s="11"/>
      <c r="P661" t="s" s="10">
        <v>112</v>
      </c>
      <c r="Q661" t="s" s="10">
        <v>69</v>
      </c>
      <c r="R661" t="s" s="10">
        <v>83</v>
      </c>
      <c r="S661" s="11"/>
      <c r="T661" s="11"/>
      <c r="U661" s="11"/>
      <c r="V661" t="s" s="10">
        <v>69</v>
      </c>
      <c r="W661" s="11"/>
      <c r="X661" t="s" s="10">
        <v>78</v>
      </c>
      <c r="Y661" s="11"/>
      <c r="Z661" t="s" s="10">
        <v>552</v>
      </c>
      <c r="AA661" s="11"/>
      <c r="AB661" t="s" s="10">
        <v>553</v>
      </c>
      <c r="AC661" t="s" s="10">
        <v>2573</v>
      </c>
      <c r="AD661" t="s" s="10">
        <v>538</v>
      </c>
      <c r="AE661" s="11"/>
      <c r="AF661" s="11"/>
      <c r="AG661" t="s" s="10">
        <v>299</v>
      </c>
      <c r="AH661" t="s" s="10">
        <v>114</v>
      </c>
      <c r="AI661" t="s" s="10">
        <v>440</v>
      </c>
      <c r="AJ661" s="11"/>
      <c r="AK661" t="s" s="10">
        <v>83</v>
      </c>
      <c r="AL661" t="s" s="10">
        <v>293</v>
      </c>
      <c r="AM661" t="s" s="10">
        <v>294</v>
      </c>
      <c r="AN661" t="s" s="10">
        <v>1138</v>
      </c>
      <c r="AO661" s="18">
        <v>2</v>
      </c>
      <c r="AP661" s="18">
        <v>8192</v>
      </c>
      <c r="AQ661" s="18">
        <v>192627</v>
      </c>
      <c r="AR661" s="18">
        <v>179688</v>
      </c>
      <c r="AS661" t="s" s="10">
        <v>539</v>
      </c>
      <c r="AT661" t="s" s="10">
        <v>301</v>
      </c>
      <c r="AU661" s="11"/>
      <c r="AV661" s="11"/>
      <c r="AW661" s="11"/>
      <c r="AX661" s="11"/>
      <c r="AY661" s="11"/>
      <c r="AZ661" s="11"/>
      <c r="BA661" s="11"/>
      <c r="BB661" s="11"/>
      <c r="BC661" s="11"/>
      <c r="BD661" t="s" s="10">
        <v>366</v>
      </c>
      <c r="BE661" t="s" s="10">
        <v>489</v>
      </c>
      <c r="BF661" s="18">
        <v>2</v>
      </c>
      <c r="BG661" s="18">
        <v>8</v>
      </c>
      <c r="BH661" s="11"/>
      <c r="BI661" s="11"/>
      <c r="BJ661" s="11"/>
      <c r="BK661" s="11"/>
      <c r="BL661" s="11"/>
      <c r="BM661" s="11"/>
      <c r="BN661" t="s" s="10">
        <v>78</v>
      </c>
      <c r="BO661" s="12"/>
      <c r="BP661" s="8"/>
    </row>
    <row r="662" ht="9" customHeight="1" hidden="1">
      <c r="A662" t="s" s="13">
        <v>2575</v>
      </c>
      <c r="B662" s="14"/>
      <c r="C662" t="str" s="14" cm="1">
        <f t="array" ref="C662">_xlfn.IFERROR((VLOOKUP(A662,#REF!,2,FALSE)),"")</f>
      </c>
      <c r="D662" s="14"/>
      <c r="E662" t="s" s="15">
        <v>2576</v>
      </c>
      <c r="F662" t="s" s="15">
        <v>76</v>
      </c>
      <c r="G662" t="s" s="15">
        <v>2577</v>
      </c>
      <c r="H662" t="s" s="15">
        <v>2578</v>
      </c>
      <c r="I662" t="s" s="15">
        <v>111</v>
      </c>
      <c r="J662" t="s" s="15">
        <v>112</v>
      </c>
      <c r="K662" t="s" s="15">
        <v>113</v>
      </c>
      <c r="L662" t="s" s="15">
        <v>2579</v>
      </c>
      <c r="M662" t="s" s="15">
        <v>2577</v>
      </c>
      <c r="N662" s="14"/>
      <c r="O662" t="s" s="15">
        <v>346</v>
      </c>
      <c r="P662" t="s" s="15">
        <v>112</v>
      </c>
      <c r="Q662" t="s" s="15">
        <v>69</v>
      </c>
      <c r="R662" t="s" s="15">
        <v>83</v>
      </c>
      <c r="S662" s="14"/>
      <c r="T662" s="14"/>
      <c r="U662" s="14"/>
      <c r="V662" t="s" s="15">
        <v>69</v>
      </c>
      <c r="W662" s="14"/>
      <c r="X662" t="s" s="15">
        <v>78</v>
      </c>
      <c r="Y662" s="14"/>
      <c r="Z662" t="s" s="15">
        <v>1112</v>
      </c>
      <c r="AA662" s="14"/>
      <c r="AB662" t="s" s="15">
        <v>2580</v>
      </c>
      <c r="AC662" t="s" s="15">
        <v>2575</v>
      </c>
      <c r="AD662" t="s" s="15">
        <v>2581</v>
      </c>
      <c r="AE662" s="14"/>
      <c r="AF662" s="14"/>
      <c r="AG662" t="s" s="15">
        <v>299</v>
      </c>
      <c r="AH662" t="s" s="15">
        <v>114</v>
      </c>
      <c r="AI662" t="s" s="15">
        <v>290</v>
      </c>
      <c r="AJ662" t="s" s="15">
        <v>798</v>
      </c>
      <c r="AK662" t="s" s="15">
        <v>1195</v>
      </c>
      <c r="AL662" t="s" s="15">
        <v>293</v>
      </c>
      <c r="AM662" t="s" s="15">
        <v>294</v>
      </c>
      <c r="AN662" t="s" s="15">
        <v>187</v>
      </c>
      <c r="AO662" s="17">
        <v>6</v>
      </c>
      <c r="AP662" s="17">
        <v>32768</v>
      </c>
      <c r="AQ662" s="17">
        <v>800911</v>
      </c>
      <c r="AR662" s="17">
        <v>120923</v>
      </c>
      <c r="AS662" t="s" s="15">
        <v>2582</v>
      </c>
      <c r="AT662" t="s" s="15">
        <v>301</v>
      </c>
      <c r="AU662" t="s" s="15">
        <v>1174</v>
      </c>
      <c r="AV662" t="s" s="15">
        <v>76</v>
      </c>
      <c r="AW662" t="s" s="15">
        <v>83</v>
      </c>
      <c r="AX662" t="s" s="15">
        <v>83</v>
      </c>
      <c r="AY662" t="s" s="15">
        <v>309</v>
      </c>
      <c r="AZ662" t="s" s="15">
        <v>83</v>
      </c>
      <c r="BA662" t="s" s="15">
        <v>76</v>
      </c>
      <c r="BB662" t="s" s="15">
        <v>76</v>
      </c>
      <c r="BC662" t="s" s="15">
        <v>76</v>
      </c>
      <c r="BD662" t="s" s="15">
        <v>366</v>
      </c>
      <c r="BE662" t="s" s="15">
        <v>367</v>
      </c>
      <c r="BF662" s="17">
        <v>8</v>
      </c>
      <c r="BG662" s="17">
        <v>32</v>
      </c>
      <c r="BH662" t="s" s="15">
        <v>83</v>
      </c>
      <c r="BI662" t="s" s="15">
        <v>83</v>
      </c>
      <c r="BJ662" t="s" s="15">
        <v>83</v>
      </c>
      <c r="BK662" t="s" s="15">
        <v>83</v>
      </c>
      <c r="BL662" t="s" s="15">
        <v>83</v>
      </c>
      <c r="BM662" t="s" s="15">
        <v>312</v>
      </c>
      <c r="BN662" t="s" s="15">
        <v>78</v>
      </c>
      <c r="BO662" t="s" s="21">
        <v>76</v>
      </c>
      <c r="BP662" s="8"/>
    </row>
    <row r="663" ht="9" customHeight="1" hidden="1">
      <c r="A663" t="s" s="9">
        <v>2583</v>
      </c>
      <c r="B663" s="11"/>
      <c r="C663" t="str" s="11" cm="1">
        <f t="array" ref="C663">_xlfn.IFERROR((VLOOKUP(A663,#REF!,2,FALSE)),"")</f>
      </c>
      <c r="D663" t="s" s="10">
        <v>70</v>
      </c>
      <c r="E663" t="s" s="10">
        <v>2584</v>
      </c>
      <c r="F663" t="s" s="10">
        <v>76</v>
      </c>
      <c r="G663" t="s" s="10">
        <v>2585</v>
      </c>
      <c r="H663" t="s" s="10">
        <v>1758</v>
      </c>
      <c r="I663" t="s" s="10">
        <v>111</v>
      </c>
      <c r="J663" t="s" s="10">
        <v>322</v>
      </c>
      <c r="K663" t="s" s="10">
        <v>113</v>
      </c>
      <c r="L663" t="s" s="10">
        <v>1759</v>
      </c>
      <c r="M663" t="s" s="10">
        <v>2586</v>
      </c>
      <c r="N663" t="s" s="10">
        <v>2587</v>
      </c>
      <c r="O663" t="s" s="10">
        <v>517</v>
      </c>
      <c r="P663" t="s" s="10">
        <v>517</v>
      </c>
      <c r="Q663" t="s" s="10">
        <v>78</v>
      </c>
      <c r="R663" t="s" s="10">
        <v>83</v>
      </c>
      <c r="S663" s="11"/>
      <c r="T663" s="11"/>
      <c r="U663" s="11"/>
      <c r="V663" t="s" s="10">
        <v>78</v>
      </c>
      <c r="W663" s="11"/>
      <c r="X663" t="s" s="10">
        <v>78</v>
      </c>
      <c r="Y663" s="11"/>
      <c r="Z663" t="s" s="10">
        <v>1760</v>
      </c>
      <c r="AA663" s="11"/>
      <c r="AB663" t="s" s="10">
        <v>1761</v>
      </c>
      <c r="AC663" t="s" s="10">
        <v>1226</v>
      </c>
      <c r="AD663" s="11"/>
      <c r="AE663" s="11"/>
      <c r="AF663" s="11"/>
      <c r="AG663" t="s" s="10">
        <v>299</v>
      </c>
      <c r="AH663" t="s" s="10">
        <v>114</v>
      </c>
      <c r="AI663" t="s" s="10">
        <v>290</v>
      </c>
      <c r="AJ663" t="s" s="10">
        <v>405</v>
      </c>
      <c r="AK663" t="s" s="10">
        <v>1195</v>
      </c>
      <c r="AL663" t="s" s="10">
        <v>293</v>
      </c>
      <c r="AM663" t="s" s="10">
        <v>294</v>
      </c>
      <c r="AN663" t="s" s="10">
        <v>1226</v>
      </c>
      <c r="AO663" s="18">
        <v>4</v>
      </c>
      <c r="AP663" s="18">
        <v>4096</v>
      </c>
      <c r="AQ663" s="18">
        <v>106589</v>
      </c>
      <c r="AR663" s="18">
        <v>31076</v>
      </c>
      <c r="AS663" t="s" s="10">
        <v>2588</v>
      </c>
      <c r="AT663" t="s" s="10">
        <v>301</v>
      </c>
      <c r="AU663" t="s" s="10">
        <v>1174</v>
      </c>
      <c r="AV663" t="s" s="10">
        <v>83</v>
      </c>
      <c r="AW663" t="s" s="10">
        <v>83</v>
      </c>
      <c r="AX663" t="s" s="10">
        <v>83</v>
      </c>
      <c r="AY663" t="s" s="10">
        <v>309</v>
      </c>
      <c r="AZ663" t="s" s="10">
        <v>83</v>
      </c>
      <c r="BA663" t="s" s="10">
        <v>76</v>
      </c>
      <c r="BB663" t="s" s="10">
        <v>76</v>
      </c>
      <c r="BC663" t="s" s="10">
        <v>76</v>
      </c>
      <c r="BD663" t="s" s="10">
        <v>310</v>
      </c>
      <c r="BE663" t="s" s="10">
        <v>356</v>
      </c>
      <c r="BF663" s="18">
        <v>4</v>
      </c>
      <c r="BG663" s="18">
        <v>8</v>
      </c>
      <c r="BH663" t="s" s="10">
        <v>83</v>
      </c>
      <c r="BI663" t="s" s="10">
        <v>83</v>
      </c>
      <c r="BJ663" t="s" s="10">
        <v>83</v>
      </c>
      <c r="BK663" t="s" s="10">
        <v>83</v>
      </c>
      <c r="BL663" t="s" s="10">
        <v>83</v>
      </c>
      <c r="BM663" t="s" s="10">
        <v>312</v>
      </c>
      <c r="BN663" t="s" s="10">
        <v>78</v>
      </c>
      <c r="BO663" t="s" s="19">
        <v>76</v>
      </c>
      <c r="BP663" s="8"/>
    </row>
    <row r="664" ht="9" customHeight="1" hidden="1">
      <c r="A664" t="s" s="13">
        <v>2589</v>
      </c>
      <c r="B664" s="14"/>
      <c r="C664" t="str" s="14" cm="1">
        <f t="array" ref="C664">_xlfn.IFERROR((VLOOKUP(A664,#REF!,2,FALSE)),"")</f>
      </c>
      <c r="D664" t="s" s="15">
        <v>70</v>
      </c>
      <c r="E664" t="s" s="15">
        <v>195</v>
      </c>
      <c r="F664" s="14"/>
      <c r="G664" t="s" s="15">
        <v>2590</v>
      </c>
      <c r="H664" t="s" s="15">
        <v>1758</v>
      </c>
      <c r="I664" t="s" s="15">
        <v>73</v>
      </c>
      <c r="J664" t="s" s="15">
        <v>74</v>
      </c>
      <c r="K664" t="s" s="15">
        <v>113</v>
      </c>
      <c r="L664" t="s" s="15">
        <v>1759</v>
      </c>
      <c r="M664" t="s" s="15">
        <v>2591</v>
      </c>
      <c r="N664" t="s" s="15">
        <v>2590</v>
      </c>
      <c r="O664" t="s" s="15">
        <v>71</v>
      </c>
      <c r="P664" t="s" s="15">
        <v>469</v>
      </c>
      <c r="Q664" t="s" s="15">
        <v>78</v>
      </c>
      <c r="R664" t="s" s="15">
        <v>71</v>
      </c>
      <c r="S664" s="14"/>
      <c r="T664" s="14"/>
      <c r="U664" s="14"/>
      <c r="V664" t="s" s="15">
        <v>78</v>
      </c>
      <c r="W664" s="14"/>
      <c r="X664" t="s" s="15">
        <v>78</v>
      </c>
      <c r="Y664" s="14"/>
      <c r="Z664" t="s" s="15">
        <v>1760</v>
      </c>
      <c r="AA664" s="14"/>
      <c r="AB664" t="s" s="15">
        <v>1761</v>
      </c>
      <c r="AC664" s="14"/>
      <c r="AD664" s="14"/>
      <c r="AE664" s="14"/>
      <c r="AF664" s="14"/>
      <c r="AG664" t="s" s="15">
        <v>299</v>
      </c>
      <c r="AH664" t="s" s="15">
        <v>106</v>
      </c>
      <c r="AI664" t="s" s="15">
        <v>76</v>
      </c>
      <c r="AJ664" t="s" s="15">
        <v>76</v>
      </c>
      <c r="AK664" t="s" s="15">
        <v>79</v>
      </c>
      <c r="AL664" t="s" s="15">
        <v>293</v>
      </c>
      <c r="AM664" t="s" s="15">
        <v>196</v>
      </c>
      <c r="AN664" t="s" s="15">
        <v>2592</v>
      </c>
      <c r="AO664" s="17">
        <v>4</v>
      </c>
      <c r="AP664" s="17">
        <v>4096</v>
      </c>
      <c r="AQ664" s="17">
        <v>106588</v>
      </c>
      <c r="AR664" s="17">
        <v>23913</v>
      </c>
      <c r="AS664" t="s" s="15">
        <v>2593</v>
      </c>
      <c r="AT664" t="s" s="15">
        <v>301</v>
      </c>
      <c r="AU664" s="14"/>
      <c r="AV664" s="14"/>
      <c r="AW664" s="14"/>
      <c r="AX664" s="14"/>
      <c r="AY664" s="14"/>
      <c r="AZ664" s="14"/>
      <c r="BA664" s="14"/>
      <c r="BB664" s="14"/>
      <c r="BC664" s="14"/>
      <c r="BD664" s="14"/>
      <c r="BE664" s="14"/>
      <c r="BF664" s="14"/>
      <c r="BG664" s="14"/>
      <c r="BH664" s="14"/>
      <c r="BI664" s="14"/>
      <c r="BJ664" s="14"/>
      <c r="BK664" s="14"/>
      <c r="BL664" s="14"/>
      <c r="BM664" s="14"/>
      <c r="BN664" s="14"/>
      <c r="BO664" s="16"/>
      <c r="BP664" s="8"/>
    </row>
    <row r="665" ht="9" customHeight="1" hidden="1">
      <c r="A665" t="s" s="9">
        <v>2594</v>
      </c>
      <c r="B665" s="11"/>
      <c r="C665" t="str" s="11" cm="1">
        <f t="array" ref="C665">_xlfn.IFERROR((VLOOKUP(A665,#REF!,2,FALSE)),"")</f>
      </c>
      <c r="D665" s="11"/>
      <c r="E665" t="s" s="10">
        <v>2595</v>
      </c>
      <c r="F665" s="11"/>
      <c r="G665" t="s" s="10">
        <v>2596</v>
      </c>
      <c r="H665" t="s" s="10">
        <v>2597</v>
      </c>
      <c r="I665" t="s" s="10">
        <v>111</v>
      </c>
      <c r="J665" t="s" s="10">
        <v>469</v>
      </c>
      <c r="K665" t="s" s="10">
        <v>113</v>
      </c>
      <c r="L665" t="s" s="10">
        <v>76</v>
      </c>
      <c r="M665" t="s" s="10">
        <v>2598</v>
      </c>
      <c r="N665" s="11"/>
      <c r="O665" s="11"/>
      <c r="P665" t="s" s="10">
        <v>469</v>
      </c>
      <c r="Q665" t="s" s="10">
        <v>69</v>
      </c>
      <c r="R665" t="s" s="10">
        <v>83</v>
      </c>
      <c r="S665" s="11"/>
      <c r="T665" s="11"/>
      <c r="U665" s="11"/>
      <c r="V665" t="s" s="10">
        <v>69</v>
      </c>
      <c r="W665" s="11"/>
      <c r="X665" t="s" s="10">
        <v>78</v>
      </c>
      <c r="Y665" s="11"/>
      <c r="Z665" t="s" s="10">
        <v>76</v>
      </c>
      <c r="AA665" s="11"/>
      <c r="AB665" t="s" s="10">
        <v>76</v>
      </c>
      <c r="AC665" t="s" s="10">
        <v>2594</v>
      </c>
      <c r="AD665" t="s" s="10">
        <v>2599</v>
      </c>
      <c r="AE665" s="11"/>
      <c r="AF665" s="11"/>
      <c r="AG665" t="s" s="10">
        <v>299</v>
      </c>
      <c r="AH665" t="s" s="10">
        <v>106</v>
      </c>
      <c r="AI665" t="s" s="10">
        <v>76</v>
      </c>
      <c r="AJ665" t="s" s="10">
        <v>76</v>
      </c>
      <c r="AK665" t="s" s="10">
        <v>79</v>
      </c>
      <c r="AL665" t="s" s="10">
        <v>293</v>
      </c>
      <c r="AM665" t="s" s="10">
        <v>294</v>
      </c>
      <c r="AN665" t="s" s="10">
        <v>190</v>
      </c>
      <c r="AO665" s="18">
        <v>4</v>
      </c>
      <c r="AP665" s="18">
        <v>8192</v>
      </c>
      <c r="AQ665" s="18">
        <v>161898</v>
      </c>
      <c r="AR665" s="18">
        <v>37517</v>
      </c>
      <c r="AS665" t="s" s="10">
        <v>2600</v>
      </c>
      <c r="AT665" t="s" s="10">
        <v>301</v>
      </c>
      <c r="AU665" s="11"/>
      <c r="AV665" s="11"/>
      <c r="AW665" s="11"/>
      <c r="AX665" s="11"/>
      <c r="AY665" s="11"/>
      <c r="AZ665" s="11"/>
      <c r="BA665" s="11"/>
      <c r="BB665" s="11"/>
      <c r="BC665" s="11"/>
      <c r="BD665" s="11"/>
      <c r="BE665" s="11"/>
      <c r="BF665" s="11"/>
      <c r="BG665" s="11"/>
      <c r="BH665" s="11"/>
      <c r="BI665" s="11"/>
      <c r="BJ665" s="11"/>
      <c r="BK665" s="11"/>
      <c r="BL665" s="11"/>
      <c r="BM665" s="11"/>
      <c r="BN665" t="s" s="10">
        <v>78</v>
      </c>
      <c r="BO665" s="12"/>
      <c r="BP665" s="8"/>
    </row>
    <row r="666" ht="9" customHeight="1" hidden="1">
      <c r="A666" t="s" s="13">
        <v>2601</v>
      </c>
      <c r="B666" s="14"/>
      <c r="C666" t="str" s="14" cm="1">
        <f t="array" ref="C666">_xlfn.IFERROR((VLOOKUP(A666,#REF!,2,FALSE)),"")</f>
      </c>
      <c r="D666" s="14"/>
      <c r="E666" t="s" s="15">
        <v>2595</v>
      </c>
      <c r="F666" s="14"/>
      <c r="G666" t="s" s="15">
        <v>2602</v>
      </c>
      <c r="H666" t="s" s="15">
        <v>2597</v>
      </c>
      <c r="I666" t="s" s="15">
        <v>111</v>
      </c>
      <c r="J666" t="s" s="15">
        <v>469</v>
      </c>
      <c r="K666" t="s" s="15">
        <v>113</v>
      </c>
      <c r="L666" t="s" s="15">
        <v>76</v>
      </c>
      <c r="M666" t="s" s="15">
        <v>2603</v>
      </c>
      <c r="N666" s="14"/>
      <c r="O666" s="14"/>
      <c r="P666" t="s" s="15">
        <v>469</v>
      </c>
      <c r="Q666" t="s" s="15">
        <v>69</v>
      </c>
      <c r="R666" t="s" s="15">
        <v>83</v>
      </c>
      <c r="S666" s="14"/>
      <c r="T666" s="14"/>
      <c r="U666" s="14"/>
      <c r="V666" t="s" s="15">
        <v>69</v>
      </c>
      <c r="W666" s="14"/>
      <c r="X666" t="s" s="15">
        <v>78</v>
      </c>
      <c r="Y666" s="14"/>
      <c r="Z666" t="s" s="15">
        <v>76</v>
      </c>
      <c r="AA666" s="14"/>
      <c r="AB666" t="s" s="15">
        <v>76</v>
      </c>
      <c r="AC666" t="s" s="15">
        <v>2601</v>
      </c>
      <c r="AD666" t="s" s="15">
        <v>2604</v>
      </c>
      <c r="AE666" s="14"/>
      <c r="AF666" s="14"/>
      <c r="AG666" t="s" s="15">
        <v>299</v>
      </c>
      <c r="AH666" t="s" s="15">
        <v>106</v>
      </c>
      <c r="AI666" t="s" s="15">
        <v>76</v>
      </c>
      <c r="AJ666" t="s" s="15">
        <v>76</v>
      </c>
      <c r="AK666" t="s" s="15">
        <v>79</v>
      </c>
      <c r="AL666" t="s" s="15">
        <v>293</v>
      </c>
      <c r="AM666" t="s" s="15">
        <v>294</v>
      </c>
      <c r="AN666" t="s" s="15">
        <v>190</v>
      </c>
      <c r="AO666" s="17">
        <v>4</v>
      </c>
      <c r="AP666" s="17">
        <v>8192</v>
      </c>
      <c r="AQ666" s="17">
        <v>161933</v>
      </c>
      <c r="AR666" s="17">
        <v>37614</v>
      </c>
      <c r="AS666" t="s" s="15">
        <v>2605</v>
      </c>
      <c r="AT666" t="s" s="15">
        <v>301</v>
      </c>
      <c r="AU666" s="14"/>
      <c r="AV666" s="14"/>
      <c r="AW666" s="14"/>
      <c r="AX666" s="14"/>
      <c r="AY666" s="14"/>
      <c r="AZ666" s="14"/>
      <c r="BA666" s="14"/>
      <c r="BB666" s="14"/>
      <c r="BC666" s="14"/>
      <c r="BD666" s="14"/>
      <c r="BE666" s="14"/>
      <c r="BF666" s="14"/>
      <c r="BG666" s="14"/>
      <c r="BH666" s="14"/>
      <c r="BI666" s="14"/>
      <c r="BJ666" s="14"/>
      <c r="BK666" s="14"/>
      <c r="BL666" s="14"/>
      <c r="BM666" s="14"/>
      <c r="BN666" t="s" s="15">
        <v>78</v>
      </c>
      <c r="BO666" s="16"/>
      <c r="BP666" s="8"/>
    </row>
    <row r="667" ht="15" customHeight="1">
      <c r="A667" t="s" s="9">
        <v>2606</v>
      </c>
      <c r="B667" s="11"/>
      <c r="C667" t="str" s="11" cm="1">
        <f t="array" ref="C667">_xlfn.IFERROR((VLOOKUP(A667,#REF!,2,FALSE)),"")</f>
      </c>
      <c r="D667" s="11"/>
      <c r="E667" s="11"/>
      <c r="F667" s="11"/>
      <c r="G667" t="s" s="10">
        <v>1403</v>
      </c>
      <c r="H667" t="s" s="10">
        <v>468</v>
      </c>
      <c r="I667" t="s" s="10">
        <v>111</v>
      </c>
      <c r="J667" t="s" s="10">
        <v>122</v>
      </c>
      <c r="K667" t="s" s="10">
        <v>113</v>
      </c>
      <c r="L667" t="s" s="10">
        <v>470</v>
      </c>
      <c r="M667" t="s" s="10">
        <v>1403</v>
      </c>
      <c r="N667" s="11"/>
      <c r="O667" s="11"/>
      <c r="P667" t="s" s="10">
        <v>122</v>
      </c>
      <c r="Q667" t="s" s="10">
        <v>69</v>
      </c>
      <c r="R667" t="s" s="10">
        <v>83</v>
      </c>
      <c r="S667" s="11"/>
      <c r="T667" s="11"/>
      <c r="U667" s="11"/>
      <c r="V667" t="s" s="10">
        <v>69</v>
      </c>
      <c r="W667" s="11"/>
      <c r="X667" t="s" s="10">
        <v>78</v>
      </c>
      <c r="Y667" s="11"/>
      <c r="Z667" t="s" s="10">
        <v>471</v>
      </c>
      <c r="AA667" s="11"/>
      <c r="AB667" t="s" s="10">
        <v>472</v>
      </c>
      <c r="AC667" t="s" s="10">
        <v>2606</v>
      </c>
      <c r="AD667" t="s" s="10">
        <v>2607</v>
      </c>
      <c r="AE667" s="11"/>
      <c r="AF667" t="s" s="10">
        <v>468</v>
      </c>
      <c r="AG667" t="s" s="10">
        <v>299</v>
      </c>
      <c r="AH667" t="s" s="10">
        <v>114</v>
      </c>
      <c r="AI667" t="s" s="10">
        <v>332</v>
      </c>
      <c r="AJ667" t="s" s="10">
        <v>473</v>
      </c>
      <c r="AK667" t="s" s="10">
        <v>83</v>
      </c>
      <c r="AL667" t="s" s="10">
        <v>293</v>
      </c>
      <c r="AM667" t="s" s="10">
        <v>294</v>
      </c>
      <c r="AN667" t="s" s="10">
        <v>187</v>
      </c>
      <c r="AO667" s="18">
        <v>4</v>
      </c>
      <c r="AP667" s="18">
        <v>8192</v>
      </c>
      <c r="AQ667" s="18">
        <v>264303</v>
      </c>
      <c r="AR667" s="18">
        <v>75846</v>
      </c>
      <c r="AS667" t="s" s="10">
        <v>2607</v>
      </c>
      <c r="AT667" t="s" s="10">
        <v>301</v>
      </c>
      <c r="AU667" s="11"/>
      <c r="AV667" s="11"/>
      <c r="AW667" s="11"/>
      <c r="AX667" s="11"/>
      <c r="AY667" s="11"/>
      <c r="AZ667" s="11"/>
      <c r="BA667" s="11"/>
      <c r="BB667" s="11"/>
      <c r="BC667" s="11"/>
      <c r="BD667" t="s" s="10">
        <v>310</v>
      </c>
      <c r="BE667" t="s" s="10">
        <v>356</v>
      </c>
      <c r="BF667" s="18">
        <v>4</v>
      </c>
      <c r="BG667" s="18">
        <v>8</v>
      </c>
      <c r="BH667" s="11"/>
      <c r="BI667" s="11"/>
      <c r="BJ667" s="11"/>
      <c r="BK667" s="11"/>
      <c r="BL667" s="11"/>
      <c r="BM667" s="11"/>
      <c r="BN667" t="s" s="10">
        <v>69</v>
      </c>
      <c r="BO667" s="12"/>
      <c r="BP667" s="8"/>
    </row>
    <row r="668" ht="9" customHeight="1" hidden="1">
      <c r="A668" t="s" s="13">
        <v>2608</v>
      </c>
      <c r="B668" s="14"/>
      <c r="C668" t="str" s="14" cm="1">
        <f t="array" ref="C668">_xlfn.IFERROR((VLOOKUP(A668,#REF!,2,FALSE)),"")</f>
      </c>
      <c r="D668" s="14"/>
      <c r="E668" s="14"/>
      <c r="F668" s="14"/>
      <c r="G668" t="s" s="15">
        <v>1845</v>
      </c>
      <c r="H668" t="s" s="15">
        <v>524</v>
      </c>
      <c r="I668" t="s" s="15">
        <v>111</v>
      </c>
      <c r="J668" t="s" s="15">
        <v>517</v>
      </c>
      <c r="K668" t="s" s="15">
        <v>113</v>
      </c>
      <c r="L668" t="s" s="15">
        <v>518</v>
      </c>
      <c r="M668" t="s" s="15">
        <v>1845</v>
      </c>
      <c r="N668" s="14"/>
      <c r="O668" s="14"/>
      <c r="P668" t="s" s="15">
        <v>517</v>
      </c>
      <c r="Q668" t="s" s="15">
        <v>69</v>
      </c>
      <c r="R668" t="s" s="15">
        <v>83</v>
      </c>
      <c r="S668" s="14"/>
      <c r="T668" t="s" s="15">
        <v>69</v>
      </c>
      <c r="U668" s="14"/>
      <c r="V668" t="s" s="15">
        <v>69</v>
      </c>
      <c r="W668" s="14"/>
      <c r="X668" t="s" s="15">
        <v>78</v>
      </c>
      <c r="Y668" s="14"/>
      <c r="Z668" t="s" s="15">
        <v>552</v>
      </c>
      <c r="AA668" s="14"/>
      <c r="AB668" t="s" s="15">
        <v>1551</v>
      </c>
      <c r="AC668" t="s" s="15">
        <v>2608</v>
      </c>
      <c r="AD668" t="s" s="15">
        <v>2609</v>
      </c>
      <c r="AE668" s="14"/>
      <c r="AF668" s="14"/>
      <c r="AG668" t="s" s="15">
        <v>299</v>
      </c>
      <c r="AH668" s="14"/>
      <c r="AI668" t="s" s="15">
        <v>76</v>
      </c>
      <c r="AJ668" t="s" s="15">
        <v>76</v>
      </c>
      <c r="AK668" t="s" s="15">
        <v>524</v>
      </c>
      <c r="AL668" t="s" s="15">
        <v>293</v>
      </c>
      <c r="AM668" t="s" s="15">
        <v>294</v>
      </c>
      <c r="AN668" t="s" s="15">
        <v>2610</v>
      </c>
      <c r="AO668" s="17">
        <v>4</v>
      </c>
      <c r="AP668" s="17">
        <v>8192</v>
      </c>
      <c r="AQ668" s="17">
        <v>315506</v>
      </c>
      <c r="AR668" s="17">
        <v>189885</v>
      </c>
      <c r="AS668" t="s" s="15">
        <v>2611</v>
      </c>
      <c r="AT668" t="s" s="15">
        <v>301</v>
      </c>
      <c r="AU668" s="14"/>
      <c r="AV668" s="14"/>
      <c r="AW668" s="14"/>
      <c r="AX668" s="14"/>
      <c r="AY668" s="14"/>
      <c r="AZ668" s="14"/>
      <c r="BA668" s="14"/>
      <c r="BB668" s="14"/>
      <c r="BC668" s="14"/>
      <c r="BD668" s="14"/>
      <c r="BE668" s="14"/>
      <c r="BF668" s="14"/>
      <c r="BG668" s="14"/>
      <c r="BH668" s="14"/>
      <c r="BI668" s="14"/>
      <c r="BJ668" s="14"/>
      <c r="BK668" s="14"/>
      <c r="BL668" s="14"/>
      <c r="BM668" s="14"/>
      <c r="BN668" t="s" s="15">
        <v>69</v>
      </c>
      <c r="BO668" s="16"/>
      <c r="BP668" s="8"/>
    </row>
    <row r="669" ht="15" customHeight="1" hidden="1">
      <c r="A669" t="s" s="9">
        <v>2612</v>
      </c>
      <c r="B669" s="11"/>
      <c r="C669" t="str" s="11" cm="1">
        <f t="array" ref="C669">_xlfn.IFERROR((VLOOKUP(A669,#REF!,2,FALSE)),"")</f>
      </c>
      <c r="D669" s="11"/>
      <c r="E669" s="11"/>
      <c r="F669" s="11"/>
      <c r="G669" t="s" s="10">
        <v>2613</v>
      </c>
      <c r="H669" t="s" s="10">
        <v>524</v>
      </c>
      <c r="I669" t="s" s="10">
        <v>111</v>
      </c>
      <c r="J669" t="s" s="10">
        <v>517</v>
      </c>
      <c r="K669" t="s" s="10">
        <v>113</v>
      </c>
      <c r="L669" t="s" s="10">
        <v>518</v>
      </c>
      <c r="M669" t="s" s="10">
        <v>2613</v>
      </c>
      <c r="N669" s="11"/>
      <c r="O669" s="11"/>
      <c r="P669" t="s" s="10">
        <v>517</v>
      </c>
      <c r="Q669" t="s" s="10">
        <v>69</v>
      </c>
      <c r="R669" t="s" s="10">
        <v>83</v>
      </c>
      <c r="S669" s="11"/>
      <c r="T669" t="s" s="10">
        <v>69</v>
      </c>
      <c r="U669" s="11"/>
      <c r="V669" t="s" s="10">
        <v>69</v>
      </c>
      <c r="W669" s="11"/>
      <c r="X669" t="s" s="10">
        <v>78</v>
      </c>
      <c r="Y669" s="11"/>
      <c r="Z669" t="s" s="10">
        <v>552</v>
      </c>
      <c r="AA669" s="11"/>
      <c r="AB669" t="s" s="10">
        <v>1551</v>
      </c>
      <c r="AC669" t="s" s="10">
        <v>2612</v>
      </c>
      <c r="AD669" t="s" s="10">
        <v>2614</v>
      </c>
      <c r="AE669" s="11"/>
      <c r="AF669" s="11"/>
      <c r="AG669" t="s" s="10">
        <v>299</v>
      </c>
      <c r="AH669" s="11"/>
      <c r="AI669" t="s" s="10">
        <v>76</v>
      </c>
      <c r="AJ669" t="s" s="10">
        <v>76</v>
      </c>
      <c r="AK669" t="s" s="10">
        <v>524</v>
      </c>
      <c r="AL669" t="s" s="10">
        <v>293</v>
      </c>
      <c r="AM669" t="s" s="10">
        <v>294</v>
      </c>
      <c r="AN669" t="s" s="10">
        <v>2610</v>
      </c>
      <c r="AO669" s="18">
        <v>4</v>
      </c>
      <c r="AP669" s="18">
        <v>8192</v>
      </c>
      <c r="AQ669" s="18">
        <v>315486</v>
      </c>
      <c r="AR669" s="18">
        <v>190375</v>
      </c>
      <c r="AS669" t="s" s="10">
        <v>2615</v>
      </c>
      <c r="AT669" t="s" s="10">
        <v>301</v>
      </c>
      <c r="AU669" s="11"/>
      <c r="AV669" s="11"/>
      <c r="AW669" s="11"/>
      <c r="AX669" s="11"/>
      <c r="AY669" s="11"/>
      <c r="AZ669" s="11"/>
      <c r="BA669" s="11"/>
      <c r="BB669" s="11"/>
      <c r="BC669" s="11"/>
      <c r="BD669" s="11"/>
      <c r="BE669" s="11"/>
      <c r="BF669" s="11"/>
      <c r="BG669" s="11"/>
      <c r="BH669" s="11"/>
      <c r="BI669" s="11"/>
      <c r="BJ669" s="11"/>
      <c r="BK669" s="11"/>
      <c r="BL669" s="11"/>
      <c r="BM669" s="11"/>
      <c r="BN669" t="s" s="10">
        <v>78</v>
      </c>
      <c r="BO669" s="12"/>
      <c r="BP669" s="8"/>
    </row>
    <row r="670" ht="9" customHeight="1" hidden="1">
      <c r="A670" t="s" s="13">
        <v>2616</v>
      </c>
      <c r="B670" s="14"/>
      <c r="C670" t="str" s="14" cm="1">
        <f t="array" ref="C670">_xlfn.IFERROR((VLOOKUP(A670,#REF!,2,FALSE)),"")</f>
      </c>
      <c r="D670" s="14"/>
      <c r="E670" s="14"/>
      <c r="F670" s="14"/>
      <c r="G670" t="s" s="15">
        <v>2617</v>
      </c>
      <c r="H670" t="s" s="15">
        <v>524</v>
      </c>
      <c r="I670" t="s" s="15">
        <v>111</v>
      </c>
      <c r="J670" t="s" s="15">
        <v>517</v>
      </c>
      <c r="K670" t="s" s="15">
        <v>113</v>
      </c>
      <c r="L670" t="s" s="15">
        <v>518</v>
      </c>
      <c r="M670" t="s" s="15">
        <v>2617</v>
      </c>
      <c r="N670" s="14"/>
      <c r="O670" s="14"/>
      <c r="P670" t="s" s="15">
        <v>517</v>
      </c>
      <c r="Q670" t="s" s="15">
        <v>69</v>
      </c>
      <c r="R670" t="s" s="15">
        <v>83</v>
      </c>
      <c r="S670" s="14"/>
      <c r="T670" t="s" s="15">
        <v>69</v>
      </c>
      <c r="U670" s="14"/>
      <c r="V670" t="s" s="15">
        <v>69</v>
      </c>
      <c r="W670" s="14"/>
      <c r="X670" t="s" s="15">
        <v>78</v>
      </c>
      <c r="Y670" s="14"/>
      <c r="Z670" t="s" s="15">
        <v>552</v>
      </c>
      <c r="AA670" s="14"/>
      <c r="AB670" t="s" s="15">
        <v>1551</v>
      </c>
      <c r="AC670" t="s" s="15">
        <v>2616</v>
      </c>
      <c r="AD670" t="s" s="15">
        <v>2618</v>
      </c>
      <c r="AE670" s="14"/>
      <c r="AF670" s="14"/>
      <c r="AG670" t="s" s="15">
        <v>299</v>
      </c>
      <c r="AH670" s="14"/>
      <c r="AI670" t="s" s="15">
        <v>76</v>
      </c>
      <c r="AJ670" t="s" s="15">
        <v>76</v>
      </c>
      <c r="AK670" t="s" s="15">
        <v>524</v>
      </c>
      <c r="AL670" t="s" s="15">
        <v>293</v>
      </c>
      <c r="AM670" t="s" s="15">
        <v>294</v>
      </c>
      <c r="AN670" t="s" s="15">
        <v>2610</v>
      </c>
      <c r="AO670" s="17">
        <v>4</v>
      </c>
      <c r="AP670" s="17">
        <v>8192</v>
      </c>
      <c r="AQ670" s="17">
        <v>315476</v>
      </c>
      <c r="AR670" s="17">
        <v>189731</v>
      </c>
      <c r="AS670" t="s" s="15">
        <v>2619</v>
      </c>
      <c r="AT670" t="s" s="15">
        <v>301</v>
      </c>
      <c r="AU670" s="14"/>
      <c r="AV670" s="14"/>
      <c r="AW670" s="14"/>
      <c r="AX670" s="14"/>
      <c r="AY670" s="14"/>
      <c r="AZ670" s="14"/>
      <c r="BA670" s="14"/>
      <c r="BB670" s="14"/>
      <c r="BC670" s="14"/>
      <c r="BD670" s="14"/>
      <c r="BE670" s="14"/>
      <c r="BF670" s="14"/>
      <c r="BG670" s="14"/>
      <c r="BH670" s="14"/>
      <c r="BI670" s="14"/>
      <c r="BJ670" s="14"/>
      <c r="BK670" s="14"/>
      <c r="BL670" s="14"/>
      <c r="BM670" s="14"/>
      <c r="BN670" t="s" s="15">
        <v>78</v>
      </c>
      <c r="BO670" s="16"/>
      <c r="BP670" s="8"/>
    </row>
    <row r="671" ht="13.55" customHeight="1">
      <c r="A671" t="s" s="9">
        <v>2620</v>
      </c>
      <c r="B671" s="11"/>
      <c r="C671" t="str" s="11" cm="1">
        <f t="array" ref="C671">_xlfn.IFERROR((VLOOKUP(A671,#REF!,2,FALSE)),"")</f>
      </c>
      <c r="D671" s="11"/>
      <c r="E671" s="11"/>
      <c r="F671" s="11"/>
      <c r="G671" t="s" s="10">
        <v>2621</v>
      </c>
      <c r="H671" t="s" s="10">
        <v>2622</v>
      </c>
      <c r="I671" t="s" s="10">
        <v>111</v>
      </c>
      <c r="J671" t="s" s="10">
        <v>122</v>
      </c>
      <c r="K671" t="s" s="10">
        <v>113</v>
      </c>
      <c r="L671" t="s" s="10">
        <v>518</v>
      </c>
      <c r="M671" t="s" s="10">
        <v>2621</v>
      </c>
      <c r="N671" s="11"/>
      <c r="O671" s="11"/>
      <c r="P671" t="s" s="10">
        <v>122</v>
      </c>
      <c r="Q671" t="s" s="10">
        <v>69</v>
      </c>
      <c r="R671" t="s" s="10">
        <v>83</v>
      </c>
      <c r="S671" s="11"/>
      <c r="T671" s="11"/>
      <c r="U671" s="11"/>
      <c r="V671" t="s" s="10">
        <v>69</v>
      </c>
      <c r="W671" s="11"/>
      <c r="X671" t="s" s="10">
        <v>78</v>
      </c>
      <c r="Y671" t="s" s="10">
        <v>69</v>
      </c>
      <c r="Z671" t="s" s="10">
        <v>1170</v>
      </c>
      <c r="AA671" s="11"/>
      <c r="AB671" t="s" s="10">
        <v>1171</v>
      </c>
      <c r="AC671" t="s" s="10">
        <v>2620</v>
      </c>
      <c r="AD671" t="s" s="10">
        <v>2623</v>
      </c>
      <c r="AE671" s="11"/>
      <c r="AF671" t="s" s="10">
        <v>2624</v>
      </c>
      <c r="AG671" t="s" s="10">
        <v>299</v>
      </c>
      <c r="AH671" t="s" s="10">
        <v>114</v>
      </c>
      <c r="AI671" t="s" s="10">
        <v>332</v>
      </c>
      <c r="AJ671" t="s" s="10">
        <v>523</v>
      </c>
      <c r="AK671" t="s" s="10">
        <v>83</v>
      </c>
      <c r="AL671" t="s" s="10">
        <v>293</v>
      </c>
      <c r="AM671" t="s" s="10">
        <v>294</v>
      </c>
      <c r="AN671" t="s" s="10">
        <v>128</v>
      </c>
      <c r="AO671" s="18">
        <v>4</v>
      </c>
      <c r="AP671" s="18">
        <v>16384</v>
      </c>
      <c r="AQ671" s="18">
        <v>323734</v>
      </c>
      <c r="AR671" s="18">
        <v>323734</v>
      </c>
      <c r="AS671" t="s" s="10">
        <v>2625</v>
      </c>
      <c r="AT671" t="s" s="10">
        <v>301</v>
      </c>
      <c r="AU671" s="11"/>
      <c r="AV671" s="11"/>
      <c r="AW671" s="11"/>
      <c r="AX671" s="11"/>
      <c r="AY671" s="11"/>
      <c r="AZ671" s="11"/>
      <c r="BA671" s="11"/>
      <c r="BB671" s="11"/>
      <c r="BC671" s="11"/>
      <c r="BD671" t="s" s="10">
        <v>366</v>
      </c>
      <c r="BE671" t="s" s="10">
        <v>394</v>
      </c>
      <c r="BF671" s="18">
        <v>4</v>
      </c>
      <c r="BG671" s="18">
        <v>16</v>
      </c>
      <c r="BH671" s="11"/>
      <c r="BI671" s="11"/>
      <c r="BJ671" s="11"/>
      <c r="BK671" s="11"/>
      <c r="BL671" s="11"/>
      <c r="BM671" s="11"/>
      <c r="BN671" t="s" s="10">
        <v>69</v>
      </c>
      <c r="BO671" s="12"/>
      <c r="BP671" s="8"/>
    </row>
    <row r="672" ht="15" customHeight="1">
      <c r="A672" t="s" s="13">
        <v>2626</v>
      </c>
      <c r="B672" s="14"/>
      <c r="C672" t="str" s="14" cm="1">
        <f t="array" ref="C672">_xlfn.IFERROR((VLOOKUP(A672,#REF!,2,FALSE)),"")</f>
      </c>
      <c r="D672" s="14"/>
      <c r="E672" s="14"/>
      <c r="F672" s="14"/>
      <c r="G672" t="s" s="15">
        <v>2627</v>
      </c>
      <c r="H672" t="s" s="15">
        <v>2622</v>
      </c>
      <c r="I672" t="s" s="15">
        <v>111</v>
      </c>
      <c r="J672" t="s" s="15">
        <v>122</v>
      </c>
      <c r="K672" t="s" s="15">
        <v>113</v>
      </c>
      <c r="L672" t="s" s="15">
        <v>518</v>
      </c>
      <c r="M672" t="s" s="15">
        <v>2627</v>
      </c>
      <c r="N672" s="14"/>
      <c r="O672" s="14"/>
      <c r="P672" t="s" s="15">
        <v>122</v>
      </c>
      <c r="Q672" t="s" s="15">
        <v>69</v>
      </c>
      <c r="R672" t="s" s="15">
        <v>83</v>
      </c>
      <c r="S672" s="14"/>
      <c r="T672" s="14"/>
      <c r="U672" s="14"/>
      <c r="V672" t="s" s="15">
        <v>69</v>
      </c>
      <c r="W672" s="14"/>
      <c r="X672" t="s" s="15">
        <v>78</v>
      </c>
      <c r="Y672" s="14"/>
      <c r="Z672" t="s" s="15">
        <v>1170</v>
      </c>
      <c r="AA672" s="14"/>
      <c r="AB672" t="s" s="15">
        <v>1171</v>
      </c>
      <c r="AC672" t="s" s="15">
        <v>2626</v>
      </c>
      <c r="AD672" t="s" s="15">
        <v>2628</v>
      </c>
      <c r="AE672" s="14"/>
      <c r="AF672" t="s" s="15">
        <v>2624</v>
      </c>
      <c r="AG672" t="s" s="15">
        <v>299</v>
      </c>
      <c r="AH672" t="s" s="15">
        <v>114</v>
      </c>
      <c r="AI672" t="s" s="15">
        <v>332</v>
      </c>
      <c r="AJ672" t="s" s="15">
        <v>523</v>
      </c>
      <c r="AK672" t="s" s="15">
        <v>83</v>
      </c>
      <c r="AL672" t="s" s="15">
        <v>293</v>
      </c>
      <c r="AM672" t="s" s="15">
        <v>294</v>
      </c>
      <c r="AN672" t="s" s="15">
        <v>128</v>
      </c>
      <c r="AO672" s="17">
        <v>4</v>
      </c>
      <c r="AP672" s="17">
        <v>16384</v>
      </c>
      <c r="AQ672" s="17">
        <v>323804</v>
      </c>
      <c r="AR672" s="17">
        <v>323804</v>
      </c>
      <c r="AS672" t="s" s="15">
        <v>2628</v>
      </c>
      <c r="AT672" t="s" s="15">
        <v>301</v>
      </c>
      <c r="AU672" s="14"/>
      <c r="AV672" s="14"/>
      <c r="AW672" s="14"/>
      <c r="AX672" s="14"/>
      <c r="AY672" s="14"/>
      <c r="AZ672" s="14"/>
      <c r="BA672" s="14"/>
      <c r="BB672" s="14"/>
      <c r="BC672" s="14"/>
      <c r="BD672" t="s" s="15">
        <v>366</v>
      </c>
      <c r="BE672" t="s" s="15">
        <v>394</v>
      </c>
      <c r="BF672" s="17">
        <v>4</v>
      </c>
      <c r="BG672" s="17">
        <v>16</v>
      </c>
      <c r="BH672" s="14"/>
      <c r="BI672" s="14"/>
      <c r="BJ672" s="14"/>
      <c r="BK672" s="14"/>
      <c r="BL672" s="14"/>
      <c r="BM672" s="14"/>
      <c r="BN672" t="s" s="15">
        <v>69</v>
      </c>
      <c r="BO672" s="16"/>
      <c r="BP672" s="8"/>
    </row>
    <row r="673" ht="9" customHeight="1" hidden="1">
      <c r="A673" t="s" s="9">
        <v>2629</v>
      </c>
      <c r="B673" s="11"/>
      <c r="C673" t="str" s="11" cm="1">
        <f t="array" ref="C673">_xlfn.IFERROR((VLOOKUP(A673,#REF!,2,FALSE)),"")</f>
      </c>
      <c r="D673" s="11"/>
      <c r="E673" t="s" s="10">
        <v>2630</v>
      </c>
      <c r="F673" s="11"/>
      <c r="G673" t="s" s="10">
        <v>2631</v>
      </c>
      <c r="H673" t="s" s="10">
        <v>2631</v>
      </c>
      <c r="I673" t="s" s="10">
        <v>73</v>
      </c>
      <c r="J673" t="s" s="10">
        <v>74</v>
      </c>
      <c r="K673" t="s" s="10">
        <v>113</v>
      </c>
      <c r="L673" t="s" s="10">
        <v>76</v>
      </c>
      <c r="M673" t="s" s="10">
        <v>2631</v>
      </c>
      <c r="N673" s="11"/>
      <c r="O673" t="s" s="10">
        <v>71</v>
      </c>
      <c r="P673" t="s" s="10">
        <v>112</v>
      </c>
      <c r="Q673" t="s" s="10">
        <v>69</v>
      </c>
      <c r="R673" t="s" s="10">
        <v>71</v>
      </c>
      <c r="S673" s="11"/>
      <c r="T673" s="11"/>
      <c r="U673" s="11"/>
      <c r="V673" t="s" s="10">
        <v>69</v>
      </c>
      <c r="W673" t="s" s="10">
        <v>2629</v>
      </c>
      <c r="X673" t="s" s="10">
        <v>78</v>
      </c>
      <c r="Y673" s="11"/>
      <c r="Z673" t="s" s="10">
        <v>76</v>
      </c>
      <c r="AA673" s="11"/>
      <c r="AB673" t="s" s="10">
        <v>76</v>
      </c>
      <c r="AC673" t="s" s="10">
        <v>2629</v>
      </c>
      <c r="AD673" t="s" s="10">
        <v>2632</v>
      </c>
      <c r="AE673" s="11"/>
      <c r="AF673" s="11"/>
      <c r="AG673" t="s" s="10">
        <v>299</v>
      </c>
      <c r="AH673" t="s" s="10">
        <v>106</v>
      </c>
      <c r="AI673" t="s" s="10">
        <v>76</v>
      </c>
      <c r="AJ673" t="s" s="10">
        <v>76</v>
      </c>
      <c r="AK673" t="s" s="10">
        <v>79</v>
      </c>
      <c r="AL673" t="s" s="10">
        <v>293</v>
      </c>
      <c r="AM673" t="s" s="10">
        <v>196</v>
      </c>
      <c r="AN673" t="s" s="10">
        <v>190</v>
      </c>
      <c r="AO673" s="18">
        <v>4</v>
      </c>
      <c r="AP673" s="18">
        <v>8192</v>
      </c>
      <c r="AQ673" s="18">
        <v>161923</v>
      </c>
      <c r="AR673" s="18">
        <v>49302</v>
      </c>
      <c r="AS673" t="s" s="10">
        <v>2633</v>
      </c>
      <c r="AT673" t="s" s="10">
        <v>301</v>
      </c>
      <c r="AU673" s="11"/>
      <c r="AV673" s="11"/>
      <c r="AW673" s="11"/>
      <c r="AX673" s="11"/>
      <c r="AY673" s="11"/>
      <c r="AZ673" s="11"/>
      <c r="BA673" s="11"/>
      <c r="BB673" s="11"/>
      <c r="BC673" s="11"/>
      <c r="BD673" s="11"/>
      <c r="BE673" s="11"/>
      <c r="BF673" s="11"/>
      <c r="BG673" s="11"/>
      <c r="BH673" s="11"/>
      <c r="BI673" s="11"/>
      <c r="BJ673" s="11"/>
      <c r="BK673" s="11"/>
      <c r="BL673" s="11"/>
      <c r="BM673" s="11"/>
      <c r="BN673" s="11"/>
      <c r="BO673" s="12"/>
      <c r="BP673" s="8"/>
    </row>
    <row r="674" ht="15" customHeight="1">
      <c r="A674" t="s" s="13">
        <v>2634</v>
      </c>
      <c r="B674" s="14"/>
      <c r="C674" t="str" s="14" cm="1">
        <f t="array" ref="C674">_xlfn.IFERROR((VLOOKUP(A674,#REF!,2,FALSE)),"")</f>
      </c>
      <c r="D674" s="14"/>
      <c r="E674" t="s" s="15">
        <v>2635</v>
      </c>
      <c r="F674" t="s" s="15">
        <v>2636</v>
      </c>
      <c r="G674" t="s" s="15">
        <v>2637</v>
      </c>
      <c r="H674" t="s" s="15">
        <v>550</v>
      </c>
      <c r="I674" t="s" s="15">
        <v>111</v>
      </c>
      <c r="J674" t="s" s="15">
        <v>122</v>
      </c>
      <c r="K674" t="s" s="15">
        <v>113</v>
      </c>
      <c r="L674" t="s" s="15">
        <v>518</v>
      </c>
      <c r="M674" t="s" s="15">
        <v>2637</v>
      </c>
      <c r="N674" s="14"/>
      <c r="O674" s="14"/>
      <c r="P674" t="s" s="15">
        <v>469</v>
      </c>
      <c r="Q674" t="s" s="15">
        <v>69</v>
      </c>
      <c r="R674" t="s" s="15">
        <v>83</v>
      </c>
      <c r="S674" s="14"/>
      <c r="T674" s="14"/>
      <c r="U674" s="14"/>
      <c r="V674" t="s" s="15">
        <v>69</v>
      </c>
      <c r="W674" s="14"/>
      <c r="X674" t="s" s="15">
        <v>78</v>
      </c>
      <c r="Y674" s="14"/>
      <c r="Z674" t="s" s="15">
        <v>552</v>
      </c>
      <c r="AA674" s="14"/>
      <c r="AB674" t="s" s="15">
        <v>553</v>
      </c>
      <c r="AC674" t="s" s="24">
        <v>2634</v>
      </c>
      <c r="AD674" t="s" s="15">
        <v>2638</v>
      </c>
      <c r="AE674" s="14"/>
      <c r="AF674" s="14"/>
      <c r="AG674" t="s" s="15">
        <v>299</v>
      </c>
      <c r="AH674" t="s" s="15">
        <v>114</v>
      </c>
      <c r="AI674" t="s" s="15">
        <v>440</v>
      </c>
      <c r="AJ674" s="14"/>
      <c r="AK674" t="s" s="15">
        <v>83</v>
      </c>
      <c r="AL674" t="s" s="15">
        <v>293</v>
      </c>
      <c r="AM674" t="s" s="15">
        <v>294</v>
      </c>
      <c r="AN674" t="s" s="15">
        <v>2639</v>
      </c>
      <c r="AO674" s="17">
        <v>4</v>
      </c>
      <c r="AP674" s="17">
        <v>8192</v>
      </c>
      <c r="AQ674" s="17">
        <v>161880</v>
      </c>
      <c r="AR674" s="17">
        <v>35205</v>
      </c>
      <c r="AS674" t="s" s="15">
        <v>2640</v>
      </c>
      <c r="AT674" t="s" s="15">
        <v>301</v>
      </c>
      <c r="AU674" s="14"/>
      <c r="AV674" s="14"/>
      <c r="AW674" s="14"/>
      <c r="AX674" s="14"/>
      <c r="AY674" s="14"/>
      <c r="AZ674" s="14"/>
      <c r="BA674" s="14"/>
      <c r="BB674" s="14"/>
      <c r="BC674" s="14"/>
      <c r="BD674" t="s" s="15">
        <v>310</v>
      </c>
      <c r="BE674" t="s" s="15">
        <v>356</v>
      </c>
      <c r="BF674" s="17">
        <v>4</v>
      </c>
      <c r="BG674" s="17">
        <v>8</v>
      </c>
      <c r="BH674" s="14"/>
      <c r="BI674" s="14"/>
      <c r="BJ674" s="14"/>
      <c r="BK674" s="14"/>
      <c r="BL674" s="14"/>
      <c r="BM674" s="14"/>
      <c r="BN674" t="s" s="15">
        <v>69</v>
      </c>
      <c r="BO674" s="16"/>
      <c r="BP674" s="8"/>
    </row>
    <row r="675" ht="15" customHeight="1">
      <c r="A675" t="s" s="9">
        <v>2641</v>
      </c>
      <c r="B675" s="11"/>
      <c r="C675" t="str" s="11" cm="1">
        <f t="array" ref="C675">_xlfn.IFERROR((VLOOKUP(A675,#REF!,2,FALSE)),"")</f>
      </c>
      <c r="D675" s="11"/>
      <c r="E675" t="s" s="10">
        <v>2642</v>
      </c>
      <c r="F675" t="s" s="10">
        <v>83</v>
      </c>
      <c r="G675" t="s" s="10">
        <v>2643</v>
      </c>
      <c r="H675" t="s" s="10">
        <v>550</v>
      </c>
      <c r="I675" t="s" s="10">
        <v>111</v>
      </c>
      <c r="J675" t="s" s="10">
        <v>122</v>
      </c>
      <c r="K675" t="s" s="10">
        <v>113</v>
      </c>
      <c r="L675" t="s" s="10">
        <v>518</v>
      </c>
      <c r="M675" t="s" s="10">
        <v>2643</v>
      </c>
      <c r="N675" s="11"/>
      <c r="O675" s="11"/>
      <c r="P675" t="s" s="10">
        <v>469</v>
      </c>
      <c r="Q675" t="s" s="10">
        <v>69</v>
      </c>
      <c r="R675" t="s" s="10">
        <v>83</v>
      </c>
      <c r="S675" s="11"/>
      <c r="T675" s="11"/>
      <c r="U675" s="11"/>
      <c r="V675" t="s" s="10">
        <v>69</v>
      </c>
      <c r="W675" s="11"/>
      <c r="X675" t="s" s="10">
        <v>78</v>
      </c>
      <c r="Y675" s="11"/>
      <c r="Z675" t="s" s="10">
        <v>552</v>
      </c>
      <c r="AA675" s="11"/>
      <c r="AB675" t="s" s="10">
        <v>553</v>
      </c>
      <c r="AC675" t="s" s="25">
        <v>2641</v>
      </c>
      <c r="AD675" t="s" s="10">
        <v>2644</v>
      </c>
      <c r="AE675" s="11"/>
      <c r="AF675" s="11"/>
      <c r="AG675" t="s" s="10">
        <v>299</v>
      </c>
      <c r="AH675" t="s" s="10">
        <v>114</v>
      </c>
      <c r="AI675" t="s" s="10">
        <v>440</v>
      </c>
      <c r="AJ675" t="s" s="10">
        <v>83</v>
      </c>
      <c r="AK675" t="s" s="10">
        <v>1195</v>
      </c>
      <c r="AL675" t="s" s="10">
        <v>293</v>
      </c>
      <c r="AM675" t="s" s="10">
        <v>294</v>
      </c>
      <c r="AN675" t="s" s="10">
        <v>2610</v>
      </c>
      <c r="AO675" s="18">
        <v>4</v>
      </c>
      <c r="AP675" s="18">
        <v>8192</v>
      </c>
      <c r="AQ675" s="18">
        <v>161879</v>
      </c>
      <c r="AR675" s="18">
        <v>34337</v>
      </c>
      <c r="AS675" t="s" s="10">
        <v>2645</v>
      </c>
      <c r="AT675" t="s" s="10">
        <v>301</v>
      </c>
      <c r="AU675" s="11"/>
      <c r="AV675" s="11"/>
      <c r="AW675" t="s" s="10">
        <v>83</v>
      </c>
      <c r="AX675" t="s" s="10">
        <v>83</v>
      </c>
      <c r="AY675" t="s" s="10">
        <v>309</v>
      </c>
      <c r="AZ675" t="s" s="10">
        <v>83</v>
      </c>
      <c r="BA675" t="s" s="10">
        <v>76</v>
      </c>
      <c r="BB675" t="s" s="10">
        <v>76</v>
      </c>
      <c r="BC675" t="s" s="10">
        <v>76</v>
      </c>
      <c r="BD675" t="s" s="10">
        <v>310</v>
      </c>
      <c r="BE675" t="s" s="10">
        <v>356</v>
      </c>
      <c r="BF675" s="18">
        <v>4</v>
      </c>
      <c r="BG675" s="18">
        <v>8</v>
      </c>
      <c r="BH675" t="s" s="10">
        <v>83</v>
      </c>
      <c r="BI675" t="s" s="10">
        <v>83</v>
      </c>
      <c r="BJ675" t="s" s="10">
        <v>83</v>
      </c>
      <c r="BK675" t="s" s="10">
        <v>83</v>
      </c>
      <c r="BL675" t="s" s="10">
        <v>83</v>
      </c>
      <c r="BM675" t="s" s="10">
        <v>312</v>
      </c>
      <c r="BN675" t="s" s="10">
        <v>69</v>
      </c>
      <c r="BO675" t="s" s="19">
        <v>76</v>
      </c>
      <c r="BP675" s="8"/>
    </row>
    <row r="676" ht="15" customHeight="1">
      <c r="A676" t="s" s="13">
        <v>2646</v>
      </c>
      <c r="B676" s="14"/>
      <c r="C676" t="str" s="14" cm="1">
        <f t="array" ref="C676">_xlfn.IFERROR((VLOOKUP(A676,#REF!,2,FALSE)),"")</f>
      </c>
      <c r="D676" s="14"/>
      <c r="E676" t="s" s="15">
        <v>2647</v>
      </c>
      <c r="F676" t="s" s="15">
        <v>83</v>
      </c>
      <c r="G676" t="s" s="15">
        <v>2648</v>
      </c>
      <c r="H676" t="s" s="15">
        <v>550</v>
      </c>
      <c r="I676" t="s" s="15">
        <v>111</v>
      </c>
      <c r="J676" t="s" s="15">
        <v>122</v>
      </c>
      <c r="K676" t="s" s="15">
        <v>113</v>
      </c>
      <c r="L676" t="s" s="15">
        <v>518</v>
      </c>
      <c r="M676" t="s" s="15">
        <v>2648</v>
      </c>
      <c r="N676" s="14"/>
      <c r="O676" s="14"/>
      <c r="P676" t="s" s="15">
        <v>469</v>
      </c>
      <c r="Q676" t="s" s="15">
        <v>69</v>
      </c>
      <c r="R676" t="s" s="15">
        <v>83</v>
      </c>
      <c r="S676" s="14"/>
      <c r="T676" s="14"/>
      <c r="U676" s="14"/>
      <c r="V676" t="s" s="15">
        <v>69</v>
      </c>
      <c r="W676" s="14"/>
      <c r="X676" t="s" s="15">
        <v>78</v>
      </c>
      <c r="Y676" s="14"/>
      <c r="Z676" t="s" s="15">
        <v>552</v>
      </c>
      <c r="AA676" s="14"/>
      <c r="AB676" t="s" s="15">
        <v>553</v>
      </c>
      <c r="AC676" t="s" s="24">
        <v>2646</v>
      </c>
      <c r="AD676" t="s" s="15">
        <v>2649</v>
      </c>
      <c r="AE676" s="14"/>
      <c r="AF676" s="14"/>
      <c r="AG676" t="s" s="15">
        <v>299</v>
      </c>
      <c r="AH676" t="s" s="15">
        <v>114</v>
      </c>
      <c r="AI676" t="s" s="15">
        <v>440</v>
      </c>
      <c r="AJ676" t="s" s="15">
        <v>83</v>
      </c>
      <c r="AK676" t="s" s="15">
        <v>1195</v>
      </c>
      <c r="AL676" t="s" s="15">
        <v>293</v>
      </c>
      <c r="AM676" t="s" s="15">
        <v>294</v>
      </c>
      <c r="AN676" t="s" s="15">
        <v>2610</v>
      </c>
      <c r="AO676" s="17">
        <v>4</v>
      </c>
      <c r="AP676" s="17">
        <v>8192</v>
      </c>
      <c r="AQ676" s="17">
        <v>161881</v>
      </c>
      <c r="AR676" s="17">
        <v>33856</v>
      </c>
      <c r="AS676" t="s" s="15">
        <v>2650</v>
      </c>
      <c r="AT676" t="s" s="15">
        <v>301</v>
      </c>
      <c r="AU676" s="14"/>
      <c r="AV676" s="14"/>
      <c r="AW676" t="s" s="15">
        <v>83</v>
      </c>
      <c r="AX676" t="s" s="15">
        <v>83</v>
      </c>
      <c r="AY676" t="s" s="15">
        <v>309</v>
      </c>
      <c r="AZ676" t="s" s="15">
        <v>83</v>
      </c>
      <c r="BA676" t="s" s="15">
        <v>76</v>
      </c>
      <c r="BB676" t="s" s="15">
        <v>76</v>
      </c>
      <c r="BC676" t="s" s="15">
        <v>76</v>
      </c>
      <c r="BD676" t="s" s="15">
        <v>310</v>
      </c>
      <c r="BE676" t="s" s="15">
        <v>356</v>
      </c>
      <c r="BF676" s="17">
        <v>4</v>
      </c>
      <c r="BG676" s="17">
        <v>8</v>
      </c>
      <c r="BH676" t="s" s="15">
        <v>83</v>
      </c>
      <c r="BI676" t="s" s="15">
        <v>83</v>
      </c>
      <c r="BJ676" t="s" s="15">
        <v>83</v>
      </c>
      <c r="BK676" t="s" s="15">
        <v>83</v>
      </c>
      <c r="BL676" t="s" s="15">
        <v>83</v>
      </c>
      <c r="BM676" t="s" s="15">
        <v>312</v>
      </c>
      <c r="BN676" t="s" s="15">
        <v>69</v>
      </c>
      <c r="BO676" t="s" s="21">
        <v>76</v>
      </c>
      <c r="BP676" s="8"/>
    </row>
    <row r="677" ht="13.55" customHeight="1">
      <c r="A677" t="s" s="9">
        <v>2651</v>
      </c>
      <c r="B677" s="11"/>
      <c r="C677" t="str" s="11" cm="1">
        <f t="array" ref="C677">_xlfn.IFERROR((VLOOKUP(A677,#REF!,2,FALSE)),"")</f>
      </c>
      <c r="D677" s="11"/>
      <c r="E677" s="11"/>
      <c r="F677" s="11"/>
      <c r="G677" t="s" s="10">
        <v>2652</v>
      </c>
      <c r="H677" t="s" s="10">
        <v>2653</v>
      </c>
      <c r="I677" t="s" s="10">
        <v>111</v>
      </c>
      <c r="J677" t="s" s="10">
        <v>122</v>
      </c>
      <c r="K677" t="s" s="10">
        <v>113</v>
      </c>
      <c r="L677" t="s" s="10">
        <v>518</v>
      </c>
      <c r="M677" t="s" s="10">
        <v>77</v>
      </c>
      <c r="N677" s="11"/>
      <c r="O677" s="11"/>
      <c r="P677" s="11"/>
      <c r="Q677" t="s" s="10">
        <v>69</v>
      </c>
      <c r="R677" t="s" s="10">
        <v>83</v>
      </c>
      <c r="S677" s="11"/>
      <c r="T677" s="11"/>
      <c r="U677" s="11"/>
      <c r="V677" t="s" s="10">
        <v>69</v>
      </c>
      <c r="W677" s="11"/>
      <c r="X677" t="s" s="10">
        <v>78</v>
      </c>
      <c r="Y677" s="11"/>
      <c r="Z677" t="s" s="10">
        <v>552</v>
      </c>
      <c r="AA677" s="11"/>
      <c r="AB677" t="s" s="10">
        <v>553</v>
      </c>
      <c r="AC677" t="s" s="10">
        <v>2651</v>
      </c>
      <c r="AD677" t="s" s="10">
        <v>2654</v>
      </c>
      <c r="AE677" s="11"/>
      <c r="AF677" s="11"/>
      <c r="AG677" t="s" s="10">
        <v>299</v>
      </c>
      <c r="AH677" t="s" s="10">
        <v>114</v>
      </c>
      <c r="AI677" t="s" s="10">
        <v>440</v>
      </c>
      <c r="AJ677" s="11"/>
      <c r="AK677" t="s" s="10">
        <v>83</v>
      </c>
      <c r="AL677" t="s" s="10">
        <v>293</v>
      </c>
      <c r="AM677" t="s" s="10">
        <v>294</v>
      </c>
      <c r="AN677" t="s" s="10">
        <v>2610</v>
      </c>
      <c r="AO677" s="18">
        <v>4</v>
      </c>
      <c r="AP677" s="18">
        <v>8192</v>
      </c>
      <c r="AQ677" s="18">
        <v>161879</v>
      </c>
      <c r="AR677" s="18">
        <v>39574</v>
      </c>
      <c r="AS677" t="s" s="10">
        <v>2655</v>
      </c>
      <c r="AT677" t="s" s="10">
        <v>301</v>
      </c>
      <c r="AU677" s="11"/>
      <c r="AV677" s="11"/>
      <c r="AW677" s="11"/>
      <c r="AX677" s="11"/>
      <c r="AY677" s="11"/>
      <c r="AZ677" s="11"/>
      <c r="BA677" s="11"/>
      <c r="BB677" s="11"/>
      <c r="BC677" s="11"/>
      <c r="BD677" t="s" s="10">
        <v>310</v>
      </c>
      <c r="BE677" t="s" s="10">
        <v>356</v>
      </c>
      <c r="BF677" s="18">
        <v>4</v>
      </c>
      <c r="BG677" s="18">
        <v>8</v>
      </c>
      <c r="BH677" s="11"/>
      <c r="BI677" s="11"/>
      <c r="BJ677" s="11"/>
      <c r="BK677" s="11"/>
      <c r="BL677" s="11"/>
      <c r="BM677" s="11"/>
      <c r="BN677" t="s" s="10">
        <v>69</v>
      </c>
      <c r="BO677" s="12"/>
      <c r="BP677" s="8"/>
    </row>
    <row r="678" ht="13.55" customHeight="1">
      <c r="A678" t="s" s="13">
        <v>2656</v>
      </c>
      <c r="B678" s="14"/>
      <c r="C678" t="str" s="14" cm="1">
        <f t="array" ref="C678">_xlfn.IFERROR((VLOOKUP(A678,#REF!,2,FALSE)),"")</f>
      </c>
      <c r="D678" s="14"/>
      <c r="E678" s="14"/>
      <c r="F678" s="14"/>
      <c r="G678" t="s" s="15">
        <v>2657</v>
      </c>
      <c r="H678" t="s" s="15">
        <v>550</v>
      </c>
      <c r="I678" t="s" s="15">
        <v>111</v>
      </c>
      <c r="J678" t="s" s="15">
        <v>122</v>
      </c>
      <c r="K678" t="s" s="15">
        <v>113</v>
      </c>
      <c r="L678" t="s" s="15">
        <v>518</v>
      </c>
      <c r="M678" t="s" s="15">
        <v>2657</v>
      </c>
      <c r="N678" s="14"/>
      <c r="O678" s="14"/>
      <c r="P678" t="s" s="15">
        <v>322</v>
      </c>
      <c r="Q678" t="s" s="15">
        <v>69</v>
      </c>
      <c r="R678" t="s" s="15">
        <v>83</v>
      </c>
      <c r="S678" s="14"/>
      <c r="T678" s="14"/>
      <c r="U678" s="14"/>
      <c r="V678" t="s" s="15">
        <v>69</v>
      </c>
      <c r="W678" s="14"/>
      <c r="X678" t="s" s="15">
        <v>78</v>
      </c>
      <c r="Y678" s="14"/>
      <c r="Z678" t="s" s="15">
        <v>552</v>
      </c>
      <c r="AA678" s="14"/>
      <c r="AB678" t="s" s="15">
        <v>553</v>
      </c>
      <c r="AC678" t="s" s="15">
        <v>2656</v>
      </c>
      <c r="AD678" t="s" s="15">
        <v>2658</v>
      </c>
      <c r="AE678" s="14"/>
      <c r="AF678" s="14"/>
      <c r="AG678" t="s" s="15">
        <v>299</v>
      </c>
      <c r="AH678" t="s" s="15">
        <v>114</v>
      </c>
      <c r="AI678" t="s" s="15">
        <v>440</v>
      </c>
      <c r="AJ678" s="14"/>
      <c r="AK678" t="s" s="15">
        <v>83</v>
      </c>
      <c r="AL678" t="s" s="15">
        <v>293</v>
      </c>
      <c r="AM678" t="s" s="15">
        <v>294</v>
      </c>
      <c r="AN678" t="s" s="15">
        <v>2610</v>
      </c>
      <c r="AO678" s="17">
        <v>4</v>
      </c>
      <c r="AP678" s="17">
        <v>8192</v>
      </c>
      <c r="AQ678" s="17">
        <v>161879</v>
      </c>
      <c r="AR678" s="17">
        <v>37980</v>
      </c>
      <c r="AS678" t="s" s="15">
        <v>2659</v>
      </c>
      <c r="AT678" t="s" s="15">
        <v>301</v>
      </c>
      <c r="AU678" s="14"/>
      <c r="AV678" s="14"/>
      <c r="AW678" s="14"/>
      <c r="AX678" s="14"/>
      <c r="AY678" s="14"/>
      <c r="AZ678" s="14"/>
      <c r="BA678" s="14"/>
      <c r="BB678" s="14"/>
      <c r="BC678" s="14"/>
      <c r="BD678" t="s" s="15">
        <v>310</v>
      </c>
      <c r="BE678" t="s" s="15">
        <v>356</v>
      </c>
      <c r="BF678" s="17">
        <v>4</v>
      </c>
      <c r="BG678" s="17">
        <v>8</v>
      </c>
      <c r="BH678" s="14"/>
      <c r="BI678" s="14"/>
      <c r="BJ678" s="14"/>
      <c r="BK678" s="14"/>
      <c r="BL678" s="14"/>
      <c r="BM678" s="14"/>
      <c r="BN678" t="s" s="15">
        <v>69</v>
      </c>
      <c r="BO678" s="16"/>
      <c r="BP678" s="8"/>
    </row>
    <row r="679" ht="13.55" customHeight="1">
      <c r="A679" t="s" s="9">
        <v>2660</v>
      </c>
      <c r="B679" s="11"/>
      <c r="C679" t="str" s="11" cm="1">
        <f t="array" ref="C679">_xlfn.IFERROR((VLOOKUP(A679,#REF!,2,FALSE)),"")</f>
      </c>
      <c r="D679" s="11"/>
      <c r="E679" s="11"/>
      <c r="F679" s="11"/>
      <c r="G679" t="s" s="10">
        <v>2661</v>
      </c>
      <c r="H679" t="s" s="10">
        <v>2662</v>
      </c>
      <c r="I679" t="s" s="10">
        <v>111</v>
      </c>
      <c r="J679" t="s" s="10">
        <v>122</v>
      </c>
      <c r="K679" t="s" s="10">
        <v>113</v>
      </c>
      <c r="L679" t="s" s="10">
        <v>2545</v>
      </c>
      <c r="M679" t="s" s="10">
        <v>2661</v>
      </c>
      <c r="N679" s="11"/>
      <c r="O679" s="11"/>
      <c r="P679" t="s" s="10">
        <v>122</v>
      </c>
      <c r="Q679" t="s" s="10">
        <v>69</v>
      </c>
      <c r="R679" t="s" s="10">
        <v>83</v>
      </c>
      <c r="S679" s="11"/>
      <c r="T679" s="11"/>
      <c r="U679" s="11"/>
      <c r="V679" t="s" s="10">
        <v>78</v>
      </c>
      <c r="W679" s="11"/>
      <c r="X679" t="s" s="10">
        <v>78</v>
      </c>
      <c r="Y679" s="11"/>
      <c r="Z679" t="s" s="10">
        <v>205</v>
      </c>
      <c r="AA679" s="11"/>
      <c r="AB679" t="s" s="10">
        <v>206</v>
      </c>
      <c r="AC679" t="s" s="10">
        <v>2660</v>
      </c>
      <c r="AD679" t="s" s="10">
        <v>2663</v>
      </c>
      <c r="AE679" s="11"/>
      <c r="AF679" t="s" s="10">
        <v>76</v>
      </c>
      <c r="AG679" t="s" s="10">
        <v>299</v>
      </c>
      <c r="AH679" t="s" s="10">
        <v>114</v>
      </c>
      <c r="AI679" t="s" s="10">
        <v>332</v>
      </c>
      <c r="AJ679" t="s" s="10">
        <v>798</v>
      </c>
      <c r="AK679" t="s" s="10">
        <v>292</v>
      </c>
      <c r="AL679" t="s" s="10">
        <v>293</v>
      </c>
      <c r="AM679" t="s" s="10">
        <v>294</v>
      </c>
      <c r="AN679" s="11"/>
      <c r="AO679" s="18">
        <v>4</v>
      </c>
      <c r="AP679" s="18">
        <v>8192</v>
      </c>
      <c r="AQ679" s="18">
        <v>161896</v>
      </c>
      <c r="AR679" s="18">
        <v>40179</v>
      </c>
      <c r="AS679" t="s" s="10">
        <v>2664</v>
      </c>
      <c r="AT679" t="s" s="10">
        <v>301</v>
      </c>
      <c r="AU679" s="11"/>
      <c r="AV679" s="11"/>
      <c r="AW679" s="11"/>
      <c r="AX679" s="11"/>
      <c r="AY679" s="11"/>
      <c r="AZ679" s="11"/>
      <c r="BA679" s="11"/>
      <c r="BB679" s="11"/>
      <c r="BC679" s="11"/>
      <c r="BD679" t="s" s="10">
        <v>310</v>
      </c>
      <c r="BE679" t="s" s="10">
        <v>356</v>
      </c>
      <c r="BF679" s="18">
        <v>4</v>
      </c>
      <c r="BG679" s="18">
        <v>8</v>
      </c>
      <c r="BH679" s="11"/>
      <c r="BI679" s="11"/>
      <c r="BJ679" s="11"/>
      <c r="BK679" s="11"/>
      <c r="BL679" s="11"/>
      <c r="BM679" s="11"/>
      <c r="BN679" t="s" s="10">
        <v>69</v>
      </c>
      <c r="BO679" s="12"/>
      <c r="BP679" s="8"/>
    </row>
    <row r="680" ht="15" customHeight="1">
      <c r="A680" t="s" s="13">
        <v>2665</v>
      </c>
      <c r="B680" s="14"/>
      <c r="C680" t="str" s="14" cm="1">
        <f t="array" ref="C680">_xlfn.IFERROR((VLOOKUP(A680,#REF!,2,FALSE)),"")</f>
      </c>
      <c r="D680" t="s" s="15">
        <v>70</v>
      </c>
      <c r="E680" t="s" s="15">
        <v>1181</v>
      </c>
      <c r="F680" s="14"/>
      <c r="G680" t="s" s="15">
        <v>2666</v>
      </c>
      <c r="H680" t="s" s="15">
        <v>2667</v>
      </c>
      <c r="I680" t="s" s="15">
        <v>111</v>
      </c>
      <c r="J680" t="s" s="15">
        <v>122</v>
      </c>
      <c r="K680" t="s" s="15">
        <v>113</v>
      </c>
      <c r="L680" t="s" s="15">
        <v>2545</v>
      </c>
      <c r="M680" t="s" s="15">
        <v>2668</v>
      </c>
      <c r="N680" t="s" s="15">
        <v>2666</v>
      </c>
      <c r="O680" s="14"/>
      <c r="P680" t="s" s="15">
        <v>469</v>
      </c>
      <c r="Q680" t="s" s="15">
        <v>78</v>
      </c>
      <c r="R680" t="s" s="15">
        <v>83</v>
      </c>
      <c r="S680" s="14"/>
      <c r="T680" s="14"/>
      <c r="U680" s="14"/>
      <c r="V680" t="s" s="15">
        <v>78</v>
      </c>
      <c r="W680" s="14"/>
      <c r="X680" t="s" s="15">
        <v>78</v>
      </c>
      <c r="Y680" s="14"/>
      <c r="Z680" t="s" s="15">
        <v>205</v>
      </c>
      <c r="AA680" s="14"/>
      <c r="AB680" t="s" s="15">
        <v>206</v>
      </c>
      <c r="AC680" s="14"/>
      <c r="AD680" s="14"/>
      <c r="AE680" s="14"/>
      <c r="AF680" t="s" s="15">
        <v>76</v>
      </c>
      <c r="AG680" t="s" s="15">
        <v>299</v>
      </c>
      <c r="AH680" t="s" s="15">
        <v>114</v>
      </c>
      <c r="AI680" t="s" s="15">
        <v>332</v>
      </c>
      <c r="AJ680" t="s" s="15">
        <v>798</v>
      </c>
      <c r="AK680" t="s" s="15">
        <v>83</v>
      </c>
      <c r="AL680" t="s" s="15">
        <v>293</v>
      </c>
      <c r="AM680" t="s" s="15">
        <v>294</v>
      </c>
      <c r="AN680" s="14"/>
      <c r="AO680" s="17">
        <v>8</v>
      </c>
      <c r="AP680" s="17">
        <v>12288</v>
      </c>
      <c r="AQ680" s="17">
        <v>114836</v>
      </c>
      <c r="AR680" s="17">
        <v>34399</v>
      </c>
      <c r="AS680" t="s" s="15">
        <v>2669</v>
      </c>
      <c r="AT680" t="s" s="15">
        <v>301</v>
      </c>
      <c r="AU680" s="14"/>
      <c r="AV680" s="14"/>
      <c r="AW680" s="14"/>
      <c r="AX680" s="14"/>
      <c r="AY680" s="14"/>
      <c r="AZ680" s="14"/>
      <c r="BA680" s="14"/>
      <c r="BB680" s="14"/>
      <c r="BC680" s="14"/>
      <c r="BD680" t="s" s="15">
        <v>310</v>
      </c>
      <c r="BE680" t="s" s="15">
        <v>311</v>
      </c>
      <c r="BF680" s="17">
        <v>8</v>
      </c>
      <c r="BG680" s="17">
        <v>16</v>
      </c>
      <c r="BH680" s="14"/>
      <c r="BI680" s="14"/>
      <c r="BJ680" s="14"/>
      <c r="BK680" s="14"/>
      <c r="BL680" s="14"/>
      <c r="BM680" s="14"/>
      <c r="BN680" t="s" s="15">
        <v>69</v>
      </c>
      <c r="BO680" s="16"/>
      <c r="BP680" s="8"/>
    </row>
    <row r="681" ht="15" customHeight="1">
      <c r="A681" t="s" s="9">
        <v>2670</v>
      </c>
      <c r="B681" s="11"/>
      <c r="C681" t="str" s="11" cm="1">
        <f t="array" ref="C681">_xlfn.IFERROR((VLOOKUP(A681,#REF!,2,FALSE)),"")</f>
      </c>
      <c r="D681" s="11"/>
      <c r="E681" s="11"/>
      <c r="F681" s="11"/>
      <c r="G681" t="s" s="10">
        <v>2671</v>
      </c>
      <c r="H681" t="s" s="10">
        <v>1183</v>
      </c>
      <c r="I681" t="s" s="10">
        <v>111</v>
      </c>
      <c r="J681" t="s" s="10">
        <v>122</v>
      </c>
      <c r="K681" t="s" s="10">
        <v>113</v>
      </c>
      <c r="L681" t="s" s="10">
        <v>518</v>
      </c>
      <c r="M681" t="s" s="10">
        <v>2671</v>
      </c>
      <c r="N681" s="11"/>
      <c r="O681" s="11"/>
      <c r="P681" t="s" s="10">
        <v>122</v>
      </c>
      <c r="Q681" t="s" s="10">
        <v>78</v>
      </c>
      <c r="R681" t="s" s="10">
        <v>83</v>
      </c>
      <c r="S681" s="11"/>
      <c r="T681" s="11"/>
      <c r="U681" s="11"/>
      <c r="V681" t="s" s="10">
        <v>78</v>
      </c>
      <c r="W681" s="11"/>
      <c r="X681" t="s" s="10">
        <v>78</v>
      </c>
      <c r="Y681" s="11"/>
      <c r="Z681" t="s" s="10">
        <v>205</v>
      </c>
      <c r="AA681" s="11"/>
      <c r="AB681" t="s" s="10">
        <v>1184</v>
      </c>
      <c r="AC681" s="11"/>
      <c r="AD681" s="11"/>
      <c r="AE681" s="11"/>
      <c r="AF681" s="11"/>
      <c r="AG681" t="s" s="10">
        <v>299</v>
      </c>
      <c r="AH681" t="s" s="10">
        <v>114</v>
      </c>
      <c r="AI681" t="s" s="10">
        <v>440</v>
      </c>
      <c r="AJ681" s="11"/>
      <c r="AK681" t="s" s="10">
        <v>83</v>
      </c>
      <c r="AL681" t="s" s="10">
        <v>293</v>
      </c>
      <c r="AM681" t="s" s="10">
        <v>294</v>
      </c>
      <c r="AN681" s="11"/>
      <c r="AO681" s="18">
        <v>4</v>
      </c>
      <c r="AP681" s="18">
        <v>16384</v>
      </c>
      <c r="AQ681" s="18">
        <v>1760411</v>
      </c>
      <c r="AR681" s="18">
        <v>852644</v>
      </c>
      <c r="AS681" t="s" s="10">
        <v>2672</v>
      </c>
      <c r="AT681" t="s" s="10">
        <v>301</v>
      </c>
      <c r="AU681" s="11"/>
      <c r="AV681" s="11"/>
      <c r="AW681" s="11"/>
      <c r="AX681" s="11"/>
      <c r="AY681" s="11"/>
      <c r="AZ681" s="11"/>
      <c r="BA681" s="11"/>
      <c r="BB681" s="11"/>
      <c r="BC681" s="11"/>
      <c r="BD681" t="s" s="10">
        <v>366</v>
      </c>
      <c r="BE681" t="s" s="10">
        <v>394</v>
      </c>
      <c r="BF681" s="18">
        <v>4</v>
      </c>
      <c r="BG681" s="18">
        <v>16</v>
      </c>
      <c r="BH681" s="11"/>
      <c r="BI681" s="11"/>
      <c r="BJ681" s="11"/>
      <c r="BK681" s="11"/>
      <c r="BL681" s="11"/>
      <c r="BM681" s="11"/>
      <c r="BN681" t="s" s="10">
        <v>69</v>
      </c>
      <c r="BO681" s="12"/>
      <c r="BP681" s="8"/>
    </row>
    <row r="682" ht="15" customHeight="1">
      <c r="A682" t="s" s="13">
        <v>2673</v>
      </c>
      <c r="B682" s="14"/>
      <c r="C682" t="str" s="14" cm="1">
        <f t="array" ref="C682">_xlfn.IFERROR((VLOOKUP(A682,#REF!,2,FALSE)),"")</f>
      </c>
      <c r="D682" t="s" s="15">
        <v>70</v>
      </c>
      <c r="E682" t="s" s="15">
        <v>1181</v>
      </c>
      <c r="F682" s="14"/>
      <c r="G682" t="s" s="15">
        <v>2674</v>
      </c>
      <c r="H682" t="s" s="15">
        <v>1183</v>
      </c>
      <c r="I682" t="s" s="15">
        <v>111</v>
      </c>
      <c r="J682" t="s" s="15">
        <v>122</v>
      </c>
      <c r="K682" t="s" s="15">
        <v>113</v>
      </c>
      <c r="L682" t="s" s="15">
        <v>518</v>
      </c>
      <c r="M682" t="s" s="15">
        <v>2675</v>
      </c>
      <c r="N682" t="s" s="15">
        <v>2674</v>
      </c>
      <c r="O682" s="14"/>
      <c r="P682" t="s" s="15">
        <v>122</v>
      </c>
      <c r="Q682" t="s" s="15">
        <v>78</v>
      </c>
      <c r="R682" t="s" s="15">
        <v>83</v>
      </c>
      <c r="S682" s="14"/>
      <c r="T682" s="14"/>
      <c r="U682" s="14"/>
      <c r="V682" t="s" s="15">
        <v>78</v>
      </c>
      <c r="W682" s="14"/>
      <c r="X682" t="s" s="15">
        <v>78</v>
      </c>
      <c r="Y682" s="14"/>
      <c r="Z682" t="s" s="15">
        <v>205</v>
      </c>
      <c r="AA682" s="14"/>
      <c r="AB682" t="s" s="15">
        <v>1184</v>
      </c>
      <c r="AC682" s="14"/>
      <c r="AD682" s="14"/>
      <c r="AE682" s="14"/>
      <c r="AF682" s="14"/>
      <c r="AG682" t="s" s="15">
        <v>299</v>
      </c>
      <c r="AH682" t="s" s="15">
        <v>114</v>
      </c>
      <c r="AI682" t="s" s="15">
        <v>440</v>
      </c>
      <c r="AJ682" s="14"/>
      <c r="AK682" t="s" s="15">
        <v>83</v>
      </c>
      <c r="AL682" t="s" s="15">
        <v>293</v>
      </c>
      <c r="AM682" t="s" s="15">
        <v>294</v>
      </c>
      <c r="AN682" s="14"/>
      <c r="AO682" s="17">
        <v>4</v>
      </c>
      <c r="AP682" s="17">
        <v>4096</v>
      </c>
      <c r="AQ682" s="17">
        <v>144753</v>
      </c>
      <c r="AR682" s="17">
        <v>47270</v>
      </c>
      <c r="AS682" t="s" s="15">
        <v>2676</v>
      </c>
      <c r="AT682" s="14"/>
      <c r="AU682" s="14"/>
      <c r="AV682" s="14"/>
      <c r="AW682" s="14"/>
      <c r="AX682" s="14"/>
      <c r="AY682" s="14"/>
      <c r="AZ682" s="14"/>
      <c r="BA682" s="14"/>
      <c r="BB682" s="14"/>
      <c r="BC682" s="14"/>
      <c r="BD682" t="s" s="15">
        <v>310</v>
      </c>
      <c r="BE682" t="s" s="15">
        <v>356</v>
      </c>
      <c r="BF682" s="17">
        <v>4</v>
      </c>
      <c r="BG682" s="17">
        <v>8</v>
      </c>
      <c r="BH682" s="14"/>
      <c r="BI682" s="14"/>
      <c r="BJ682" s="14"/>
      <c r="BK682" s="14"/>
      <c r="BL682" s="14"/>
      <c r="BM682" s="14"/>
      <c r="BN682" t="s" s="15">
        <v>69</v>
      </c>
      <c r="BO682" s="16"/>
      <c r="BP682" s="8"/>
    </row>
    <row r="683" ht="13.55" customHeight="1">
      <c r="A683" t="s" s="9">
        <v>2677</v>
      </c>
      <c r="B683" s="11"/>
      <c r="C683" t="str" s="11" cm="1">
        <f t="array" ref="C683">_xlfn.IFERROR((VLOOKUP(A683,#REF!,2,FALSE)),"")</f>
      </c>
      <c r="D683" s="11"/>
      <c r="E683" s="11"/>
      <c r="F683" s="11"/>
      <c r="G683" t="s" s="10">
        <v>2678</v>
      </c>
      <c r="H683" t="s" s="10">
        <v>2578</v>
      </c>
      <c r="I683" t="s" s="10">
        <v>111</v>
      </c>
      <c r="J683" t="s" s="10">
        <v>122</v>
      </c>
      <c r="K683" t="s" s="10">
        <v>113</v>
      </c>
      <c r="L683" t="s" s="10">
        <v>2579</v>
      </c>
      <c r="M683" t="s" s="10">
        <v>2678</v>
      </c>
      <c r="N683" s="11"/>
      <c r="O683" s="11"/>
      <c r="P683" t="s" s="10">
        <v>122</v>
      </c>
      <c r="Q683" t="s" s="10">
        <v>69</v>
      </c>
      <c r="R683" t="s" s="10">
        <v>83</v>
      </c>
      <c r="S683" s="11"/>
      <c r="T683" s="11"/>
      <c r="U683" s="11"/>
      <c r="V683" t="s" s="10">
        <v>78</v>
      </c>
      <c r="W683" s="11"/>
      <c r="X683" t="s" s="10">
        <v>78</v>
      </c>
      <c r="Y683" s="11"/>
      <c r="Z683" t="s" s="10">
        <v>1112</v>
      </c>
      <c r="AA683" s="11"/>
      <c r="AB683" t="s" s="10">
        <v>2580</v>
      </c>
      <c r="AC683" t="s" s="10">
        <v>2677</v>
      </c>
      <c r="AD683" t="s" s="10">
        <v>2679</v>
      </c>
      <c r="AE683" s="11"/>
      <c r="AF683" t="s" s="10">
        <v>2578</v>
      </c>
      <c r="AG683" t="s" s="10">
        <v>299</v>
      </c>
      <c r="AH683" t="s" s="10">
        <v>114</v>
      </c>
      <c r="AI683" t="s" s="10">
        <v>332</v>
      </c>
      <c r="AJ683" t="s" s="10">
        <v>405</v>
      </c>
      <c r="AK683" t="s" s="10">
        <v>83</v>
      </c>
      <c r="AL683" t="s" s="10">
        <v>293</v>
      </c>
      <c r="AM683" t="s" s="10">
        <v>294</v>
      </c>
      <c r="AN683" s="11"/>
      <c r="AO683" s="18">
        <v>6</v>
      </c>
      <c r="AP683" s="18">
        <v>32768</v>
      </c>
      <c r="AQ683" s="18">
        <v>800902</v>
      </c>
      <c r="AR683" s="18">
        <v>102168</v>
      </c>
      <c r="AS683" t="s" s="10">
        <v>2680</v>
      </c>
      <c r="AT683" t="s" s="10">
        <v>301</v>
      </c>
      <c r="AU683" s="11"/>
      <c r="AV683" s="11"/>
      <c r="AW683" s="11"/>
      <c r="AX683" s="11"/>
      <c r="AY683" s="11"/>
      <c r="AZ683" s="11"/>
      <c r="BA683" s="11"/>
      <c r="BB683" s="11"/>
      <c r="BC683" s="11"/>
      <c r="BD683" t="s" s="10">
        <v>366</v>
      </c>
      <c r="BE683" t="s" s="10">
        <v>367</v>
      </c>
      <c r="BF683" s="18">
        <v>8</v>
      </c>
      <c r="BG683" s="18">
        <v>32</v>
      </c>
      <c r="BH683" s="11"/>
      <c r="BI683" s="11"/>
      <c r="BJ683" s="11"/>
      <c r="BK683" s="11"/>
      <c r="BL683" s="11"/>
      <c r="BM683" s="11"/>
      <c r="BN683" t="s" s="10">
        <v>69</v>
      </c>
      <c r="BO683" s="12"/>
      <c r="BP683" s="8"/>
    </row>
    <row r="684" ht="9" customHeight="1" hidden="1">
      <c r="A684" t="s" s="13">
        <v>2681</v>
      </c>
      <c r="B684" s="14"/>
      <c r="C684" t="str" s="14" cm="1">
        <f t="array" ref="C684">_xlfn.IFERROR((VLOOKUP(A684,#REF!,2,FALSE)),"")</f>
      </c>
      <c r="D684" s="14"/>
      <c r="E684" t="s" s="15">
        <v>2517</v>
      </c>
      <c r="F684" s="14"/>
      <c r="G684" t="s" s="15">
        <v>2682</v>
      </c>
      <c r="H684" t="s" s="15">
        <v>2518</v>
      </c>
      <c r="I684" t="s" s="15">
        <v>111</v>
      </c>
      <c r="J684" t="s" s="15">
        <v>122</v>
      </c>
      <c r="K684" t="s" s="15">
        <v>113</v>
      </c>
      <c r="L684" t="s" s="15">
        <v>2114</v>
      </c>
      <c r="M684" t="s" s="15">
        <v>2682</v>
      </c>
      <c r="N684" s="14"/>
      <c r="O684" s="14"/>
      <c r="P684" t="s" s="15">
        <v>122</v>
      </c>
      <c r="Q684" t="s" s="15">
        <v>69</v>
      </c>
      <c r="R684" t="s" s="15">
        <v>83</v>
      </c>
      <c r="S684" s="14"/>
      <c r="T684" s="14"/>
      <c r="U684" s="14"/>
      <c r="V684" t="s" s="15">
        <v>78</v>
      </c>
      <c r="W684" s="14"/>
      <c r="X684" t="s" s="15">
        <v>78</v>
      </c>
      <c r="Y684" s="14"/>
      <c r="Z684" t="s" s="15">
        <v>2066</v>
      </c>
      <c r="AA684" s="14"/>
      <c r="AB684" t="s" s="15">
        <v>2520</v>
      </c>
      <c r="AC684" t="s" s="15">
        <v>2681</v>
      </c>
      <c r="AD684" t="s" s="15">
        <v>2683</v>
      </c>
      <c r="AE684" s="14"/>
      <c r="AF684" t="s" s="15">
        <v>2518</v>
      </c>
      <c r="AG684" t="s" s="15">
        <v>299</v>
      </c>
      <c r="AH684" t="s" s="15">
        <v>114</v>
      </c>
      <c r="AI684" t="s" s="15">
        <v>332</v>
      </c>
      <c r="AJ684" t="s" s="15">
        <v>405</v>
      </c>
      <c r="AK684" t="s" s="15">
        <v>83</v>
      </c>
      <c r="AL684" t="s" s="15">
        <v>293</v>
      </c>
      <c r="AM684" t="s" s="15">
        <v>294</v>
      </c>
      <c r="AN684" s="14"/>
      <c r="AO684" s="17">
        <v>8</v>
      </c>
      <c r="AP684" s="17">
        <v>32768</v>
      </c>
      <c r="AQ684" s="17">
        <v>186499</v>
      </c>
      <c r="AR684" s="17">
        <v>79545</v>
      </c>
      <c r="AS684" t="s" s="15">
        <v>2684</v>
      </c>
      <c r="AT684" t="s" s="15">
        <v>301</v>
      </c>
      <c r="AU684" s="14"/>
      <c r="AV684" s="14"/>
      <c r="AW684" s="14"/>
      <c r="AX684" s="14"/>
      <c r="AY684" s="14"/>
      <c r="AZ684" s="14"/>
      <c r="BA684" s="14"/>
      <c r="BB684" s="14"/>
      <c r="BC684" s="14"/>
      <c r="BD684" t="s" s="15">
        <v>366</v>
      </c>
      <c r="BE684" t="s" s="15">
        <v>367</v>
      </c>
      <c r="BF684" s="17">
        <v>8</v>
      </c>
      <c r="BG684" s="17">
        <v>32</v>
      </c>
      <c r="BH684" s="14"/>
      <c r="BI684" s="14"/>
      <c r="BJ684" s="14"/>
      <c r="BK684" s="14"/>
      <c r="BL684" s="14"/>
      <c r="BM684" s="14"/>
      <c r="BN684" t="s" s="15">
        <v>78</v>
      </c>
      <c r="BO684" s="16"/>
      <c r="BP684" s="8"/>
    </row>
    <row r="685" ht="15" customHeight="1" hidden="1">
      <c r="A685" t="s" s="9">
        <v>2685</v>
      </c>
      <c r="B685" s="11"/>
      <c r="C685" t="str" s="11" cm="1">
        <f t="array" ref="C685">_xlfn.IFERROR((VLOOKUP(A685,#REF!,2,FALSE)),"")</f>
      </c>
      <c r="D685" t="s" s="10">
        <v>70</v>
      </c>
      <c r="E685" t="s" s="10">
        <v>2517</v>
      </c>
      <c r="F685" s="11"/>
      <c r="G685" t="s" s="10">
        <v>2686</v>
      </c>
      <c r="H685" t="s" s="10">
        <v>2518</v>
      </c>
      <c r="I685" t="s" s="10">
        <v>111</v>
      </c>
      <c r="J685" t="s" s="10">
        <v>122</v>
      </c>
      <c r="K685" t="s" s="10">
        <v>113</v>
      </c>
      <c r="L685" t="s" s="10">
        <v>2114</v>
      </c>
      <c r="M685" t="s" s="10">
        <v>2687</v>
      </c>
      <c r="N685" t="s" s="10">
        <v>2686</v>
      </c>
      <c r="O685" s="11"/>
      <c r="P685" t="s" s="10">
        <v>122</v>
      </c>
      <c r="Q685" t="s" s="10">
        <v>78</v>
      </c>
      <c r="R685" t="s" s="10">
        <v>83</v>
      </c>
      <c r="S685" s="11"/>
      <c r="T685" s="11"/>
      <c r="U685" s="11"/>
      <c r="V685" t="s" s="10">
        <v>78</v>
      </c>
      <c r="W685" s="11"/>
      <c r="X685" t="s" s="10">
        <v>78</v>
      </c>
      <c r="Y685" s="11"/>
      <c r="Z685" t="s" s="10">
        <v>2066</v>
      </c>
      <c r="AA685" s="11"/>
      <c r="AB685" t="s" s="10">
        <v>2520</v>
      </c>
      <c r="AC685" s="11"/>
      <c r="AD685" s="11"/>
      <c r="AE685" s="11"/>
      <c r="AF685" t="s" s="10">
        <v>2518</v>
      </c>
      <c r="AG685" t="s" s="10">
        <v>299</v>
      </c>
      <c r="AH685" t="s" s="10">
        <v>114</v>
      </c>
      <c r="AI685" t="s" s="10">
        <v>332</v>
      </c>
      <c r="AJ685" t="s" s="10">
        <v>405</v>
      </c>
      <c r="AK685" t="s" s="10">
        <v>83</v>
      </c>
      <c r="AL685" t="s" s="10">
        <v>293</v>
      </c>
      <c r="AM685" t="s" s="10">
        <v>294</v>
      </c>
      <c r="AN685" s="11"/>
      <c r="AO685" s="18">
        <v>4</v>
      </c>
      <c r="AP685" s="18">
        <v>4096</v>
      </c>
      <c r="AQ685" s="18">
        <v>106612</v>
      </c>
      <c r="AR685" s="18">
        <v>7318</v>
      </c>
      <c r="AS685" t="s" s="10">
        <v>2688</v>
      </c>
      <c r="AT685" s="11"/>
      <c r="AU685" s="11"/>
      <c r="AV685" s="11"/>
      <c r="AW685" s="11"/>
      <c r="AX685" s="11"/>
      <c r="AY685" s="11"/>
      <c r="AZ685" s="11"/>
      <c r="BA685" s="11"/>
      <c r="BB685" s="11"/>
      <c r="BC685" s="11"/>
      <c r="BD685" t="s" s="10">
        <v>310</v>
      </c>
      <c r="BE685" t="s" s="10">
        <v>356</v>
      </c>
      <c r="BF685" s="18">
        <v>4</v>
      </c>
      <c r="BG685" s="18">
        <v>8</v>
      </c>
      <c r="BH685" s="11"/>
      <c r="BI685" s="11"/>
      <c r="BJ685" s="11"/>
      <c r="BK685" s="11"/>
      <c r="BL685" s="11"/>
      <c r="BM685" s="11"/>
      <c r="BN685" t="s" s="10">
        <v>78</v>
      </c>
      <c r="BO685" s="12"/>
      <c r="BP685" s="8"/>
    </row>
    <row r="686" ht="15" customHeight="1" hidden="1">
      <c r="A686" t="s" s="13">
        <v>2689</v>
      </c>
      <c r="B686" s="14"/>
      <c r="C686" t="str" s="14" cm="1">
        <f t="array" ref="C686">_xlfn.IFERROR((VLOOKUP(A686,#REF!,2,FALSE)),"")</f>
      </c>
      <c r="D686" s="14"/>
      <c r="E686" t="s" s="15">
        <v>2690</v>
      </c>
      <c r="F686" s="14"/>
      <c r="G686" t="s" s="15">
        <v>2691</v>
      </c>
      <c r="H686" t="s" s="15">
        <v>550</v>
      </c>
      <c r="I686" t="s" s="15">
        <v>111</v>
      </c>
      <c r="J686" t="s" s="15">
        <v>122</v>
      </c>
      <c r="K686" t="s" s="15">
        <v>113</v>
      </c>
      <c r="L686" t="s" s="15">
        <v>76</v>
      </c>
      <c r="M686" s="14"/>
      <c r="N686" s="14"/>
      <c r="O686" s="14"/>
      <c r="P686" s="14"/>
      <c r="Q686" s="14"/>
      <c r="R686" t="s" s="15">
        <v>83</v>
      </c>
      <c r="S686" s="14"/>
      <c r="T686" s="14"/>
      <c r="U686" s="14"/>
      <c r="V686" s="14"/>
      <c r="W686" s="14"/>
      <c r="X686" s="14"/>
      <c r="Y686" s="14"/>
      <c r="Z686" t="s" s="15">
        <v>552</v>
      </c>
      <c r="AA686" s="14"/>
      <c r="AB686" t="s" s="15">
        <v>553</v>
      </c>
      <c r="AC686" s="14"/>
      <c r="AD686" s="14"/>
      <c r="AE686" s="14"/>
      <c r="AF686" s="14"/>
      <c r="AG686" t="s" s="15">
        <v>299</v>
      </c>
      <c r="AH686" t="s" s="15">
        <v>83</v>
      </c>
      <c r="AI686" t="s" s="15">
        <v>83</v>
      </c>
      <c r="AJ686" s="14"/>
      <c r="AK686" t="s" s="15">
        <v>83</v>
      </c>
      <c r="AL686" s="14"/>
      <c r="AM686" s="14"/>
      <c r="AN686" s="14"/>
      <c r="AO686" s="14"/>
      <c r="AP686" s="14"/>
      <c r="AQ686" s="14"/>
      <c r="AR686" s="14"/>
      <c r="AS686" t="s" s="15">
        <v>2692</v>
      </c>
      <c r="AT686" t="s" s="15">
        <v>301</v>
      </c>
      <c r="AU686" t="s" s="15">
        <v>1174</v>
      </c>
      <c r="AV686" s="14"/>
      <c r="AW686" s="14"/>
      <c r="AX686" s="14"/>
      <c r="AY686" s="14"/>
      <c r="AZ686" s="14"/>
      <c r="BA686" s="14"/>
      <c r="BB686" s="14"/>
      <c r="BC686" s="14"/>
      <c r="BD686" s="14"/>
      <c r="BE686" s="14"/>
      <c r="BF686" s="14"/>
      <c r="BG686" s="14"/>
      <c r="BH686" s="14"/>
      <c r="BI686" s="14"/>
      <c r="BJ686" s="14"/>
      <c r="BK686" s="14"/>
      <c r="BL686" s="14"/>
      <c r="BM686" s="14"/>
      <c r="BN686" t="s" s="15">
        <v>69</v>
      </c>
      <c r="BO686" s="16"/>
      <c r="BP686" s="8"/>
    </row>
    <row r="687" ht="9" customHeight="1" hidden="1">
      <c r="A687" t="s" s="9">
        <v>2693</v>
      </c>
      <c r="B687" s="11"/>
      <c r="C687" t="str" s="11" cm="1">
        <f t="array" ref="C687">_xlfn.IFERROR((VLOOKUP(A687,#REF!,2,FALSE)),"")</f>
      </c>
      <c r="D687" s="11"/>
      <c r="E687" t="s" s="10">
        <v>2694</v>
      </c>
      <c r="F687" s="11"/>
      <c r="G687" t="s" s="10">
        <v>2695</v>
      </c>
      <c r="H687" t="s" s="10">
        <v>524</v>
      </c>
      <c r="I687" t="s" s="10">
        <v>111</v>
      </c>
      <c r="J687" t="s" s="10">
        <v>122</v>
      </c>
      <c r="K687" t="s" s="10">
        <v>113</v>
      </c>
      <c r="L687" t="s" s="10">
        <v>518</v>
      </c>
      <c r="M687" s="11"/>
      <c r="N687" s="11"/>
      <c r="O687" s="11"/>
      <c r="P687" s="11"/>
      <c r="Q687" s="11"/>
      <c r="R687" t="s" s="10">
        <v>83</v>
      </c>
      <c r="S687" s="11"/>
      <c r="T687" s="11"/>
      <c r="U687" s="11"/>
      <c r="V687" s="11"/>
      <c r="W687" s="11"/>
      <c r="X687" s="11"/>
      <c r="Y687" s="11"/>
      <c r="Z687" t="s" s="10">
        <v>552</v>
      </c>
      <c r="AA687" s="11"/>
      <c r="AB687" t="s" s="10">
        <v>1551</v>
      </c>
      <c r="AC687" s="11"/>
      <c r="AD687" s="11"/>
      <c r="AE687" s="11"/>
      <c r="AF687" s="11"/>
      <c r="AG687" t="s" s="10">
        <v>299</v>
      </c>
      <c r="AH687" t="s" s="10">
        <v>83</v>
      </c>
      <c r="AI687" t="s" s="10">
        <v>83</v>
      </c>
      <c r="AJ687" s="11"/>
      <c r="AK687" t="s" s="10">
        <v>83</v>
      </c>
      <c r="AL687" s="11"/>
      <c r="AM687" s="11"/>
      <c r="AN687" s="11"/>
      <c r="AO687" s="11"/>
      <c r="AP687" s="11"/>
      <c r="AQ687" s="11"/>
      <c r="AR687" s="11"/>
      <c r="AS687" t="s" s="10">
        <v>2696</v>
      </c>
      <c r="AT687" s="11"/>
      <c r="AU687" s="11"/>
      <c r="AV687" s="11"/>
      <c r="AW687" s="11"/>
      <c r="AX687" s="11"/>
      <c r="AY687" s="11"/>
      <c r="AZ687" s="11"/>
      <c r="BA687" s="11"/>
      <c r="BB687" s="11"/>
      <c r="BC687" s="11"/>
      <c r="BD687" s="11"/>
      <c r="BE687" s="11"/>
      <c r="BF687" s="11"/>
      <c r="BG687" s="11"/>
      <c r="BH687" s="11"/>
      <c r="BI687" s="11"/>
      <c r="BJ687" s="11"/>
      <c r="BK687" s="11"/>
      <c r="BL687" s="11"/>
      <c r="BM687" s="11"/>
      <c r="BN687" t="s" s="10">
        <v>69</v>
      </c>
      <c r="BO687" s="12"/>
      <c r="BP687" s="8"/>
    </row>
    <row r="688" ht="15" customHeight="1" hidden="1">
      <c r="A688" t="s" s="13">
        <v>2697</v>
      </c>
      <c r="B688" s="14"/>
      <c r="C688" t="str" s="14" cm="1">
        <f t="array" ref="C688">_xlfn.IFERROR((VLOOKUP(A688,#REF!,2,FALSE)),"")</f>
      </c>
      <c r="D688" s="14"/>
      <c r="E688" t="s" s="15">
        <v>2398</v>
      </c>
      <c r="F688" s="14"/>
      <c r="G688" t="s" s="15">
        <v>2698</v>
      </c>
      <c r="H688" t="s" s="15">
        <v>2699</v>
      </c>
      <c r="I688" t="s" s="15">
        <v>111</v>
      </c>
      <c r="J688" t="s" s="15">
        <v>122</v>
      </c>
      <c r="K688" t="s" s="15">
        <v>113</v>
      </c>
      <c r="L688" t="s" s="15">
        <v>2545</v>
      </c>
      <c r="M688" s="14"/>
      <c r="N688" s="14"/>
      <c r="O688" t="s" s="15">
        <v>286</v>
      </c>
      <c r="P688" s="14"/>
      <c r="Q688" s="14"/>
      <c r="R688" t="s" s="15">
        <v>83</v>
      </c>
      <c r="S688" s="14"/>
      <c r="T688" s="14"/>
      <c r="U688" s="14"/>
      <c r="V688" s="14"/>
      <c r="W688" s="14"/>
      <c r="X688" s="14"/>
      <c r="Y688" s="14"/>
      <c r="Z688" t="s" s="15">
        <v>205</v>
      </c>
      <c r="AA688" s="14"/>
      <c r="AB688" t="s" s="15">
        <v>2546</v>
      </c>
      <c r="AC688" s="14"/>
      <c r="AD688" s="14"/>
      <c r="AE688" s="14"/>
      <c r="AF688" s="14"/>
      <c r="AG688" t="s" s="15">
        <v>299</v>
      </c>
      <c r="AH688" t="s" s="15">
        <v>83</v>
      </c>
      <c r="AI688" t="s" s="15">
        <v>83</v>
      </c>
      <c r="AJ688" t="s" s="15">
        <v>83</v>
      </c>
      <c r="AK688" t="s" s="15">
        <v>83</v>
      </c>
      <c r="AL688" t="s" s="15">
        <v>293</v>
      </c>
      <c r="AM688" t="s" s="15">
        <v>294</v>
      </c>
      <c r="AN688" t="s" s="15">
        <v>2700</v>
      </c>
      <c r="AO688" s="14"/>
      <c r="AP688" s="14"/>
      <c r="AQ688" s="14"/>
      <c r="AR688" s="14"/>
      <c r="AS688" t="s" s="15">
        <v>2701</v>
      </c>
      <c r="AT688" s="14"/>
      <c r="AU688" s="14"/>
      <c r="AV688" s="14"/>
      <c r="AW688" s="14"/>
      <c r="AX688" s="14"/>
      <c r="AY688" s="14"/>
      <c r="AZ688" s="14"/>
      <c r="BA688" s="14"/>
      <c r="BB688" s="14"/>
      <c r="BC688" s="14"/>
      <c r="BD688" s="14"/>
      <c r="BE688" s="14"/>
      <c r="BF688" s="14"/>
      <c r="BG688" s="14"/>
      <c r="BH688" s="14"/>
      <c r="BI688" s="14"/>
      <c r="BJ688" s="14"/>
      <c r="BK688" s="14"/>
      <c r="BL688" s="14"/>
      <c r="BM688" s="14"/>
      <c r="BN688" t="s" s="15">
        <v>78</v>
      </c>
      <c r="BO688" s="16"/>
      <c r="BP688" s="8"/>
    </row>
    <row r="689" ht="15" customHeight="1" hidden="1">
      <c r="A689" t="s" s="9">
        <v>2702</v>
      </c>
      <c r="B689" s="11"/>
      <c r="C689" t="str" s="11" cm="1">
        <f t="array" ref="C689">_xlfn.IFERROR((VLOOKUP(A689,#REF!,2,FALSE)),"")</f>
      </c>
      <c r="D689" s="11"/>
      <c r="E689" t="s" s="10">
        <v>2258</v>
      </c>
      <c r="F689" s="11"/>
      <c r="G689" t="s" s="10">
        <v>2703</v>
      </c>
      <c r="H689" t="s" s="10">
        <v>2653</v>
      </c>
      <c r="I689" t="s" s="10">
        <v>111</v>
      </c>
      <c r="J689" t="s" s="10">
        <v>122</v>
      </c>
      <c r="K689" s="11"/>
      <c r="L689" t="s" s="10">
        <v>83</v>
      </c>
      <c r="M689" s="11"/>
      <c r="N689" s="11"/>
      <c r="O689" t="s" s="10">
        <v>286</v>
      </c>
      <c r="P689" s="11"/>
      <c r="Q689" s="11"/>
      <c r="R689" t="s" s="10">
        <v>76</v>
      </c>
      <c r="S689" s="11"/>
      <c r="T689" s="11"/>
      <c r="U689" s="11"/>
      <c r="V689" s="11"/>
      <c r="W689" s="11"/>
      <c r="X689" s="11"/>
      <c r="Y689" s="11"/>
      <c r="Z689" t="s" s="10">
        <v>83</v>
      </c>
      <c r="AA689" s="11"/>
      <c r="AB689" t="s" s="10">
        <v>83</v>
      </c>
      <c r="AC689" s="11"/>
      <c r="AD689" s="11"/>
      <c r="AE689" s="11"/>
      <c r="AF689" s="11"/>
      <c r="AG689" t="s" s="10">
        <v>299</v>
      </c>
      <c r="AH689" t="s" s="10">
        <v>83</v>
      </c>
      <c r="AI689" t="s" s="10">
        <v>83</v>
      </c>
      <c r="AJ689" t="s" s="10">
        <v>83</v>
      </c>
      <c r="AK689" t="s" s="10">
        <v>83</v>
      </c>
      <c r="AL689" t="s" s="10">
        <v>293</v>
      </c>
      <c r="AM689" t="s" s="10">
        <v>294</v>
      </c>
      <c r="AN689" t="s" s="10">
        <v>2704</v>
      </c>
      <c r="AO689" s="11"/>
      <c r="AP689" s="11"/>
      <c r="AQ689" s="11"/>
      <c r="AR689" s="11"/>
      <c r="AS689" t="s" s="10">
        <v>2412</v>
      </c>
      <c r="AT689" s="11"/>
      <c r="AU689" s="11"/>
      <c r="AV689" s="11"/>
      <c r="AW689" s="11"/>
      <c r="AX689" s="11"/>
      <c r="AY689" s="11"/>
      <c r="AZ689" s="11"/>
      <c r="BA689" s="11"/>
      <c r="BB689" s="11"/>
      <c r="BC689" s="11"/>
      <c r="BD689" s="11"/>
      <c r="BE689" s="11"/>
      <c r="BF689" s="11"/>
      <c r="BG689" s="11"/>
      <c r="BH689" s="11"/>
      <c r="BI689" s="11"/>
      <c r="BJ689" s="11"/>
      <c r="BK689" s="11"/>
      <c r="BL689" s="11"/>
      <c r="BM689" s="11"/>
      <c r="BN689" t="s" s="10">
        <v>69</v>
      </c>
      <c r="BO689" s="12"/>
      <c r="BP689" s="8"/>
    </row>
    <row r="690" ht="9" customHeight="1" hidden="1">
      <c r="A690" t="s" s="13">
        <v>2705</v>
      </c>
      <c r="B690" s="14"/>
      <c r="C690" t="str" s="14" cm="1">
        <f t="array" ref="C690">_xlfn.IFERROR((VLOOKUP(A690,#REF!,2,FALSE)),"")</f>
      </c>
      <c r="D690" s="14"/>
      <c r="E690" t="s" s="15">
        <v>2398</v>
      </c>
      <c r="F690" s="14"/>
      <c r="G690" t="s" s="15">
        <v>2706</v>
      </c>
      <c r="H690" t="s" s="15">
        <v>2707</v>
      </c>
      <c r="I690" t="s" s="15">
        <v>111</v>
      </c>
      <c r="J690" t="s" s="15">
        <v>322</v>
      </c>
      <c r="K690" t="s" s="15">
        <v>113</v>
      </c>
      <c r="L690" t="s" s="15">
        <v>76</v>
      </c>
      <c r="M690" s="14"/>
      <c r="N690" s="14"/>
      <c r="O690" t="s" s="15">
        <v>322</v>
      </c>
      <c r="P690" s="14"/>
      <c r="Q690" s="14"/>
      <c r="R690" t="s" s="15">
        <v>83</v>
      </c>
      <c r="S690" s="14"/>
      <c r="T690" s="14"/>
      <c r="U690" s="14"/>
      <c r="V690" s="14"/>
      <c r="W690" s="14"/>
      <c r="X690" s="14"/>
      <c r="Y690" s="14"/>
      <c r="Z690" t="s" s="15">
        <v>76</v>
      </c>
      <c r="AA690" s="14"/>
      <c r="AB690" t="s" s="15">
        <v>76</v>
      </c>
      <c r="AC690" s="14"/>
      <c r="AD690" s="14"/>
      <c r="AE690" s="14"/>
      <c r="AF690" s="14"/>
      <c r="AG690" t="s" s="15">
        <v>299</v>
      </c>
      <c r="AH690" t="s" s="15">
        <v>83</v>
      </c>
      <c r="AI690" t="s" s="15">
        <v>83</v>
      </c>
      <c r="AJ690" t="s" s="15">
        <v>83</v>
      </c>
      <c r="AK690" t="s" s="15">
        <v>83</v>
      </c>
      <c r="AL690" t="s" s="15">
        <v>293</v>
      </c>
      <c r="AM690" t="s" s="15">
        <v>294</v>
      </c>
      <c r="AN690" t="s" s="15">
        <v>2704</v>
      </c>
      <c r="AO690" s="14"/>
      <c r="AP690" s="14"/>
      <c r="AQ690" s="14"/>
      <c r="AR690" s="14"/>
      <c r="AS690" t="s" s="15">
        <v>2708</v>
      </c>
      <c r="AT690" s="14"/>
      <c r="AU690" s="14"/>
      <c r="AV690" s="14"/>
      <c r="AW690" s="14"/>
      <c r="AX690" s="14"/>
      <c r="AY690" s="14"/>
      <c r="AZ690" s="14"/>
      <c r="BA690" s="14"/>
      <c r="BB690" s="14"/>
      <c r="BC690" s="14"/>
      <c r="BD690" s="14"/>
      <c r="BE690" s="14"/>
      <c r="BF690" s="14"/>
      <c r="BG690" s="14"/>
      <c r="BH690" s="14"/>
      <c r="BI690" s="14"/>
      <c r="BJ690" s="14"/>
      <c r="BK690" s="14"/>
      <c r="BL690" s="14"/>
      <c r="BM690" s="14"/>
      <c r="BN690" t="s" s="15">
        <v>78</v>
      </c>
      <c r="BO690" s="16"/>
      <c r="BP690" s="8"/>
    </row>
    <row r="691" ht="9" customHeight="1" hidden="1">
      <c r="A691" t="s" s="9">
        <v>2709</v>
      </c>
      <c r="B691" s="11"/>
      <c r="C691" t="str" s="11" cm="1">
        <f t="array" ref="C691">_xlfn.IFERROR((VLOOKUP(A691,#REF!,2,FALSE)),"")</f>
      </c>
      <c r="D691" s="11"/>
      <c r="E691" t="s" s="10">
        <v>2398</v>
      </c>
      <c r="F691" s="11"/>
      <c r="G691" t="s" s="10">
        <v>2710</v>
      </c>
      <c r="H691" t="s" s="10">
        <v>741</v>
      </c>
      <c r="I691" t="s" s="10">
        <v>111</v>
      </c>
      <c r="J691" t="s" s="10">
        <v>469</v>
      </c>
      <c r="K691" t="s" s="10">
        <v>113</v>
      </c>
      <c r="L691" t="s" s="10">
        <v>518</v>
      </c>
      <c r="M691" s="11"/>
      <c r="N691" s="11"/>
      <c r="O691" t="s" s="10">
        <v>469</v>
      </c>
      <c r="P691" s="11"/>
      <c r="Q691" s="11"/>
      <c r="R691" t="s" s="10">
        <v>83</v>
      </c>
      <c r="S691" s="11"/>
      <c r="T691" s="11"/>
      <c r="U691" s="11"/>
      <c r="V691" s="11"/>
      <c r="W691" s="11"/>
      <c r="X691" s="11"/>
      <c r="Y691" s="11"/>
      <c r="Z691" t="s" s="10">
        <v>552</v>
      </c>
      <c r="AA691" s="11"/>
      <c r="AB691" t="s" s="10">
        <v>743</v>
      </c>
      <c r="AC691" s="11"/>
      <c r="AD691" s="11"/>
      <c r="AE691" s="11"/>
      <c r="AF691" s="11"/>
      <c r="AG691" t="s" s="10">
        <v>299</v>
      </c>
      <c r="AH691" t="s" s="10">
        <v>289</v>
      </c>
      <c r="AI691" t="s" s="10">
        <v>83</v>
      </c>
      <c r="AJ691" t="s" s="10">
        <v>83</v>
      </c>
      <c r="AK691" t="s" s="10">
        <v>83</v>
      </c>
      <c r="AL691" t="s" s="10">
        <v>293</v>
      </c>
      <c r="AM691" t="s" s="10">
        <v>294</v>
      </c>
      <c r="AN691" t="s" s="10">
        <v>2700</v>
      </c>
      <c r="AO691" s="11"/>
      <c r="AP691" s="11"/>
      <c r="AQ691" s="11"/>
      <c r="AR691" s="11"/>
      <c r="AS691" t="s" s="10">
        <v>2572</v>
      </c>
      <c r="AT691" s="11"/>
      <c r="AU691" s="11"/>
      <c r="AV691" s="11"/>
      <c r="AW691" s="11"/>
      <c r="AX691" s="11"/>
      <c r="AY691" s="11"/>
      <c r="AZ691" s="11"/>
      <c r="BA691" s="11"/>
      <c r="BB691" s="11"/>
      <c r="BC691" s="11"/>
      <c r="BD691" s="11"/>
      <c r="BE691" s="11"/>
      <c r="BF691" s="11"/>
      <c r="BG691" s="11"/>
      <c r="BH691" s="11"/>
      <c r="BI691" s="11"/>
      <c r="BJ691" s="11"/>
      <c r="BK691" s="11"/>
      <c r="BL691" s="11"/>
      <c r="BM691" s="11"/>
      <c r="BN691" t="s" s="10">
        <v>78</v>
      </c>
      <c r="BO691" s="12"/>
      <c r="BP691" s="8"/>
    </row>
    <row r="692" ht="9" customHeight="1" hidden="1">
      <c r="A692" t="s" s="13">
        <v>2711</v>
      </c>
      <c r="B692" s="14"/>
      <c r="C692" t="str" s="14" cm="1">
        <f t="array" ref="C692">_xlfn.IFERROR((VLOOKUP(A692,#REF!,2,FALSE)),"")</f>
      </c>
      <c r="D692" s="14"/>
      <c r="E692" t="s" s="15">
        <v>2398</v>
      </c>
      <c r="F692" s="14"/>
      <c r="G692" t="s" s="15">
        <v>2712</v>
      </c>
      <c r="H692" t="s" s="15">
        <v>1237</v>
      </c>
      <c r="I692" t="s" s="15">
        <v>111</v>
      </c>
      <c r="J692" t="s" s="15">
        <v>469</v>
      </c>
      <c r="K692" t="s" s="15">
        <v>113</v>
      </c>
      <c r="L692" t="s" s="15">
        <v>518</v>
      </c>
      <c r="M692" s="14"/>
      <c r="N692" s="14"/>
      <c r="O692" t="s" s="15">
        <v>469</v>
      </c>
      <c r="P692" s="14"/>
      <c r="Q692" s="14"/>
      <c r="R692" t="s" s="15">
        <v>83</v>
      </c>
      <c r="S692" s="14"/>
      <c r="T692" s="14"/>
      <c r="U692" s="14"/>
      <c r="V692" s="14"/>
      <c r="W692" s="14"/>
      <c r="X692" s="14"/>
      <c r="Y692" s="14"/>
      <c r="Z692" t="s" s="15">
        <v>205</v>
      </c>
      <c r="AA692" s="14"/>
      <c r="AB692" t="s" s="15">
        <v>520</v>
      </c>
      <c r="AC692" s="14"/>
      <c r="AD692" s="14"/>
      <c r="AE692" s="14"/>
      <c r="AF692" s="14"/>
      <c r="AG692" t="s" s="15">
        <v>299</v>
      </c>
      <c r="AH692" t="s" s="15">
        <v>289</v>
      </c>
      <c r="AI692" t="s" s="15">
        <v>83</v>
      </c>
      <c r="AJ692" t="s" s="15">
        <v>83</v>
      </c>
      <c r="AK692" t="s" s="15">
        <v>83</v>
      </c>
      <c r="AL692" t="s" s="15">
        <v>293</v>
      </c>
      <c r="AM692" t="s" s="15">
        <v>294</v>
      </c>
      <c r="AN692" t="s" s="15">
        <v>2700</v>
      </c>
      <c r="AO692" s="14"/>
      <c r="AP692" s="14"/>
      <c r="AQ692" s="14"/>
      <c r="AR692" s="14"/>
      <c r="AS692" t="s" s="15">
        <v>2713</v>
      </c>
      <c r="AT692" s="14"/>
      <c r="AU692" s="14"/>
      <c r="AV692" s="14"/>
      <c r="AW692" s="14"/>
      <c r="AX692" s="14"/>
      <c r="AY692" s="14"/>
      <c r="AZ692" s="14"/>
      <c r="BA692" s="14"/>
      <c r="BB692" s="14"/>
      <c r="BC692" s="14"/>
      <c r="BD692" s="14"/>
      <c r="BE692" s="14"/>
      <c r="BF692" s="14"/>
      <c r="BG692" s="14"/>
      <c r="BH692" s="14"/>
      <c r="BI692" s="14"/>
      <c r="BJ692" s="14"/>
      <c r="BK692" s="14"/>
      <c r="BL692" s="14"/>
      <c r="BM692" s="14"/>
      <c r="BN692" t="s" s="15">
        <v>78</v>
      </c>
      <c r="BO692" s="16"/>
      <c r="BP692" s="8"/>
    </row>
    <row r="693" ht="9" customHeight="1" hidden="1">
      <c r="A693" t="s" s="9">
        <v>2714</v>
      </c>
      <c r="B693" s="11"/>
      <c r="C693" t="str" s="11" cm="1">
        <f t="array" ref="C693">_xlfn.IFERROR((VLOOKUP(A693,#REF!,2,FALSE)),"")</f>
      </c>
      <c r="D693" s="11"/>
      <c r="E693" t="s" s="10">
        <v>2398</v>
      </c>
      <c r="F693" s="11"/>
      <c r="G693" t="s" s="10">
        <v>2715</v>
      </c>
      <c r="H693" t="s" s="10">
        <v>1237</v>
      </c>
      <c r="I693" t="s" s="10">
        <v>111</v>
      </c>
      <c r="J693" t="s" s="10">
        <v>469</v>
      </c>
      <c r="K693" t="s" s="10">
        <v>113</v>
      </c>
      <c r="L693" t="s" s="10">
        <v>518</v>
      </c>
      <c r="M693" s="11"/>
      <c r="N693" s="11"/>
      <c r="O693" t="s" s="10">
        <v>469</v>
      </c>
      <c r="P693" s="11"/>
      <c r="Q693" s="11"/>
      <c r="R693" t="s" s="10">
        <v>83</v>
      </c>
      <c r="S693" s="11"/>
      <c r="T693" s="11"/>
      <c r="U693" s="11"/>
      <c r="V693" s="11"/>
      <c r="W693" s="11"/>
      <c r="X693" s="11"/>
      <c r="Y693" s="11"/>
      <c r="Z693" t="s" s="10">
        <v>205</v>
      </c>
      <c r="AA693" s="11"/>
      <c r="AB693" t="s" s="10">
        <v>520</v>
      </c>
      <c r="AC693" s="11"/>
      <c r="AD693" s="11"/>
      <c r="AE693" s="11"/>
      <c r="AF693" s="11"/>
      <c r="AG693" t="s" s="10">
        <v>299</v>
      </c>
      <c r="AH693" t="s" s="10">
        <v>289</v>
      </c>
      <c r="AI693" t="s" s="10">
        <v>83</v>
      </c>
      <c r="AJ693" t="s" s="10">
        <v>83</v>
      </c>
      <c r="AK693" t="s" s="10">
        <v>83</v>
      </c>
      <c r="AL693" t="s" s="10">
        <v>293</v>
      </c>
      <c r="AM693" t="s" s="10">
        <v>294</v>
      </c>
      <c r="AN693" t="s" s="10">
        <v>2700</v>
      </c>
      <c r="AO693" s="11"/>
      <c r="AP693" s="11"/>
      <c r="AQ693" s="11"/>
      <c r="AR693" s="11"/>
      <c r="AS693" t="s" s="10">
        <v>2716</v>
      </c>
      <c r="AT693" s="11"/>
      <c r="AU693" s="11"/>
      <c r="AV693" s="11"/>
      <c r="AW693" s="11"/>
      <c r="AX693" s="11"/>
      <c r="AY693" s="11"/>
      <c r="AZ693" s="11"/>
      <c r="BA693" s="11"/>
      <c r="BB693" s="11"/>
      <c r="BC693" s="11"/>
      <c r="BD693" s="11"/>
      <c r="BE693" s="11"/>
      <c r="BF693" s="11"/>
      <c r="BG693" s="11"/>
      <c r="BH693" s="11"/>
      <c r="BI693" s="11"/>
      <c r="BJ693" s="11"/>
      <c r="BK693" s="11"/>
      <c r="BL693" s="11"/>
      <c r="BM693" s="11"/>
      <c r="BN693" t="s" s="10">
        <v>78</v>
      </c>
      <c r="BO693" s="12"/>
      <c r="BP693" s="8"/>
    </row>
    <row r="694" ht="9" customHeight="1" hidden="1">
      <c r="A694" t="s" s="13">
        <v>2717</v>
      </c>
      <c r="B694" s="14"/>
      <c r="C694" t="str" s="14" cm="1">
        <f t="array" ref="C694">_xlfn.IFERROR((VLOOKUP(A694,#REF!,2,FALSE)),"")</f>
      </c>
      <c r="D694" s="14"/>
      <c r="E694" s="14"/>
      <c r="F694" s="14"/>
      <c r="G694" t="s" s="15">
        <v>2718</v>
      </c>
      <c r="H694" t="s" s="15">
        <v>2719</v>
      </c>
      <c r="I694" t="s" s="15">
        <v>111</v>
      </c>
      <c r="J694" t="s" s="15">
        <v>469</v>
      </c>
      <c r="K694" t="s" s="15">
        <v>113</v>
      </c>
      <c r="L694" t="s" s="15">
        <v>76</v>
      </c>
      <c r="M694" s="14"/>
      <c r="N694" s="14"/>
      <c r="O694" s="14"/>
      <c r="P694" s="14"/>
      <c r="Q694" s="14"/>
      <c r="R694" t="s" s="15">
        <v>83</v>
      </c>
      <c r="S694" s="14"/>
      <c r="T694" s="14"/>
      <c r="U694" s="14"/>
      <c r="V694" s="14"/>
      <c r="W694" s="14"/>
      <c r="X694" s="14"/>
      <c r="Y694" s="14"/>
      <c r="Z694" t="s" s="15">
        <v>76</v>
      </c>
      <c r="AA694" s="14"/>
      <c r="AB694" t="s" s="15">
        <v>76</v>
      </c>
      <c r="AC694" s="14"/>
      <c r="AD694" s="14"/>
      <c r="AE694" s="14"/>
      <c r="AF694" s="14"/>
      <c r="AG694" t="s" s="15">
        <v>299</v>
      </c>
      <c r="AH694" t="s" s="15">
        <v>83</v>
      </c>
      <c r="AI694" t="s" s="15">
        <v>83</v>
      </c>
      <c r="AJ694" s="14"/>
      <c r="AK694" t="s" s="15">
        <v>1195</v>
      </c>
      <c r="AL694" t="s" s="15">
        <v>293</v>
      </c>
      <c r="AM694" t="s" s="15">
        <v>294</v>
      </c>
      <c r="AN694" t="s" s="15">
        <v>2720</v>
      </c>
      <c r="AO694" s="14"/>
      <c r="AP694" s="14"/>
      <c r="AQ694" s="14"/>
      <c r="AR694" s="14"/>
      <c r="AS694" t="s" s="15">
        <v>2721</v>
      </c>
      <c r="AT694" s="14"/>
      <c r="AU694" s="14"/>
      <c r="AV694" s="14"/>
      <c r="AW694" s="14"/>
      <c r="AX694" s="14"/>
      <c r="AY694" s="14"/>
      <c r="AZ694" s="14"/>
      <c r="BA694" s="14"/>
      <c r="BB694" s="14"/>
      <c r="BC694" s="14"/>
      <c r="BD694" s="14"/>
      <c r="BE694" s="14"/>
      <c r="BF694" s="14"/>
      <c r="BG694" s="14"/>
      <c r="BH694" s="14"/>
      <c r="BI694" s="14"/>
      <c r="BJ694" s="14"/>
      <c r="BK694" s="14"/>
      <c r="BL694" s="14"/>
      <c r="BM694" s="14"/>
      <c r="BN694" t="s" s="15">
        <v>78</v>
      </c>
      <c r="BO694" s="16"/>
      <c r="BP694" s="8"/>
    </row>
    <row r="695" ht="9" customHeight="1" hidden="1">
      <c r="A695" t="s" s="9">
        <v>2722</v>
      </c>
      <c r="B695" s="11"/>
      <c r="C695" t="str" s="11" cm="1">
        <f t="array" ref="C695">_xlfn.IFERROR((VLOOKUP(A695,#REF!,2,FALSE)),"")</f>
      </c>
      <c r="D695" s="11"/>
      <c r="E695" t="s" s="10">
        <v>2398</v>
      </c>
      <c r="F695" s="11"/>
      <c r="G695" t="s" s="10">
        <v>2723</v>
      </c>
      <c r="H695" t="s" s="10">
        <v>2707</v>
      </c>
      <c r="I695" t="s" s="10">
        <v>111</v>
      </c>
      <c r="J695" t="s" s="10">
        <v>469</v>
      </c>
      <c r="K695" t="s" s="10">
        <v>113</v>
      </c>
      <c r="L695" t="s" s="10">
        <v>76</v>
      </c>
      <c r="M695" s="11"/>
      <c r="N695" s="11"/>
      <c r="O695" t="s" s="10">
        <v>469</v>
      </c>
      <c r="P695" s="11"/>
      <c r="Q695" s="11"/>
      <c r="R695" t="s" s="10">
        <v>83</v>
      </c>
      <c r="S695" s="11"/>
      <c r="T695" s="11"/>
      <c r="U695" s="11"/>
      <c r="V695" s="11"/>
      <c r="W695" s="11"/>
      <c r="X695" s="11"/>
      <c r="Y695" s="11"/>
      <c r="Z695" t="s" s="10">
        <v>76</v>
      </c>
      <c r="AA695" s="11"/>
      <c r="AB695" t="s" s="10">
        <v>76</v>
      </c>
      <c r="AC695" s="11"/>
      <c r="AD695" s="11"/>
      <c r="AE695" s="11"/>
      <c r="AF695" s="11"/>
      <c r="AG695" t="s" s="10">
        <v>299</v>
      </c>
      <c r="AH695" t="s" s="10">
        <v>83</v>
      </c>
      <c r="AI695" t="s" s="10">
        <v>83</v>
      </c>
      <c r="AJ695" t="s" s="10">
        <v>83</v>
      </c>
      <c r="AK695" t="s" s="10">
        <v>83</v>
      </c>
      <c r="AL695" t="s" s="10">
        <v>293</v>
      </c>
      <c r="AM695" t="s" s="10">
        <v>294</v>
      </c>
      <c r="AN695" t="s" s="10">
        <v>2700</v>
      </c>
      <c r="AO695" s="11"/>
      <c r="AP695" s="11"/>
      <c r="AQ695" s="11"/>
      <c r="AR695" s="11"/>
      <c r="AS695" t="s" s="10">
        <v>2724</v>
      </c>
      <c r="AT695" s="11"/>
      <c r="AU695" s="11"/>
      <c r="AV695" s="11"/>
      <c r="AW695" s="11"/>
      <c r="AX695" s="11"/>
      <c r="AY695" s="11"/>
      <c r="AZ695" s="11"/>
      <c r="BA695" s="11"/>
      <c r="BB695" s="11"/>
      <c r="BC695" s="11"/>
      <c r="BD695" s="11"/>
      <c r="BE695" s="11"/>
      <c r="BF695" s="11"/>
      <c r="BG695" s="11"/>
      <c r="BH695" s="11"/>
      <c r="BI695" s="11"/>
      <c r="BJ695" s="11"/>
      <c r="BK695" s="11"/>
      <c r="BL695" s="11"/>
      <c r="BM695" s="11"/>
      <c r="BN695" t="s" s="10">
        <v>78</v>
      </c>
      <c r="BO695" s="12"/>
      <c r="BP695" s="8"/>
    </row>
    <row r="696" ht="9" customHeight="1" hidden="1">
      <c r="A696" t="s" s="13">
        <v>2725</v>
      </c>
      <c r="B696" s="14"/>
      <c r="C696" t="s" s="15">
        <v>83</v>
      </c>
      <c r="D696" s="14"/>
      <c r="E696" t="s" s="15">
        <v>2726</v>
      </c>
      <c r="F696" t="s" s="15">
        <v>76</v>
      </c>
      <c r="G696" t="s" s="15">
        <v>2727</v>
      </c>
      <c r="H696" t="s" s="15">
        <v>25</v>
      </c>
      <c r="I696" t="s" s="15">
        <v>111</v>
      </c>
      <c r="J696" t="s" s="15">
        <v>112</v>
      </c>
      <c r="K696" s="14"/>
      <c r="L696" t="s" s="15">
        <v>83</v>
      </c>
      <c r="M696" s="14"/>
      <c r="N696" s="14"/>
      <c r="O696" t="s" s="15">
        <v>83</v>
      </c>
      <c r="P696" s="14"/>
      <c r="Q696" s="14"/>
      <c r="R696" t="s" s="15">
        <v>83</v>
      </c>
      <c r="S696" s="14"/>
      <c r="T696" s="14"/>
      <c r="U696" s="14"/>
      <c r="V696" s="14"/>
      <c r="W696" s="14"/>
      <c r="X696" s="14"/>
      <c r="Y696" s="14"/>
      <c r="Z696" t="s" s="15">
        <v>83</v>
      </c>
      <c r="AA696" s="14"/>
      <c r="AB696" t="s" s="15">
        <v>83</v>
      </c>
      <c r="AC696" s="14"/>
      <c r="AD696" s="14"/>
      <c r="AE696" s="14"/>
      <c r="AF696" s="14"/>
      <c r="AG696" t="s" s="15">
        <v>83</v>
      </c>
      <c r="AH696" t="s" s="15">
        <v>114</v>
      </c>
      <c r="AI696" t="s" s="15">
        <v>290</v>
      </c>
      <c r="AJ696" t="s" s="15">
        <v>333</v>
      </c>
      <c r="AK696" t="s" s="15">
        <v>83</v>
      </c>
      <c r="AL696" t="s" s="15">
        <v>293</v>
      </c>
      <c r="AM696" t="s" s="15">
        <v>294</v>
      </c>
      <c r="AN696" t="s" s="15">
        <v>83</v>
      </c>
      <c r="AO696" t="s" s="15">
        <v>83</v>
      </c>
      <c r="AP696" t="s" s="15">
        <v>83</v>
      </c>
      <c r="AQ696" t="s" s="15">
        <v>83</v>
      </c>
      <c r="AR696" t="s" s="15">
        <v>83</v>
      </c>
      <c r="AS696" t="s" s="15">
        <v>83</v>
      </c>
      <c r="AT696" t="s" s="15">
        <v>83</v>
      </c>
      <c r="AU696" s="14"/>
      <c r="AV696" s="14"/>
      <c r="AW696" t="s" s="15">
        <v>83</v>
      </c>
      <c r="AX696" t="s" s="15">
        <v>83</v>
      </c>
      <c r="AY696" t="s" s="15">
        <v>309</v>
      </c>
      <c r="AZ696" t="s" s="15">
        <v>83</v>
      </c>
      <c r="BA696" t="s" s="15">
        <v>76</v>
      </c>
      <c r="BB696" t="s" s="15">
        <v>76</v>
      </c>
      <c r="BC696" t="s" s="15">
        <v>76</v>
      </c>
      <c r="BD696" t="s" s="15">
        <v>118</v>
      </c>
      <c r="BE696" t="s" s="15">
        <v>83</v>
      </c>
      <c r="BF696" t="s" s="15">
        <v>83</v>
      </c>
      <c r="BG696" t="s" s="15">
        <v>83</v>
      </c>
      <c r="BH696" t="s" s="15">
        <v>83</v>
      </c>
      <c r="BI696" t="s" s="15">
        <v>83</v>
      </c>
      <c r="BJ696" t="s" s="15">
        <v>83</v>
      </c>
      <c r="BK696" t="s" s="15">
        <v>83</v>
      </c>
      <c r="BL696" t="s" s="15">
        <v>83</v>
      </c>
      <c r="BM696" t="s" s="15">
        <v>312</v>
      </c>
      <c r="BN696" t="s" s="15">
        <v>78</v>
      </c>
      <c r="BO696" t="s" s="21">
        <v>76</v>
      </c>
      <c r="BP696" s="8"/>
    </row>
    <row r="697" ht="15" customHeight="1" hidden="1">
      <c r="A697" t="s" s="9">
        <v>2728</v>
      </c>
      <c r="B697" s="11"/>
      <c r="C697" t="s" s="10">
        <v>83</v>
      </c>
      <c r="D697" s="11"/>
      <c r="E697" t="s" s="10">
        <v>2726</v>
      </c>
      <c r="F697" t="s" s="10">
        <v>76</v>
      </c>
      <c r="G697" t="s" s="10">
        <v>2727</v>
      </c>
      <c r="H697" t="s" s="10">
        <v>25</v>
      </c>
      <c r="I697" t="s" s="10">
        <v>111</v>
      </c>
      <c r="J697" t="s" s="10">
        <v>322</v>
      </c>
      <c r="K697" s="11"/>
      <c r="L697" t="s" s="10">
        <v>83</v>
      </c>
      <c r="M697" s="11"/>
      <c r="N697" s="11"/>
      <c r="O697" t="s" s="10">
        <v>83</v>
      </c>
      <c r="P697" s="11"/>
      <c r="Q697" s="11"/>
      <c r="R697" t="s" s="10">
        <v>83</v>
      </c>
      <c r="S697" s="11"/>
      <c r="T697" s="11"/>
      <c r="U697" s="11"/>
      <c r="V697" s="11"/>
      <c r="W697" s="11"/>
      <c r="X697" s="11"/>
      <c r="Y697" s="11"/>
      <c r="Z697" t="s" s="10">
        <v>83</v>
      </c>
      <c r="AA697" s="11"/>
      <c r="AB697" t="s" s="10">
        <v>83</v>
      </c>
      <c r="AC697" s="11"/>
      <c r="AD697" s="11"/>
      <c r="AE697" s="11"/>
      <c r="AF697" s="11"/>
      <c r="AG697" t="s" s="10">
        <v>83</v>
      </c>
      <c r="AH697" t="s" s="10">
        <v>114</v>
      </c>
      <c r="AI697" t="s" s="10">
        <v>290</v>
      </c>
      <c r="AJ697" t="s" s="10">
        <v>333</v>
      </c>
      <c r="AK697" t="s" s="10">
        <v>83</v>
      </c>
      <c r="AL697" t="s" s="10">
        <v>293</v>
      </c>
      <c r="AM697" t="s" s="10">
        <v>294</v>
      </c>
      <c r="AN697" t="s" s="10">
        <v>83</v>
      </c>
      <c r="AO697" t="s" s="10">
        <v>83</v>
      </c>
      <c r="AP697" t="s" s="10">
        <v>83</v>
      </c>
      <c r="AQ697" t="s" s="10">
        <v>83</v>
      </c>
      <c r="AR697" t="s" s="10">
        <v>83</v>
      </c>
      <c r="AS697" t="s" s="10">
        <v>83</v>
      </c>
      <c r="AT697" t="s" s="10">
        <v>83</v>
      </c>
      <c r="AU697" s="11"/>
      <c r="AV697" s="11"/>
      <c r="AW697" t="s" s="10">
        <v>83</v>
      </c>
      <c r="AX697" t="s" s="10">
        <v>83</v>
      </c>
      <c r="AY697" t="s" s="10">
        <v>309</v>
      </c>
      <c r="AZ697" t="s" s="10">
        <v>83</v>
      </c>
      <c r="BA697" t="s" s="10">
        <v>76</v>
      </c>
      <c r="BB697" t="s" s="10">
        <v>76</v>
      </c>
      <c r="BC697" t="s" s="10">
        <v>76</v>
      </c>
      <c r="BD697" t="s" s="10">
        <v>118</v>
      </c>
      <c r="BE697" s="11"/>
      <c r="BF697" s="11"/>
      <c r="BG697" s="11"/>
      <c r="BH697" t="s" s="10">
        <v>83</v>
      </c>
      <c r="BI697" t="s" s="10">
        <v>83</v>
      </c>
      <c r="BJ697" t="s" s="10">
        <v>83</v>
      </c>
      <c r="BK697" t="s" s="10">
        <v>83</v>
      </c>
      <c r="BL697" t="s" s="10">
        <v>83</v>
      </c>
      <c r="BM697" t="s" s="10">
        <v>312</v>
      </c>
      <c r="BN697" t="s" s="10">
        <v>78</v>
      </c>
      <c r="BO697" t="s" s="19">
        <v>76</v>
      </c>
      <c r="BP697" s="8"/>
    </row>
    <row r="698" ht="15" customHeight="1" hidden="1">
      <c r="A698" t="s" s="13">
        <v>2729</v>
      </c>
      <c r="B698" s="14"/>
      <c r="C698" t="str" s="14" cm="1">
        <f t="array" ref="C698">_xlfn.IFERROR((VLOOKUP(A698,#REF!,2,FALSE)),"")</f>
      </c>
      <c r="D698" s="14"/>
      <c r="E698" s="14"/>
      <c r="F698" s="14"/>
      <c r="G698" t="s" s="15">
        <v>2730</v>
      </c>
      <c r="H698" t="s" s="15">
        <v>550</v>
      </c>
      <c r="I698" t="s" s="15">
        <v>111</v>
      </c>
      <c r="J698" t="s" s="15">
        <v>322</v>
      </c>
      <c r="K698" t="s" s="15">
        <v>113</v>
      </c>
      <c r="L698" t="s" s="15">
        <v>518</v>
      </c>
      <c r="M698" s="14"/>
      <c r="N698" s="14"/>
      <c r="O698" s="14"/>
      <c r="P698" s="14"/>
      <c r="Q698" s="14"/>
      <c r="R698" t="s" s="15">
        <v>83</v>
      </c>
      <c r="S698" s="14"/>
      <c r="T698" s="14"/>
      <c r="U698" s="14"/>
      <c r="V698" s="14"/>
      <c r="W698" s="14"/>
      <c r="X698" s="14"/>
      <c r="Y698" s="14"/>
      <c r="Z698" t="s" s="15">
        <v>552</v>
      </c>
      <c r="AA698" s="14"/>
      <c r="AB698" t="s" s="15">
        <v>553</v>
      </c>
      <c r="AC698" s="14"/>
      <c r="AD698" s="14"/>
      <c r="AE698" s="14"/>
      <c r="AF698" s="14"/>
      <c r="AG698" t="s" s="15">
        <v>299</v>
      </c>
      <c r="AH698" t="s" s="15">
        <v>114</v>
      </c>
      <c r="AI698" t="s" s="15">
        <v>440</v>
      </c>
      <c r="AJ698" s="14"/>
      <c r="AK698" t="s" s="15">
        <v>1195</v>
      </c>
      <c r="AL698" t="s" s="15">
        <v>293</v>
      </c>
      <c r="AM698" t="s" s="15">
        <v>294</v>
      </c>
      <c r="AN698" s="14"/>
      <c r="AO698" s="14"/>
      <c r="AP698" s="14"/>
      <c r="AQ698" s="14"/>
      <c r="AR698" s="14"/>
      <c r="AS698" t="s" s="15">
        <v>2731</v>
      </c>
      <c r="AT698" t="s" s="15">
        <v>301</v>
      </c>
      <c r="AU698" t="s" s="15">
        <v>1174</v>
      </c>
      <c r="AV698" s="14"/>
      <c r="AW698" s="14"/>
      <c r="AX698" s="14"/>
      <c r="AY698" s="14"/>
      <c r="AZ698" s="14"/>
      <c r="BA698" s="14"/>
      <c r="BB698" s="14"/>
      <c r="BC698" s="14"/>
      <c r="BD698" t="s" s="15">
        <v>118</v>
      </c>
      <c r="BE698" s="14"/>
      <c r="BF698" s="14"/>
      <c r="BG698" s="14"/>
      <c r="BH698" s="14"/>
      <c r="BI698" s="14"/>
      <c r="BJ698" s="14"/>
      <c r="BK698" s="14"/>
      <c r="BL698" s="14"/>
      <c r="BM698" s="14"/>
      <c r="BN698" t="s" s="15">
        <v>78</v>
      </c>
      <c r="BO698" s="16"/>
      <c r="BP698" s="8"/>
    </row>
    <row r="699" ht="9" customHeight="1" hidden="1">
      <c r="A699" t="s" s="9">
        <v>2732</v>
      </c>
      <c r="B699" s="11"/>
      <c r="C699" t="str" s="11" cm="1">
        <f t="array" ref="C699">_xlfn.IFERROR((VLOOKUP(A699,#REF!,2,FALSE)),"")</f>
      </c>
      <c r="D699" s="11"/>
      <c r="E699" t="s" s="10">
        <v>2398</v>
      </c>
      <c r="F699" s="11"/>
      <c r="G699" t="s" s="10">
        <v>2733</v>
      </c>
      <c r="H699" t="s" s="10">
        <v>550</v>
      </c>
      <c r="I699" t="s" s="10">
        <v>111</v>
      </c>
      <c r="J699" t="s" s="10">
        <v>322</v>
      </c>
      <c r="K699" t="s" s="10">
        <v>113</v>
      </c>
      <c r="L699" t="s" s="10">
        <v>76</v>
      </c>
      <c r="M699" s="11"/>
      <c r="N699" s="11"/>
      <c r="O699" t="s" s="10">
        <v>322</v>
      </c>
      <c r="P699" s="11"/>
      <c r="Q699" s="11"/>
      <c r="R699" t="s" s="10">
        <v>83</v>
      </c>
      <c r="S699" s="11"/>
      <c r="T699" s="11"/>
      <c r="U699" s="11"/>
      <c r="V699" s="11"/>
      <c r="W699" s="11"/>
      <c r="X699" s="11"/>
      <c r="Y699" s="11"/>
      <c r="Z699" t="s" s="10">
        <v>552</v>
      </c>
      <c r="AA699" s="11"/>
      <c r="AB699" t="s" s="10">
        <v>553</v>
      </c>
      <c r="AC699" s="11"/>
      <c r="AD699" s="11"/>
      <c r="AE699" s="11"/>
      <c r="AF699" s="11"/>
      <c r="AG699" t="s" s="10">
        <v>299</v>
      </c>
      <c r="AH699" t="s" s="10">
        <v>83</v>
      </c>
      <c r="AI699" t="s" s="10">
        <v>83</v>
      </c>
      <c r="AJ699" t="s" s="10">
        <v>83</v>
      </c>
      <c r="AK699" t="s" s="10">
        <v>83</v>
      </c>
      <c r="AL699" t="s" s="10">
        <v>293</v>
      </c>
      <c r="AM699" t="s" s="10">
        <v>294</v>
      </c>
      <c r="AN699" t="s" s="10">
        <v>2704</v>
      </c>
      <c r="AO699" s="11"/>
      <c r="AP699" s="11"/>
      <c r="AQ699" s="11"/>
      <c r="AR699" s="11"/>
      <c r="AS699" t="s" s="10">
        <v>2692</v>
      </c>
      <c r="AT699" s="11"/>
      <c r="AU699" s="11"/>
      <c r="AV699" s="11"/>
      <c r="AW699" s="11"/>
      <c r="AX699" s="11"/>
      <c r="AY699" s="11"/>
      <c r="AZ699" s="11"/>
      <c r="BA699" s="11"/>
      <c r="BB699" s="11"/>
      <c r="BC699" s="11"/>
      <c r="BD699" s="11"/>
      <c r="BE699" s="11"/>
      <c r="BF699" s="11"/>
      <c r="BG699" s="11"/>
      <c r="BH699" s="11"/>
      <c r="BI699" s="11"/>
      <c r="BJ699" s="11"/>
      <c r="BK699" s="11"/>
      <c r="BL699" s="11"/>
      <c r="BM699" s="11"/>
      <c r="BN699" t="s" s="10">
        <v>78</v>
      </c>
      <c r="BO699" s="12"/>
      <c r="BP699" s="8"/>
    </row>
    <row r="700" ht="9" customHeight="1" hidden="1">
      <c r="A700" t="s" s="13">
        <v>2734</v>
      </c>
      <c r="B700" s="14"/>
      <c r="C700" t="str" s="14" cm="1">
        <f t="array" ref="C700">_xlfn.IFERROR((VLOOKUP(A700,#REF!,2,FALSE)),"")</f>
      </c>
      <c r="D700" s="14"/>
      <c r="E700" t="s" s="15">
        <v>2398</v>
      </c>
      <c r="F700" s="14"/>
      <c r="G700" t="s" s="15">
        <v>2735</v>
      </c>
      <c r="H700" t="s" s="15">
        <v>550</v>
      </c>
      <c r="I700" t="s" s="15">
        <v>111</v>
      </c>
      <c r="J700" t="s" s="15">
        <v>322</v>
      </c>
      <c r="K700" t="s" s="15">
        <v>113</v>
      </c>
      <c r="L700" t="s" s="15">
        <v>76</v>
      </c>
      <c r="M700" s="14"/>
      <c r="N700" s="14"/>
      <c r="O700" t="s" s="15">
        <v>322</v>
      </c>
      <c r="P700" s="14"/>
      <c r="Q700" s="14"/>
      <c r="R700" t="s" s="15">
        <v>83</v>
      </c>
      <c r="S700" s="14"/>
      <c r="T700" s="14"/>
      <c r="U700" s="14"/>
      <c r="V700" s="14"/>
      <c r="W700" s="14"/>
      <c r="X700" s="14"/>
      <c r="Y700" s="14"/>
      <c r="Z700" t="s" s="15">
        <v>552</v>
      </c>
      <c r="AA700" s="14"/>
      <c r="AB700" t="s" s="15">
        <v>553</v>
      </c>
      <c r="AC700" s="14"/>
      <c r="AD700" s="14"/>
      <c r="AE700" s="14"/>
      <c r="AF700" s="14"/>
      <c r="AG700" t="s" s="15">
        <v>299</v>
      </c>
      <c r="AH700" t="s" s="15">
        <v>83</v>
      </c>
      <c r="AI700" t="s" s="15">
        <v>83</v>
      </c>
      <c r="AJ700" t="s" s="15">
        <v>83</v>
      </c>
      <c r="AK700" t="s" s="15">
        <v>83</v>
      </c>
      <c r="AL700" t="s" s="15">
        <v>293</v>
      </c>
      <c r="AM700" t="s" s="15">
        <v>294</v>
      </c>
      <c r="AN700" t="s" s="15">
        <v>2704</v>
      </c>
      <c r="AO700" s="14"/>
      <c r="AP700" s="14"/>
      <c r="AQ700" s="14"/>
      <c r="AR700" s="14"/>
      <c r="AS700" t="s" s="15">
        <v>2736</v>
      </c>
      <c r="AT700" s="14"/>
      <c r="AU700" s="14"/>
      <c r="AV700" s="14"/>
      <c r="AW700" s="14"/>
      <c r="AX700" s="14"/>
      <c r="AY700" s="14"/>
      <c r="AZ700" s="14"/>
      <c r="BA700" s="14"/>
      <c r="BB700" s="14"/>
      <c r="BC700" s="14"/>
      <c r="BD700" s="14"/>
      <c r="BE700" s="14"/>
      <c r="BF700" s="14"/>
      <c r="BG700" s="14"/>
      <c r="BH700" s="14"/>
      <c r="BI700" s="14"/>
      <c r="BJ700" s="14"/>
      <c r="BK700" s="14"/>
      <c r="BL700" s="14"/>
      <c r="BM700" s="14"/>
      <c r="BN700" t="s" s="15">
        <v>78</v>
      </c>
      <c r="BO700" s="16"/>
      <c r="BP700" s="8"/>
    </row>
    <row r="701" ht="15" customHeight="1" hidden="1">
      <c r="A701" t="s" s="9">
        <v>2737</v>
      </c>
      <c r="B701" s="11"/>
      <c r="C701" t="str" s="11" cm="1">
        <f t="array" ref="C701">_xlfn.IFERROR((VLOOKUP(A701,#REF!,2,FALSE)),"")</f>
      </c>
      <c r="D701" s="11"/>
      <c r="E701" t="s" s="10">
        <v>2398</v>
      </c>
      <c r="F701" s="11"/>
      <c r="G701" t="s" s="10">
        <v>2738</v>
      </c>
      <c r="H701" t="s" s="10">
        <v>2739</v>
      </c>
      <c r="I701" t="s" s="10">
        <v>111</v>
      </c>
      <c r="J701" t="s" s="10">
        <v>322</v>
      </c>
      <c r="K701" t="s" s="10">
        <v>113</v>
      </c>
      <c r="L701" t="s" s="10">
        <v>76</v>
      </c>
      <c r="M701" s="11"/>
      <c r="N701" s="11"/>
      <c r="O701" t="s" s="10">
        <v>322</v>
      </c>
      <c r="P701" s="11"/>
      <c r="Q701" s="11"/>
      <c r="R701" t="s" s="10">
        <v>83</v>
      </c>
      <c r="S701" s="11"/>
      <c r="T701" s="11"/>
      <c r="U701" s="11"/>
      <c r="V701" s="11"/>
      <c r="W701" s="11"/>
      <c r="X701" s="11"/>
      <c r="Y701" s="11"/>
      <c r="Z701" t="s" s="10">
        <v>76</v>
      </c>
      <c r="AA701" s="11"/>
      <c r="AB701" t="s" s="10">
        <v>76</v>
      </c>
      <c r="AC701" s="11"/>
      <c r="AD701" s="11"/>
      <c r="AE701" s="11"/>
      <c r="AF701" s="11"/>
      <c r="AG701" t="s" s="10">
        <v>299</v>
      </c>
      <c r="AH701" t="s" s="10">
        <v>83</v>
      </c>
      <c r="AI701" t="s" s="10">
        <v>83</v>
      </c>
      <c r="AJ701" t="s" s="10">
        <v>83</v>
      </c>
      <c r="AK701" t="s" s="10">
        <v>83</v>
      </c>
      <c r="AL701" t="s" s="10">
        <v>293</v>
      </c>
      <c r="AM701" t="s" s="10">
        <v>294</v>
      </c>
      <c r="AN701" t="s" s="10">
        <v>2704</v>
      </c>
      <c r="AO701" s="11"/>
      <c r="AP701" s="11"/>
      <c r="AQ701" s="11"/>
      <c r="AR701" s="11"/>
      <c r="AS701" t="s" s="10">
        <v>2434</v>
      </c>
      <c r="AT701" s="11"/>
      <c r="AU701" s="11"/>
      <c r="AV701" s="11"/>
      <c r="AW701" s="11"/>
      <c r="AX701" s="11"/>
      <c r="AY701" s="11"/>
      <c r="AZ701" s="11"/>
      <c r="BA701" s="11"/>
      <c r="BB701" s="11"/>
      <c r="BC701" s="11"/>
      <c r="BD701" s="11"/>
      <c r="BE701" s="11"/>
      <c r="BF701" s="11"/>
      <c r="BG701" s="11"/>
      <c r="BH701" s="11"/>
      <c r="BI701" s="11"/>
      <c r="BJ701" s="11"/>
      <c r="BK701" s="11"/>
      <c r="BL701" s="11"/>
      <c r="BM701" s="11"/>
      <c r="BN701" t="s" s="10">
        <v>78</v>
      </c>
      <c r="BO701" s="12"/>
      <c r="BP701" s="8"/>
    </row>
    <row r="702" ht="9" customHeight="1" hidden="1">
      <c r="A702" t="s" s="13">
        <v>2740</v>
      </c>
      <c r="B702" s="14"/>
      <c r="C702" t="str" s="14" cm="1">
        <f t="array" ref="C702">_xlfn.IFERROR((VLOOKUP(A702,#REF!,2,FALSE)),"")</f>
      </c>
      <c r="D702" s="14"/>
      <c r="E702" t="s" s="15">
        <v>2398</v>
      </c>
      <c r="F702" s="14"/>
      <c r="G702" t="s" s="15">
        <v>2741</v>
      </c>
      <c r="H702" t="s" s="15">
        <v>2622</v>
      </c>
      <c r="I702" t="s" s="15">
        <v>111</v>
      </c>
      <c r="J702" t="s" s="15">
        <v>322</v>
      </c>
      <c r="K702" t="s" s="15">
        <v>113</v>
      </c>
      <c r="L702" t="s" s="15">
        <v>518</v>
      </c>
      <c r="M702" s="14"/>
      <c r="N702" s="14"/>
      <c r="O702" t="s" s="15">
        <v>322</v>
      </c>
      <c r="P702" s="14"/>
      <c r="Q702" s="14"/>
      <c r="R702" t="s" s="15">
        <v>83</v>
      </c>
      <c r="S702" s="14"/>
      <c r="T702" s="14"/>
      <c r="U702" s="14"/>
      <c r="V702" s="14"/>
      <c r="W702" s="14"/>
      <c r="X702" s="14"/>
      <c r="Y702" s="14"/>
      <c r="Z702" t="s" s="15">
        <v>1170</v>
      </c>
      <c r="AA702" s="14"/>
      <c r="AB702" t="s" s="15">
        <v>1171</v>
      </c>
      <c r="AC702" s="14"/>
      <c r="AD702" s="14"/>
      <c r="AE702" s="14"/>
      <c r="AF702" s="14"/>
      <c r="AG702" t="s" s="15">
        <v>299</v>
      </c>
      <c r="AH702" t="s" s="15">
        <v>83</v>
      </c>
      <c r="AI702" t="s" s="15">
        <v>83</v>
      </c>
      <c r="AJ702" t="s" s="15">
        <v>83</v>
      </c>
      <c r="AK702" t="s" s="15">
        <v>83</v>
      </c>
      <c r="AL702" t="s" s="15">
        <v>293</v>
      </c>
      <c r="AM702" t="s" s="15">
        <v>294</v>
      </c>
      <c r="AN702" t="s" s="15">
        <v>2704</v>
      </c>
      <c r="AO702" s="14"/>
      <c r="AP702" s="14"/>
      <c r="AQ702" s="14"/>
      <c r="AR702" s="14"/>
      <c r="AS702" t="s" s="15">
        <v>2655</v>
      </c>
      <c r="AT702" s="14"/>
      <c r="AU702" s="14"/>
      <c r="AV702" s="14"/>
      <c r="AW702" s="14"/>
      <c r="AX702" s="14"/>
      <c r="AY702" s="14"/>
      <c r="AZ702" s="14"/>
      <c r="BA702" s="14"/>
      <c r="BB702" s="14"/>
      <c r="BC702" s="14"/>
      <c r="BD702" s="14"/>
      <c r="BE702" s="14"/>
      <c r="BF702" s="14"/>
      <c r="BG702" s="14"/>
      <c r="BH702" s="14"/>
      <c r="BI702" s="14"/>
      <c r="BJ702" s="14"/>
      <c r="BK702" s="14"/>
      <c r="BL702" s="14"/>
      <c r="BM702" s="14"/>
      <c r="BN702" t="s" s="15">
        <v>78</v>
      </c>
      <c r="BO702" s="16"/>
      <c r="BP702" s="8"/>
    </row>
    <row r="703" ht="9" customHeight="1" hidden="1">
      <c r="A703" t="s" s="9">
        <v>2742</v>
      </c>
      <c r="B703" s="11"/>
      <c r="C703" t="str" s="11" cm="1">
        <f t="array" ref="C703">_xlfn.IFERROR((VLOOKUP(A703,#REF!,2,FALSE)),"")</f>
      </c>
      <c r="D703" s="11"/>
      <c r="E703" t="s" s="10">
        <v>2743</v>
      </c>
      <c r="F703" s="11"/>
      <c r="G703" t="s" s="10">
        <v>2695</v>
      </c>
      <c r="H703" t="s" s="10">
        <v>524</v>
      </c>
      <c r="I703" t="s" s="10">
        <v>111</v>
      </c>
      <c r="J703" t="s" s="10">
        <v>322</v>
      </c>
      <c r="K703" t="s" s="10">
        <v>113</v>
      </c>
      <c r="L703" t="s" s="10">
        <v>518</v>
      </c>
      <c r="M703" s="11"/>
      <c r="N703" s="11"/>
      <c r="O703" t="s" s="10">
        <v>322</v>
      </c>
      <c r="P703" s="11"/>
      <c r="Q703" s="11"/>
      <c r="R703" t="s" s="10">
        <v>83</v>
      </c>
      <c r="S703" s="11"/>
      <c r="T703" s="11"/>
      <c r="U703" s="11"/>
      <c r="V703" s="11"/>
      <c r="W703" s="11"/>
      <c r="X703" s="11"/>
      <c r="Y703" s="11"/>
      <c r="Z703" t="s" s="10">
        <v>552</v>
      </c>
      <c r="AA703" s="11"/>
      <c r="AB703" t="s" s="10">
        <v>1551</v>
      </c>
      <c r="AC703" s="11"/>
      <c r="AD703" s="11"/>
      <c r="AE703" s="11"/>
      <c r="AF703" s="11"/>
      <c r="AG703" t="s" s="10">
        <v>299</v>
      </c>
      <c r="AH703" t="s" s="10">
        <v>83</v>
      </c>
      <c r="AI703" t="s" s="10">
        <v>83</v>
      </c>
      <c r="AJ703" t="s" s="10">
        <v>83</v>
      </c>
      <c r="AK703" t="s" s="10">
        <v>83</v>
      </c>
      <c r="AL703" t="s" s="10">
        <v>293</v>
      </c>
      <c r="AM703" t="s" s="10">
        <v>294</v>
      </c>
      <c r="AN703" t="s" s="10">
        <v>2704</v>
      </c>
      <c r="AO703" s="11"/>
      <c r="AP703" s="11"/>
      <c r="AQ703" s="11"/>
      <c r="AR703" s="11"/>
      <c r="AS703" t="s" s="10">
        <v>2696</v>
      </c>
      <c r="AT703" s="11"/>
      <c r="AU703" s="11"/>
      <c r="AV703" s="11"/>
      <c r="AW703" s="11"/>
      <c r="AX703" s="11"/>
      <c r="AY703" s="11"/>
      <c r="AZ703" s="11"/>
      <c r="BA703" s="11"/>
      <c r="BB703" s="11"/>
      <c r="BC703" s="11"/>
      <c r="BD703" s="11"/>
      <c r="BE703" s="11"/>
      <c r="BF703" s="11"/>
      <c r="BG703" s="11"/>
      <c r="BH703" s="11"/>
      <c r="BI703" s="11"/>
      <c r="BJ703" s="11"/>
      <c r="BK703" s="11"/>
      <c r="BL703" s="11"/>
      <c r="BM703" s="11"/>
      <c r="BN703" t="s" s="10">
        <v>78</v>
      </c>
      <c r="BO703" s="12"/>
      <c r="BP703" s="8"/>
    </row>
    <row r="704" ht="15" customHeight="1" hidden="1">
      <c r="A704" t="s" s="13">
        <v>2744</v>
      </c>
      <c r="B704" s="14"/>
      <c r="C704" t="str" s="14" cm="1">
        <f t="array" ref="C704">_xlfn.IFERROR((VLOOKUP(A704,#REF!,2,FALSE)),"")</f>
      </c>
      <c r="D704" s="14"/>
      <c r="E704" t="s" s="15">
        <v>2398</v>
      </c>
      <c r="F704" s="14"/>
      <c r="G704" t="s" s="15">
        <v>2745</v>
      </c>
      <c r="H704" t="s" s="15">
        <v>550</v>
      </c>
      <c r="I704" t="s" s="15">
        <v>111</v>
      </c>
      <c r="J704" t="s" s="15">
        <v>322</v>
      </c>
      <c r="K704" t="s" s="15">
        <v>113</v>
      </c>
      <c r="L704" t="s" s="15">
        <v>76</v>
      </c>
      <c r="M704" s="14"/>
      <c r="N704" s="14"/>
      <c r="O704" t="s" s="15">
        <v>322</v>
      </c>
      <c r="P704" s="14"/>
      <c r="Q704" s="14"/>
      <c r="R704" t="s" s="15">
        <v>83</v>
      </c>
      <c r="S704" s="14"/>
      <c r="T704" s="14"/>
      <c r="U704" s="14"/>
      <c r="V704" s="14"/>
      <c r="W704" s="14"/>
      <c r="X704" s="14"/>
      <c r="Y704" s="14"/>
      <c r="Z704" t="s" s="15">
        <v>552</v>
      </c>
      <c r="AA704" s="14"/>
      <c r="AB704" t="s" s="15">
        <v>553</v>
      </c>
      <c r="AC704" s="14"/>
      <c r="AD704" s="14"/>
      <c r="AE704" s="14"/>
      <c r="AF704" s="14"/>
      <c r="AG704" t="s" s="15">
        <v>299</v>
      </c>
      <c r="AH704" t="s" s="15">
        <v>83</v>
      </c>
      <c r="AI704" t="s" s="15">
        <v>83</v>
      </c>
      <c r="AJ704" t="s" s="15">
        <v>83</v>
      </c>
      <c r="AK704" t="s" s="15">
        <v>83</v>
      </c>
      <c r="AL704" t="s" s="15">
        <v>293</v>
      </c>
      <c r="AM704" t="s" s="15">
        <v>294</v>
      </c>
      <c r="AN704" t="s" s="15">
        <v>2704</v>
      </c>
      <c r="AO704" s="14"/>
      <c r="AP704" s="14"/>
      <c r="AQ704" s="14"/>
      <c r="AR704" s="14"/>
      <c r="AS704" t="s" s="15">
        <v>2650</v>
      </c>
      <c r="AT704" s="14"/>
      <c r="AU704" s="14"/>
      <c r="AV704" s="14"/>
      <c r="AW704" s="14"/>
      <c r="AX704" s="14"/>
      <c r="AY704" s="14"/>
      <c r="AZ704" s="14"/>
      <c r="BA704" s="14"/>
      <c r="BB704" s="14"/>
      <c r="BC704" s="14"/>
      <c r="BD704" s="14"/>
      <c r="BE704" s="14"/>
      <c r="BF704" s="14"/>
      <c r="BG704" s="14"/>
      <c r="BH704" s="14"/>
      <c r="BI704" s="14"/>
      <c r="BJ704" s="14"/>
      <c r="BK704" s="14"/>
      <c r="BL704" s="14"/>
      <c r="BM704" s="14"/>
      <c r="BN704" t="s" s="15">
        <v>78</v>
      </c>
      <c r="BO704" s="16"/>
      <c r="BP704" s="8"/>
    </row>
    <row r="705" ht="9" customHeight="1" hidden="1">
      <c r="A705" t="s" s="9">
        <v>2746</v>
      </c>
      <c r="B705" s="11"/>
      <c r="C705" t="str" s="11" cm="1">
        <f t="array" ref="C705">_xlfn.IFERROR((VLOOKUP(A705,#REF!,2,FALSE)),"")</f>
      </c>
      <c r="D705" s="11"/>
      <c r="E705" t="s" s="10">
        <v>2747</v>
      </c>
      <c r="F705" s="11"/>
      <c r="G705" t="s" s="10">
        <v>2748</v>
      </c>
      <c r="H705" t="s" s="10">
        <v>329</v>
      </c>
      <c r="I705" t="s" s="10">
        <v>111</v>
      </c>
      <c r="J705" t="s" s="10">
        <v>469</v>
      </c>
      <c r="K705" s="11"/>
      <c r="L705" t="s" s="10">
        <v>83</v>
      </c>
      <c r="M705" s="11"/>
      <c r="N705" s="11"/>
      <c r="O705" s="11"/>
      <c r="P705" s="11"/>
      <c r="Q705" s="11"/>
      <c r="R705" t="s" s="10">
        <v>83</v>
      </c>
      <c r="S705" s="11"/>
      <c r="T705" s="11"/>
      <c r="U705" s="11"/>
      <c r="V705" s="11"/>
      <c r="W705" s="11"/>
      <c r="X705" s="11"/>
      <c r="Y705" s="11"/>
      <c r="Z705" t="s" s="10">
        <v>83</v>
      </c>
      <c r="AA705" s="11"/>
      <c r="AB705" t="s" s="10">
        <v>83</v>
      </c>
      <c r="AC705" s="11"/>
      <c r="AD705" s="11"/>
      <c r="AE705" s="11"/>
      <c r="AF705" s="11"/>
      <c r="AG705" t="s" s="10">
        <v>299</v>
      </c>
      <c r="AH705" t="s" s="10">
        <v>83</v>
      </c>
      <c r="AI705" t="s" s="10">
        <v>83</v>
      </c>
      <c r="AJ705" t="s" s="10">
        <v>83</v>
      </c>
      <c r="AK705" t="s" s="10">
        <v>83</v>
      </c>
      <c r="AL705" t="s" s="10">
        <v>293</v>
      </c>
      <c r="AM705" t="s" s="10">
        <v>294</v>
      </c>
      <c r="AN705" s="11"/>
      <c r="AO705" s="11"/>
      <c r="AP705" s="11"/>
      <c r="AQ705" s="11"/>
      <c r="AR705" s="11"/>
      <c r="AS705" t="s" s="10">
        <v>83</v>
      </c>
      <c r="AT705" s="11"/>
      <c r="AU705" s="11"/>
      <c r="AV705" s="11"/>
      <c r="AW705" s="11"/>
      <c r="AX705" s="11"/>
      <c r="AY705" s="11"/>
      <c r="AZ705" s="11"/>
      <c r="BA705" s="11"/>
      <c r="BB705" s="11"/>
      <c r="BC705" s="11"/>
      <c r="BD705" s="11"/>
      <c r="BE705" s="11"/>
      <c r="BF705" s="11"/>
      <c r="BG705" s="11"/>
      <c r="BH705" s="11"/>
      <c r="BI705" s="11"/>
      <c r="BJ705" s="11"/>
      <c r="BK705" s="11"/>
      <c r="BL705" s="11"/>
      <c r="BM705" s="11"/>
      <c r="BN705" t="s" s="10">
        <v>69</v>
      </c>
      <c r="BO705" s="12"/>
      <c r="BP705" s="8"/>
    </row>
    <row r="706" ht="15" customHeight="1" hidden="1">
      <c r="A706" t="s" s="13">
        <v>2749</v>
      </c>
      <c r="B706" s="14"/>
      <c r="C706" t="str" s="14" cm="1">
        <f t="array" ref="C706">_xlfn.IFERROR((VLOOKUP(A706,#REF!,2,FALSE)),"")</f>
      </c>
      <c r="D706" s="14"/>
      <c r="E706" t="s" s="15">
        <v>2747</v>
      </c>
      <c r="F706" s="14"/>
      <c r="G706" t="s" s="15">
        <v>2750</v>
      </c>
      <c r="H706" t="s" s="15">
        <v>329</v>
      </c>
      <c r="I706" t="s" s="15">
        <v>111</v>
      </c>
      <c r="J706" t="s" s="15">
        <v>469</v>
      </c>
      <c r="K706" t="s" s="15">
        <v>113</v>
      </c>
      <c r="L706" t="s" s="15">
        <v>76</v>
      </c>
      <c r="M706" s="14"/>
      <c r="N706" s="14"/>
      <c r="O706" s="14"/>
      <c r="P706" s="14"/>
      <c r="Q706" s="14"/>
      <c r="R706" t="s" s="15">
        <v>83</v>
      </c>
      <c r="S706" s="14"/>
      <c r="T706" s="14"/>
      <c r="U706" s="14"/>
      <c r="V706" s="14"/>
      <c r="W706" s="14"/>
      <c r="X706" s="14"/>
      <c r="Y706" s="14"/>
      <c r="Z706" t="s" s="15">
        <v>205</v>
      </c>
      <c r="AA706" s="14"/>
      <c r="AB706" t="s" s="15">
        <v>330</v>
      </c>
      <c r="AC706" s="14"/>
      <c r="AD706" s="14"/>
      <c r="AE706" s="14"/>
      <c r="AF706" s="14"/>
      <c r="AG706" t="s" s="15">
        <v>299</v>
      </c>
      <c r="AH706" t="s" s="15">
        <v>83</v>
      </c>
      <c r="AI706" t="s" s="15">
        <v>83</v>
      </c>
      <c r="AJ706" t="s" s="15">
        <v>83</v>
      </c>
      <c r="AK706" t="s" s="15">
        <v>83</v>
      </c>
      <c r="AL706" t="s" s="15">
        <v>293</v>
      </c>
      <c r="AM706" t="s" s="15">
        <v>294</v>
      </c>
      <c r="AN706" s="14"/>
      <c r="AO706" s="14"/>
      <c r="AP706" s="14"/>
      <c r="AQ706" s="14"/>
      <c r="AR706" s="14"/>
      <c r="AS706" t="s" s="15">
        <v>1461</v>
      </c>
      <c r="AT706" s="14"/>
      <c r="AU706" s="14"/>
      <c r="AV706" s="14"/>
      <c r="AW706" s="14"/>
      <c r="AX706" s="14"/>
      <c r="AY706" s="14"/>
      <c r="AZ706" s="14"/>
      <c r="BA706" s="14"/>
      <c r="BB706" s="14"/>
      <c r="BC706" s="14"/>
      <c r="BD706" s="14"/>
      <c r="BE706" s="14"/>
      <c r="BF706" s="14"/>
      <c r="BG706" s="14"/>
      <c r="BH706" s="14"/>
      <c r="BI706" s="14"/>
      <c r="BJ706" s="14"/>
      <c r="BK706" s="14"/>
      <c r="BL706" s="14"/>
      <c r="BM706" s="14"/>
      <c r="BN706" t="s" s="15">
        <v>69</v>
      </c>
      <c r="BO706" s="16"/>
      <c r="BP706" s="8"/>
    </row>
    <row r="707" ht="9" customHeight="1" hidden="1">
      <c r="A707" t="s" s="9">
        <v>2751</v>
      </c>
      <c r="B707" s="11"/>
      <c r="C707" t="str" s="11" cm="1">
        <f t="array" ref="C707">_xlfn.IFERROR((VLOOKUP(A707,#REF!,2,FALSE)),"")</f>
      </c>
      <c r="D707" s="11"/>
      <c r="E707" t="s" s="10">
        <v>2398</v>
      </c>
      <c r="F707" s="11"/>
      <c r="G707" t="s" s="10">
        <v>2752</v>
      </c>
      <c r="H707" t="s" s="10">
        <v>2753</v>
      </c>
      <c r="I707" t="s" s="10">
        <v>111</v>
      </c>
      <c r="J707" t="s" s="10">
        <v>122</v>
      </c>
      <c r="K707" t="s" s="10">
        <v>351</v>
      </c>
      <c r="L707" t="s" s="10">
        <v>76</v>
      </c>
      <c r="M707" s="11"/>
      <c r="N707" s="11"/>
      <c r="O707" t="s" s="10">
        <v>286</v>
      </c>
      <c r="P707" s="11"/>
      <c r="Q707" s="11"/>
      <c r="R707" t="s" s="10">
        <v>83</v>
      </c>
      <c r="S707" s="11"/>
      <c r="T707" s="11"/>
      <c r="U707" s="11"/>
      <c r="V707" s="11"/>
      <c r="W707" s="11"/>
      <c r="X707" s="11"/>
      <c r="Y707" s="11"/>
      <c r="Z707" t="s" s="10">
        <v>76</v>
      </c>
      <c r="AA707" s="11"/>
      <c r="AB707" t="s" s="10">
        <v>76</v>
      </c>
      <c r="AC707" s="11"/>
      <c r="AD707" s="11"/>
      <c r="AE707" s="11"/>
      <c r="AF707" s="11"/>
      <c r="AG707" t="s" s="10">
        <v>299</v>
      </c>
      <c r="AH707" t="s" s="10">
        <v>83</v>
      </c>
      <c r="AI707" t="s" s="10">
        <v>83</v>
      </c>
      <c r="AJ707" t="s" s="10">
        <v>83</v>
      </c>
      <c r="AK707" t="s" s="10">
        <v>83</v>
      </c>
      <c r="AL707" t="s" s="10">
        <v>293</v>
      </c>
      <c r="AM707" t="s" s="10">
        <v>294</v>
      </c>
      <c r="AN707" t="s" s="10">
        <v>2704</v>
      </c>
      <c r="AO707" s="11"/>
      <c r="AP707" s="11"/>
      <c r="AQ707" s="11"/>
      <c r="AR707" s="11"/>
      <c r="AS707" t="s" s="10">
        <v>2754</v>
      </c>
      <c r="AT707" s="11"/>
      <c r="AU707" s="11"/>
      <c r="AV707" s="11"/>
      <c r="AW707" s="11"/>
      <c r="AX707" s="11"/>
      <c r="AY707" s="11"/>
      <c r="AZ707" s="11"/>
      <c r="BA707" s="11"/>
      <c r="BB707" s="11"/>
      <c r="BC707" s="11"/>
      <c r="BD707" s="11"/>
      <c r="BE707" s="11"/>
      <c r="BF707" s="11"/>
      <c r="BG707" s="11"/>
      <c r="BH707" s="11"/>
      <c r="BI707" s="11"/>
      <c r="BJ707" s="11"/>
      <c r="BK707" s="11"/>
      <c r="BL707" s="11"/>
      <c r="BM707" s="11"/>
      <c r="BN707" t="s" s="10">
        <v>78</v>
      </c>
      <c r="BO707" s="12"/>
      <c r="BP707" s="8"/>
    </row>
    <row r="708" ht="9" customHeight="1" hidden="1">
      <c r="A708" t="s" s="13">
        <v>2755</v>
      </c>
      <c r="B708" s="14"/>
      <c r="C708" t="str" s="14" cm="1">
        <f t="array" ref="C708">_xlfn.IFERROR((VLOOKUP(A708,#REF!,2,FALSE)),"")</f>
      </c>
      <c r="D708" s="14"/>
      <c r="E708" t="s" s="15">
        <v>2398</v>
      </c>
      <c r="F708" s="14"/>
      <c r="G708" t="s" s="15">
        <v>2756</v>
      </c>
      <c r="H708" t="s" s="15">
        <v>2753</v>
      </c>
      <c r="I708" t="s" s="15">
        <v>111</v>
      </c>
      <c r="J708" t="s" s="15">
        <v>122</v>
      </c>
      <c r="K708" t="s" s="15">
        <v>351</v>
      </c>
      <c r="L708" t="s" s="15">
        <v>76</v>
      </c>
      <c r="M708" s="14"/>
      <c r="N708" s="14"/>
      <c r="O708" t="s" s="15">
        <v>286</v>
      </c>
      <c r="P708" s="14"/>
      <c r="Q708" s="14"/>
      <c r="R708" t="s" s="15">
        <v>83</v>
      </c>
      <c r="S708" s="14"/>
      <c r="T708" s="14"/>
      <c r="U708" s="14"/>
      <c r="V708" s="14"/>
      <c r="W708" s="14"/>
      <c r="X708" s="14"/>
      <c r="Y708" s="14"/>
      <c r="Z708" t="s" s="15">
        <v>76</v>
      </c>
      <c r="AA708" s="14"/>
      <c r="AB708" t="s" s="15">
        <v>76</v>
      </c>
      <c r="AC708" s="14"/>
      <c r="AD708" s="14"/>
      <c r="AE708" s="14"/>
      <c r="AF708" s="14"/>
      <c r="AG708" t="s" s="15">
        <v>299</v>
      </c>
      <c r="AH708" t="s" s="15">
        <v>83</v>
      </c>
      <c r="AI708" t="s" s="15">
        <v>83</v>
      </c>
      <c r="AJ708" t="s" s="15">
        <v>83</v>
      </c>
      <c r="AK708" t="s" s="15">
        <v>83</v>
      </c>
      <c r="AL708" t="s" s="15">
        <v>293</v>
      </c>
      <c r="AM708" t="s" s="15">
        <v>294</v>
      </c>
      <c r="AN708" t="s" s="15">
        <v>2704</v>
      </c>
      <c r="AO708" s="14"/>
      <c r="AP708" s="14"/>
      <c r="AQ708" s="14"/>
      <c r="AR708" s="14"/>
      <c r="AS708" t="s" s="15">
        <v>2757</v>
      </c>
      <c r="AT708" s="14"/>
      <c r="AU708" s="14"/>
      <c r="AV708" s="14"/>
      <c r="AW708" s="14"/>
      <c r="AX708" s="14"/>
      <c r="AY708" s="14"/>
      <c r="AZ708" s="14"/>
      <c r="BA708" s="14"/>
      <c r="BB708" s="14"/>
      <c r="BC708" s="14"/>
      <c r="BD708" s="14"/>
      <c r="BE708" s="14"/>
      <c r="BF708" s="14"/>
      <c r="BG708" s="14"/>
      <c r="BH708" s="14"/>
      <c r="BI708" s="14"/>
      <c r="BJ708" s="14"/>
      <c r="BK708" s="14"/>
      <c r="BL708" s="14"/>
      <c r="BM708" s="14"/>
      <c r="BN708" t="s" s="15">
        <v>78</v>
      </c>
      <c r="BO708" s="16"/>
      <c r="BP708" s="8"/>
    </row>
    <row r="709" ht="9" customHeight="1" hidden="1">
      <c r="A709" t="s" s="9">
        <v>2758</v>
      </c>
      <c r="B709" s="11"/>
      <c r="C709" t="str" s="11" cm="1">
        <f t="array" ref="C709">_xlfn.IFERROR((VLOOKUP(A709,#REF!,2,FALSE)),"")</f>
      </c>
      <c r="D709" s="11"/>
      <c r="E709" t="s" s="10">
        <v>2398</v>
      </c>
      <c r="F709" s="11"/>
      <c r="G709" t="s" s="10">
        <v>2759</v>
      </c>
      <c r="H709" t="s" s="10">
        <v>921</v>
      </c>
      <c r="I709" t="s" s="10">
        <v>111</v>
      </c>
      <c r="J709" t="s" s="10">
        <v>517</v>
      </c>
      <c r="K709" t="s" s="10">
        <v>113</v>
      </c>
      <c r="L709" t="s" s="10">
        <v>76</v>
      </c>
      <c r="M709" s="11"/>
      <c r="N709" s="11"/>
      <c r="O709" t="s" s="10">
        <v>517</v>
      </c>
      <c r="P709" s="11"/>
      <c r="Q709" s="11"/>
      <c r="R709" t="s" s="10">
        <v>83</v>
      </c>
      <c r="S709" s="11"/>
      <c r="T709" s="11"/>
      <c r="U709" s="11"/>
      <c r="V709" s="11"/>
      <c r="W709" s="11"/>
      <c r="X709" s="11"/>
      <c r="Y709" s="11"/>
      <c r="Z709" t="s" s="10">
        <v>76</v>
      </c>
      <c r="AA709" s="11"/>
      <c r="AB709" t="s" s="10">
        <v>76</v>
      </c>
      <c r="AC709" s="11"/>
      <c r="AD709" s="11"/>
      <c r="AE709" s="11"/>
      <c r="AF709" s="11"/>
      <c r="AG709" t="s" s="10">
        <v>299</v>
      </c>
      <c r="AH709" t="s" s="10">
        <v>83</v>
      </c>
      <c r="AI709" t="s" s="10">
        <v>83</v>
      </c>
      <c r="AJ709" t="s" s="10">
        <v>83</v>
      </c>
      <c r="AK709" t="s" s="10">
        <v>83</v>
      </c>
      <c r="AL709" t="s" s="10">
        <v>293</v>
      </c>
      <c r="AM709" t="s" s="10">
        <v>294</v>
      </c>
      <c r="AN709" t="s" s="10">
        <v>2704</v>
      </c>
      <c r="AO709" s="11"/>
      <c r="AP709" s="11"/>
      <c r="AQ709" s="11"/>
      <c r="AR709" s="11"/>
      <c r="AS709" t="s" s="10">
        <v>2760</v>
      </c>
      <c r="AT709" t="s" s="10">
        <v>301</v>
      </c>
      <c r="AU709" t="s" s="10">
        <v>924</v>
      </c>
      <c r="AV709" s="11"/>
      <c r="AW709" s="11"/>
      <c r="AX709" s="11"/>
      <c r="AY709" s="11"/>
      <c r="AZ709" s="11"/>
      <c r="BA709" s="11"/>
      <c r="BB709" s="11"/>
      <c r="BC709" s="11"/>
      <c r="BD709" s="11"/>
      <c r="BE709" s="11"/>
      <c r="BF709" s="11"/>
      <c r="BG709" s="11"/>
      <c r="BH709" s="11"/>
      <c r="BI709" s="11"/>
      <c r="BJ709" s="11"/>
      <c r="BK709" s="11"/>
      <c r="BL709" s="11"/>
      <c r="BM709" s="11"/>
      <c r="BN709" t="s" s="10">
        <v>78</v>
      </c>
      <c r="BO709" s="12"/>
      <c r="BP709" s="8"/>
    </row>
    <row r="710" ht="9" customHeight="1" hidden="1">
      <c r="A710" t="s" s="13">
        <v>2761</v>
      </c>
      <c r="B710" s="14"/>
      <c r="C710" t="str" s="14" cm="1">
        <f t="array" ref="C710">_xlfn.IFERROR((VLOOKUP(A710,#REF!,2,FALSE)),"")</f>
      </c>
      <c r="D710" s="14"/>
      <c r="E710" t="s" s="15">
        <v>2398</v>
      </c>
      <c r="F710" s="14"/>
      <c r="G710" t="s" s="15">
        <v>2762</v>
      </c>
      <c r="H710" t="s" s="15">
        <v>921</v>
      </c>
      <c r="I710" t="s" s="15">
        <v>111</v>
      </c>
      <c r="J710" t="s" s="15">
        <v>322</v>
      </c>
      <c r="K710" t="s" s="15">
        <v>113</v>
      </c>
      <c r="L710" t="s" s="15">
        <v>76</v>
      </c>
      <c r="M710" s="14"/>
      <c r="N710" s="14"/>
      <c r="O710" t="s" s="15">
        <v>322</v>
      </c>
      <c r="P710" s="14"/>
      <c r="Q710" s="14"/>
      <c r="R710" t="s" s="15">
        <v>83</v>
      </c>
      <c r="S710" s="14"/>
      <c r="T710" s="14"/>
      <c r="U710" s="14"/>
      <c r="V710" s="14"/>
      <c r="W710" s="14"/>
      <c r="X710" s="14"/>
      <c r="Y710" s="14"/>
      <c r="Z710" t="s" s="15">
        <v>76</v>
      </c>
      <c r="AA710" s="14"/>
      <c r="AB710" t="s" s="15">
        <v>76</v>
      </c>
      <c r="AC710" s="14"/>
      <c r="AD710" s="14"/>
      <c r="AE710" s="14"/>
      <c r="AF710" s="14"/>
      <c r="AG710" t="s" s="15">
        <v>299</v>
      </c>
      <c r="AH710" t="s" s="15">
        <v>83</v>
      </c>
      <c r="AI710" t="s" s="15">
        <v>83</v>
      </c>
      <c r="AJ710" t="s" s="15">
        <v>83</v>
      </c>
      <c r="AK710" t="s" s="15">
        <v>83</v>
      </c>
      <c r="AL710" t="s" s="15">
        <v>293</v>
      </c>
      <c r="AM710" t="s" s="15">
        <v>294</v>
      </c>
      <c r="AN710" t="s" s="15">
        <v>2704</v>
      </c>
      <c r="AO710" s="14"/>
      <c r="AP710" s="14"/>
      <c r="AQ710" s="14"/>
      <c r="AR710" s="14"/>
      <c r="AS710" t="s" s="15">
        <v>2763</v>
      </c>
      <c r="AT710" t="s" s="15">
        <v>301</v>
      </c>
      <c r="AU710" t="s" s="15">
        <v>924</v>
      </c>
      <c r="AV710" s="14"/>
      <c r="AW710" s="14"/>
      <c r="AX710" s="14"/>
      <c r="AY710" s="14"/>
      <c r="AZ710" s="14"/>
      <c r="BA710" s="14"/>
      <c r="BB710" s="14"/>
      <c r="BC710" s="14"/>
      <c r="BD710" s="14"/>
      <c r="BE710" s="14"/>
      <c r="BF710" s="14"/>
      <c r="BG710" s="14"/>
      <c r="BH710" s="14"/>
      <c r="BI710" s="14"/>
      <c r="BJ710" s="14"/>
      <c r="BK710" s="14"/>
      <c r="BL710" s="14"/>
      <c r="BM710" s="14"/>
      <c r="BN710" t="s" s="15">
        <v>78</v>
      </c>
      <c r="BO710" s="16"/>
      <c r="BP710" s="8"/>
    </row>
    <row r="711" ht="15" customHeight="1" hidden="1">
      <c r="A711" t="s" s="9">
        <v>2764</v>
      </c>
      <c r="B711" s="11"/>
      <c r="C711" t="str" s="11" cm="1">
        <f t="array" ref="C711">_xlfn.IFERROR((VLOOKUP(A711,#REF!,2,FALSE)),"")</f>
      </c>
      <c r="D711" s="11"/>
      <c r="E711" t="s" s="10">
        <v>2398</v>
      </c>
      <c r="F711" s="11"/>
      <c r="G711" t="s" s="10">
        <v>2765</v>
      </c>
      <c r="H711" t="s" s="10">
        <v>2766</v>
      </c>
      <c r="I711" t="s" s="10">
        <v>111</v>
      </c>
      <c r="J711" t="s" s="10">
        <v>469</v>
      </c>
      <c r="K711" t="s" s="10">
        <v>351</v>
      </c>
      <c r="L711" t="s" s="10">
        <v>76</v>
      </c>
      <c r="M711" s="11"/>
      <c r="N711" s="11"/>
      <c r="O711" t="s" s="10">
        <v>469</v>
      </c>
      <c r="P711" s="11"/>
      <c r="Q711" s="11"/>
      <c r="R711" t="s" s="10">
        <v>83</v>
      </c>
      <c r="S711" s="11"/>
      <c r="T711" s="11"/>
      <c r="U711" s="11"/>
      <c r="V711" s="11"/>
      <c r="W711" s="11"/>
      <c r="X711" s="11"/>
      <c r="Y711" s="11"/>
      <c r="Z711" t="s" s="10">
        <v>76</v>
      </c>
      <c r="AA711" s="11"/>
      <c r="AB711" t="s" s="10">
        <v>76</v>
      </c>
      <c r="AC711" s="11"/>
      <c r="AD711" s="11"/>
      <c r="AE711" s="11"/>
      <c r="AF711" s="11"/>
      <c r="AG711" t="s" s="10">
        <v>299</v>
      </c>
      <c r="AH711" t="s" s="10">
        <v>83</v>
      </c>
      <c r="AI711" t="s" s="10">
        <v>83</v>
      </c>
      <c r="AJ711" t="s" s="10">
        <v>83</v>
      </c>
      <c r="AK711" t="s" s="10">
        <v>83</v>
      </c>
      <c r="AL711" t="s" s="10">
        <v>293</v>
      </c>
      <c r="AM711" t="s" s="10">
        <v>294</v>
      </c>
      <c r="AN711" t="s" s="10">
        <v>2704</v>
      </c>
      <c r="AO711" s="11"/>
      <c r="AP711" s="11"/>
      <c r="AQ711" s="11"/>
      <c r="AR711" s="11"/>
      <c r="AS711" t="s" s="10">
        <v>2767</v>
      </c>
      <c r="AT711" s="11"/>
      <c r="AU711" s="11"/>
      <c r="AV711" s="11"/>
      <c r="AW711" s="11"/>
      <c r="AX711" s="11"/>
      <c r="AY711" s="11"/>
      <c r="AZ711" s="11"/>
      <c r="BA711" s="11"/>
      <c r="BB711" s="11"/>
      <c r="BC711" s="11"/>
      <c r="BD711" s="11"/>
      <c r="BE711" s="11"/>
      <c r="BF711" s="11"/>
      <c r="BG711" s="11"/>
      <c r="BH711" s="11"/>
      <c r="BI711" s="11"/>
      <c r="BJ711" s="11"/>
      <c r="BK711" s="11"/>
      <c r="BL711" s="11"/>
      <c r="BM711" s="11"/>
      <c r="BN711" t="s" s="10">
        <v>69</v>
      </c>
      <c r="BO711" s="12"/>
      <c r="BP711" s="8"/>
    </row>
    <row r="712" ht="9" customHeight="1" hidden="1">
      <c r="A712" t="s" s="13">
        <v>2768</v>
      </c>
      <c r="B712" s="14"/>
      <c r="C712" t="str" s="14" cm="1">
        <f t="array" ref="C712">_xlfn.IFERROR((VLOOKUP(A712,#REF!,2,FALSE)),"")</f>
      </c>
      <c r="D712" s="14"/>
      <c r="E712" t="s" s="15">
        <v>2769</v>
      </c>
      <c r="F712" s="14"/>
      <c r="G712" t="s" s="15">
        <v>83</v>
      </c>
      <c r="H712" t="s" s="15">
        <v>83</v>
      </c>
      <c r="I712" t="s" s="15">
        <v>82</v>
      </c>
      <c r="J712" t="s" s="15">
        <v>82</v>
      </c>
      <c r="K712" s="14"/>
      <c r="L712" t="s" s="15">
        <v>83</v>
      </c>
      <c r="M712" s="14"/>
      <c r="N712" s="14"/>
      <c r="O712" t="s" s="15">
        <v>322</v>
      </c>
      <c r="P712" s="14"/>
      <c r="Q712" s="14"/>
      <c r="R712" t="s" s="15">
        <v>83</v>
      </c>
      <c r="S712" s="14"/>
      <c r="T712" s="14"/>
      <c r="U712" s="14"/>
      <c r="V712" s="14"/>
      <c r="W712" s="14"/>
      <c r="X712" s="14"/>
      <c r="Y712" s="14"/>
      <c r="Z712" t="s" s="15">
        <v>83</v>
      </c>
      <c r="AA712" s="14"/>
      <c r="AB712" t="s" s="15">
        <v>83</v>
      </c>
      <c r="AC712" s="14"/>
      <c r="AD712" s="14"/>
      <c r="AE712" s="14"/>
      <c r="AF712" s="14"/>
      <c r="AG712" t="s" s="15">
        <v>299</v>
      </c>
      <c r="AH712" t="s" s="15">
        <v>114</v>
      </c>
      <c r="AI712" t="s" s="15">
        <v>83</v>
      </c>
      <c r="AJ712" t="s" s="15">
        <v>83</v>
      </c>
      <c r="AK712" t="s" s="15">
        <v>83</v>
      </c>
      <c r="AL712" t="s" s="15">
        <v>293</v>
      </c>
      <c r="AM712" t="s" s="15">
        <v>294</v>
      </c>
      <c r="AN712" t="s" s="15">
        <v>83</v>
      </c>
      <c r="AO712" t="s" s="15">
        <v>83</v>
      </c>
      <c r="AP712" t="s" s="15">
        <v>83</v>
      </c>
      <c r="AQ712" t="s" s="15">
        <v>83</v>
      </c>
      <c r="AR712" t="s" s="15">
        <v>83</v>
      </c>
      <c r="AS712" t="s" s="15">
        <v>83</v>
      </c>
      <c r="AT712" s="14"/>
      <c r="AU712" s="14"/>
      <c r="AV712" s="14"/>
      <c r="AW712" s="14"/>
      <c r="AX712" s="14"/>
      <c r="AY712" s="14"/>
      <c r="AZ712" s="14"/>
      <c r="BA712" s="14"/>
      <c r="BB712" s="14"/>
      <c r="BC712" s="14"/>
      <c r="BD712" t="s" s="15">
        <v>118</v>
      </c>
      <c r="BE712" s="14"/>
      <c r="BF712" s="14"/>
      <c r="BG712" s="14"/>
      <c r="BH712" s="14"/>
      <c r="BI712" s="14"/>
      <c r="BJ712" s="14"/>
      <c r="BK712" s="14"/>
      <c r="BL712" s="14"/>
      <c r="BM712" s="14"/>
      <c r="BN712" s="14"/>
      <c r="BO712" s="16"/>
      <c r="BP712" s="8"/>
    </row>
    <row r="713" ht="9" customHeight="1" hidden="1">
      <c r="A713" t="s" s="9">
        <v>2770</v>
      </c>
      <c r="B713" s="11"/>
      <c r="C713" t="str" s="11" cm="1">
        <f t="array" ref="C713">_xlfn.IFERROR((VLOOKUP(A713,#REF!,2,FALSE)),"")</f>
      </c>
      <c r="D713" s="11"/>
      <c r="E713" t="s" s="10">
        <v>2769</v>
      </c>
      <c r="F713" s="11"/>
      <c r="G713" t="s" s="10">
        <v>83</v>
      </c>
      <c r="H713" t="s" s="10">
        <v>83</v>
      </c>
      <c r="I713" t="s" s="10">
        <v>82</v>
      </c>
      <c r="J713" t="s" s="10">
        <v>82</v>
      </c>
      <c r="K713" s="11"/>
      <c r="L713" t="s" s="10">
        <v>83</v>
      </c>
      <c r="M713" s="11"/>
      <c r="N713" s="11"/>
      <c r="O713" t="s" s="10">
        <v>517</v>
      </c>
      <c r="P713" s="11"/>
      <c r="Q713" s="11"/>
      <c r="R713" t="s" s="10">
        <v>83</v>
      </c>
      <c r="S713" s="11"/>
      <c r="T713" s="11"/>
      <c r="U713" s="11"/>
      <c r="V713" s="11"/>
      <c r="W713" s="11"/>
      <c r="X713" s="11"/>
      <c r="Y713" s="11"/>
      <c r="Z713" t="s" s="10">
        <v>83</v>
      </c>
      <c r="AA713" s="11"/>
      <c r="AB713" t="s" s="10">
        <v>83</v>
      </c>
      <c r="AC713" s="11"/>
      <c r="AD713" s="11"/>
      <c r="AE713" s="11"/>
      <c r="AF713" s="11"/>
      <c r="AG713" t="s" s="10">
        <v>299</v>
      </c>
      <c r="AH713" t="s" s="10">
        <v>114</v>
      </c>
      <c r="AI713" t="s" s="10">
        <v>83</v>
      </c>
      <c r="AJ713" t="s" s="10">
        <v>83</v>
      </c>
      <c r="AK713" t="s" s="10">
        <v>83</v>
      </c>
      <c r="AL713" t="s" s="10">
        <v>293</v>
      </c>
      <c r="AM713" t="s" s="10">
        <v>294</v>
      </c>
      <c r="AN713" t="s" s="10">
        <v>83</v>
      </c>
      <c r="AO713" t="s" s="10">
        <v>83</v>
      </c>
      <c r="AP713" t="s" s="10">
        <v>83</v>
      </c>
      <c r="AQ713" t="s" s="10">
        <v>83</v>
      </c>
      <c r="AR713" t="s" s="10">
        <v>83</v>
      </c>
      <c r="AS713" t="s" s="10">
        <v>83</v>
      </c>
      <c r="AT713" s="11"/>
      <c r="AU713" s="11"/>
      <c r="AV713" s="11"/>
      <c r="AW713" s="11"/>
      <c r="AX713" s="11"/>
      <c r="AY713" s="11"/>
      <c r="AZ713" s="11"/>
      <c r="BA713" s="11"/>
      <c r="BB713" s="11"/>
      <c r="BC713" s="11"/>
      <c r="BD713" t="s" s="10">
        <v>118</v>
      </c>
      <c r="BE713" s="11"/>
      <c r="BF713" s="11"/>
      <c r="BG713" s="11"/>
      <c r="BH713" s="11"/>
      <c r="BI713" s="11"/>
      <c r="BJ713" s="11"/>
      <c r="BK713" s="11"/>
      <c r="BL713" s="11"/>
      <c r="BM713" s="11"/>
      <c r="BN713" s="11"/>
      <c r="BO713" s="12"/>
      <c r="BP713" s="8"/>
    </row>
    <row r="714" ht="15" customHeight="1" hidden="1">
      <c r="A714" t="s" s="13">
        <v>2771</v>
      </c>
      <c r="B714" s="14"/>
      <c r="C714" t="str" s="14" cm="1">
        <f t="array" ref="C714">_xlfn.IFERROR((VLOOKUP(A714,#REF!,2,FALSE)),"")</f>
      </c>
      <c r="D714" s="14"/>
      <c r="E714" t="s" s="15">
        <v>687</v>
      </c>
      <c r="F714" s="14"/>
      <c r="G714" t="s" s="15">
        <v>2772</v>
      </c>
      <c r="H714" t="s" s="15">
        <v>2772</v>
      </c>
      <c r="I714" t="s" s="15">
        <v>111</v>
      </c>
      <c r="J714" t="s" s="15">
        <v>122</v>
      </c>
      <c r="K714" t="s" s="15">
        <v>140</v>
      </c>
      <c r="L714" t="s" s="15">
        <v>76</v>
      </c>
      <c r="M714" t="s" s="15">
        <v>2772</v>
      </c>
      <c r="N714" t="s" s="15">
        <v>2772</v>
      </c>
      <c r="O714" s="14"/>
      <c r="P714" t="s" s="15">
        <v>122</v>
      </c>
      <c r="Q714" t="s" s="15">
        <v>69</v>
      </c>
      <c r="R714" t="s" s="15">
        <v>83</v>
      </c>
      <c r="S714" s="14"/>
      <c r="T714" s="14"/>
      <c r="U714" s="14"/>
      <c r="V714" t="s" s="15">
        <v>69</v>
      </c>
      <c r="W714" s="14"/>
      <c r="X714" t="s" s="15">
        <v>69</v>
      </c>
      <c r="Y714" s="14"/>
      <c r="Z714" t="s" s="15">
        <v>76</v>
      </c>
      <c r="AA714" s="14"/>
      <c r="AB714" t="s" s="15">
        <v>76</v>
      </c>
      <c r="AC714" t="s" s="15">
        <v>2771</v>
      </c>
      <c r="AD714" t="s" s="15">
        <v>2773</v>
      </c>
      <c r="AE714" s="14"/>
      <c r="AF714" s="14"/>
      <c r="AG714" t="s" s="15">
        <v>299</v>
      </c>
      <c r="AH714" t="s" s="15">
        <v>114</v>
      </c>
      <c r="AI714" t="s" s="15">
        <v>604</v>
      </c>
      <c r="AJ714" s="14"/>
      <c r="AK714" t="s" s="15">
        <v>83</v>
      </c>
      <c r="AL714" t="s" s="15">
        <v>293</v>
      </c>
      <c r="AM714" t="s" s="15">
        <v>294</v>
      </c>
      <c r="AN714" t="s" s="15">
        <v>264</v>
      </c>
      <c r="AO714" s="17">
        <v>2</v>
      </c>
      <c r="AP714" s="17">
        <v>4096</v>
      </c>
      <c r="AQ714" s="17">
        <v>311380</v>
      </c>
      <c r="AR714" s="17">
        <v>311380</v>
      </c>
      <c r="AS714" t="s" s="15">
        <v>2774</v>
      </c>
      <c r="AT714" t="s" s="15">
        <v>301</v>
      </c>
      <c r="AU714" s="14"/>
      <c r="AV714" s="14"/>
      <c r="AW714" s="14"/>
      <c r="AX714" s="14"/>
      <c r="AY714" s="14"/>
      <c r="AZ714" s="14"/>
      <c r="BA714" s="14"/>
      <c r="BB714" s="14"/>
      <c r="BC714" s="14"/>
      <c r="BD714" t="s" s="15">
        <v>310</v>
      </c>
      <c r="BE714" t="s" s="15">
        <v>419</v>
      </c>
      <c r="BF714" s="17">
        <v>2</v>
      </c>
      <c r="BG714" s="17">
        <v>4</v>
      </c>
      <c r="BH714" s="14"/>
      <c r="BI714" s="14"/>
      <c r="BJ714" s="14"/>
      <c r="BK714" s="14"/>
      <c r="BL714" s="14"/>
      <c r="BM714" s="14"/>
      <c r="BN714" t="s" s="15">
        <v>69</v>
      </c>
      <c r="BO714" s="16"/>
      <c r="BP714" s="8"/>
    </row>
    <row r="715" ht="15" customHeight="1" hidden="1">
      <c r="A715" t="s" s="9">
        <v>2775</v>
      </c>
      <c r="B715" s="11"/>
      <c r="C715" t="str" s="11" cm="1">
        <f t="array" ref="C715">_xlfn.IFERROR((VLOOKUP(A715,#REF!,2,FALSE)),"")</f>
      </c>
      <c r="D715" s="11"/>
      <c r="E715" t="s" s="10">
        <v>687</v>
      </c>
      <c r="F715" s="11"/>
      <c r="G715" t="s" s="10">
        <v>2776</v>
      </c>
      <c r="H715" t="s" s="10">
        <v>2776</v>
      </c>
      <c r="I715" t="s" s="10">
        <v>82</v>
      </c>
      <c r="J715" t="s" s="10">
        <v>82</v>
      </c>
      <c r="K715" t="s" s="10">
        <v>82</v>
      </c>
      <c r="L715" t="s" s="10">
        <v>76</v>
      </c>
      <c r="M715" t="s" s="10">
        <v>2776</v>
      </c>
      <c r="N715" s="11"/>
      <c r="O715" s="11"/>
      <c r="P715" t="s" s="10">
        <v>122</v>
      </c>
      <c r="Q715" t="s" s="10">
        <v>69</v>
      </c>
      <c r="R715" t="s" s="10">
        <v>83</v>
      </c>
      <c r="S715" s="11"/>
      <c r="T715" s="11"/>
      <c r="U715" s="11"/>
      <c r="V715" t="s" s="10">
        <v>78</v>
      </c>
      <c r="W715" s="11"/>
      <c r="X715" t="s" s="10">
        <v>78</v>
      </c>
      <c r="Y715" s="11"/>
      <c r="Z715" t="s" s="10">
        <v>76</v>
      </c>
      <c r="AA715" s="11"/>
      <c r="AB715" t="s" s="10">
        <v>76</v>
      </c>
      <c r="AC715" s="11"/>
      <c r="AD715" s="11"/>
      <c r="AE715" s="11"/>
      <c r="AF715" s="11"/>
      <c r="AG715" t="s" s="10">
        <v>299</v>
      </c>
      <c r="AH715" t="s" s="10">
        <v>114</v>
      </c>
      <c r="AI715" t="s" s="10">
        <v>604</v>
      </c>
      <c r="AJ715" s="11"/>
      <c r="AK715" t="s" s="10">
        <v>83</v>
      </c>
      <c r="AL715" s="11"/>
      <c r="AM715" s="11"/>
      <c r="AN715" s="11"/>
      <c r="AO715" s="11"/>
      <c r="AP715" s="11"/>
      <c r="AQ715" s="11"/>
      <c r="AR715" s="11"/>
      <c r="AS715" t="s" s="10">
        <v>2777</v>
      </c>
      <c r="AT715" t="s" s="10">
        <v>301</v>
      </c>
      <c r="AU715" s="11"/>
      <c r="AV715" s="11"/>
      <c r="AW715" s="11"/>
      <c r="AX715" s="11"/>
      <c r="AY715" s="11"/>
      <c r="AZ715" s="11"/>
      <c r="BA715" s="11"/>
      <c r="BB715" s="11"/>
      <c r="BC715" s="11"/>
      <c r="BD715" t="s" s="10">
        <v>118</v>
      </c>
      <c r="BE715" s="11"/>
      <c r="BF715" s="11"/>
      <c r="BG715" s="11"/>
      <c r="BH715" s="11"/>
      <c r="BI715" s="11"/>
      <c r="BJ715" s="11"/>
      <c r="BK715" s="11"/>
      <c r="BL715" s="11"/>
      <c r="BM715" s="11"/>
      <c r="BN715" s="11"/>
      <c r="BO715" s="12"/>
      <c r="BP715" s="8"/>
    </row>
    <row r="716" ht="9" customHeight="1" hidden="1">
      <c r="A716" t="s" s="13">
        <v>2778</v>
      </c>
      <c r="B716" s="14"/>
      <c r="C716" t="str" s="14" cm="1">
        <f t="array" ref="C716">_xlfn.IFERROR((VLOOKUP(A716,#REF!,2,FALSE)),"")</f>
      </c>
      <c r="D716" s="14"/>
      <c r="E716" s="14"/>
      <c r="F716" s="14"/>
      <c r="G716" t="s" s="15">
        <v>2779</v>
      </c>
      <c r="H716" t="s" s="15">
        <v>2780</v>
      </c>
      <c r="I716" t="s" s="15">
        <v>111</v>
      </c>
      <c r="J716" t="s" s="15">
        <v>122</v>
      </c>
      <c r="K716" t="s" s="15">
        <v>140</v>
      </c>
      <c r="L716" t="s" s="15">
        <v>76</v>
      </c>
      <c r="M716" t="s" s="15">
        <v>2779</v>
      </c>
      <c r="N716" s="14"/>
      <c r="O716" s="14"/>
      <c r="P716" t="s" s="15">
        <v>122</v>
      </c>
      <c r="Q716" t="s" s="15">
        <v>69</v>
      </c>
      <c r="R716" t="s" s="15">
        <v>83</v>
      </c>
      <c r="S716" s="14"/>
      <c r="T716" s="14"/>
      <c r="U716" s="14"/>
      <c r="V716" t="s" s="15">
        <v>69</v>
      </c>
      <c r="W716" s="14"/>
      <c r="X716" t="s" s="15">
        <v>78</v>
      </c>
      <c r="Y716" s="14"/>
      <c r="Z716" t="s" s="15">
        <v>76</v>
      </c>
      <c r="AA716" s="14"/>
      <c r="AB716" t="s" s="15">
        <v>76</v>
      </c>
      <c r="AC716" t="s" s="15">
        <v>2778</v>
      </c>
      <c r="AD716" s="14"/>
      <c r="AE716" s="14"/>
      <c r="AF716" s="14"/>
      <c r="AG716" t="s" s="15">
        <v>299</v>
      </c>
      <c r="AH716" t="s" s="15">
        <v>106</v>
      </c>
      <c r="AI716" t="s" s="15">
        <v>76</v>
      </c>
      <c r="AJ716" t="s" s="15">
        <v>76</v>
      </c>
      <c r="AK716" t="s" s="15">
        <v>79</v>
      </c>
      <c r="AL716" s="14"/>
      <c r="AM716" s="14"/>
      <c r="AN716" t="s" s="15">
        <v>2781</v>
      </c>
      <c r="AO716" s="14"/>
      <c r="AP716" s="14"/>
      <c r="AQ716" s="14"/>
      <c r="AR716" s="14"/>
      <c r="AS716" t="s" s="15">
        <v>2782</v>
      </c>
      <c r="AT716" t="s" s="15">
        <v>301</v>
      </c>
      <c r="AU716" s="14"/>
      <c r="AV716" s="14"/>
      <c r="AW716" s="14"/>
      <c r="AX716" s="14"/>
      <c r="AY716" s="14"/>
      <c r="AZ716" s="14"/>
      <c r="BA716" s="14"/>
      <c r="BB716" s="14"/>
      <c r="BC716" s="14"/>
      <c r="BD716" s="14"/>
      <c r="BE716" s="14"/>
      <c r="BF716" s="14"/>
      <c r="BG716" s="14"/>
      <c r="BH716" s="14"/>
      <c r="BI716" s="14"/>
      <c r="BJ716" s="14"/>
      <c r="BK716" s="14"/>
      <c r="BL716" s="14"/>
      <c r="BM716" s="14"/>
      <c r="BN716" t="s" s="15">
        <v>78</v>
      </c>
      <c r="BO716" s="16"/>
      <c r="BP716" s="8"/>
    </row>
    <row r="717" ht="15" customHeight="1">
      <c r="A717" t="s" s="9">
        <v>2783</v>
      </c>
      <c r="B717" s="11"/>
      <c r="C717" t="str" s="11" cm="1">
        <f t="array" ref="C717">_xlfn.IFERROR((VLOOKUP(A717,#REF!,2,FALSE)),"")</f>
      </c>
      <c r="D717" s="11"/>
      <c r="E717" s="11"/>
      <c r="F717" s="11"/>
      <c r="G717" t="s" s="10">
        <v>2784</v>
      </c>
      <c r="H717" t="s" s="10">
        <v>434</v>
      </c>
      <c r="I717" t="s" s="10">
        <v>111</v>
      </c>
      <c r="J717" t="s" s="10">
        <v>122</v>
      </c>
      <c r="K717" t="s" s="10">
        <v>113</v>
      </c>
      <c r="L717" t="s" s="10">
        <v>435</v>
      </c>
      <c r="M717" t="s" s="10">
        <v>2784</v>
      </c>
      <c r="N717" t="s" s="10">
        <v>2784</v>
      </c>
      <c r="O717" s="11"/>
      <c r="P717" t="s" s="10">
        <v>122</v>
      </c>
      <c r="Q717" t="s" s="10">
        <v>69</v>
      </c>
      <c r="R717" t="s" s="10">
        <v>83</v>
      </c>
      <c r="S717" s="11"/>
      <c r="T717" s="11"/>
      <c r="U717" s="11"/>
      <c r="V717" t="s" s="10">
        <v>69</v>
      </c>
      <c r="W717" s="11"/>
      <c r="X717" t="s" s="10">
        <v>69</v>
      </c>
      <c r="Y717" s="11"/>
      <c r="Z717" t="s" s="10">
        <v>436</v>
      </c>
      <c r="AA717" s="11"/>
      <c r="AB717" t="s" s="10">
        <v>437</v>
      </c>
      <c r="AC717" t="s" s="10">
        <v>2783</v>
      </c>
      <c r="AD717" t="s" s="10">
        <v>2785</v>
      </c>
      <c r="AE717" s="11"/>
      <c r="AF717" s="11"/>
      <c r="AG717" t="s" s="10">
        <v>299</v>
      </c>
      <c r="AH717" t="s" s="10">
        <v>289</v>
      </c>
      <c r="AI717" t="s" s="10">
        <v>440</v>
      </c>
      <c r="AJ717" s="11"/>
      <c r="AK717" t="s" s="10">
        <v>83</v>
      </c>
      <c r="AL717" t="s" s="10">
        <v>293</v>
      </c>
      <c r="AM717" t="s" s="10">
        <v>294</v>
      </c>
      <c r="AN717" t="s" s="10">
        <v>128</v>
      </c>
      <c r="AO717" s="18">
        <v>2</v>
      </c>
      <c r="AP717" s="18">
        <v>8192</v>
      </c>
      <c r="AQ717" s="18">
        <v>233578</v>
      </c>
      <c r="AR717" s="18">
        <v>233578</v>
      </c>
      <c r="AS717" t="s" s="10">
        <v>2786</v>
      </c>
      <c r="AT717" t="s" s="10">
        <v>301</v>
      </c>
      <c r="AU717" s="11"/>
      <c r="AV717" s="11"/>
      <c r="AW717" t="s" s="10">
        <v>2787</v>
      </c>
      <c r="AX717" s="11"/>
      <c r="AY717" s="11"/>
      <c r="AZ717" s="11"/>
      <c r="BA717" s="11"/>
      <c r="BB717" s="11"/>
      <c r="BC717" s="11"/>
      <c r="BD717" s="11"/>
      <c r="BE717" s="11"/>
      <c r="BF717" s="11"/>
      <c r="BG717" s="11"/>
      <c r="BH717" s="11"/>
      <c r="BI717" s="11"/>
      <c r="BJ717" s="11"/>
      <c r="BK717" s="11"/>
      <c r="BL717" s="11"/>
      <c r="BM717" s="11"/>
      <c r="BN717" t="s" s="10">
        <v>69</v>
      </c>
      <c r="BO717" s="12"/>
      <c r="BP717" s="8"/>
    </row>
    <row r="718" ht="15" customHeight="1">
      <c r="A718" t="s" s="13">
        <v>2788</v>
      </c>
      <c r="B718" s="14"/>
      <c r="C718" t="str" s="14" cm="1">
        <f t="array" ref="C718">_xlfn.IFERROR((VLOOKUP(A718,#REF!,2,FALSE)),"")</f>
      </c>
      <c r="D718" s="14"/>
      <c r="E718" s="14"/>
      <c r="F718" s="14"/>
      <c r="G718" t="s" s="15">
        <v>2789</v>
      </c>
      <c r="H718" t="s" s="15">
        <v>2790</v>
      </c>
      <c r="I718" t="s" s="15">
        <v>111</v>
      </c>
      <c r="J718" t="s" s="15">
        <v>122</v>
      </c>
      <c r="K718" t="s" s="15">
        <v>113</v>
      </c>
      <c r="L718" t="s" s="15">
        <v>518</v>
      </c>
      <c r="M718" t="s" s="15">
        <v>2789</v>
      </c>
      <c r="N718" t="s" s="15">
        <v>2789</v>
      </c>
      <c r="O718" s="14"/>
      <c r="P718" t="s" s="15">
        <v>122</v>
      </c>
      <c r="Q718" t="s" s="15">
        <v>69</v>
      </c>
      <c r="R718" t="s" s="15">
        <v>83</v>
      </c>
      <c r="S718" s="14"/>
      <c r="T718" s="14"/>
      <c r="U718" s="14"/>
      <c r="V718" t="s" s="15">
        <v>69</v>
      </c>
      <c r="W718" s="14"/>
      <c r="X718" t="s" s="15">
        <v>69</v>
      </c>
      <c r="Y718" s="14"/>
      <c r="Z718" t="s" s="15">
        <v>2791</v>
      </c>
      <c r="AA718" s="14"/>
      <c r="AB718" t="s" s="15">
        <v>2792</v>
      </c>
      <c r="AC718" t="s" s="15">
        <v>2788</v>
      </c>
      <c r="AD718" t="s" s="15">
        <v>2793</v>
      </c>
      <c r="AE718" s="14"/>
      <c r="AF718" t="s" s="15">
        <v>2790</v>
      </c>
      <c r="AG718" t="s" s="15">
        <v>299</v>
      </c>
      <c r="AH718" t="s" s="15">
        <v>114</v>
      </c>
      <c r="AI718" t="s" s="15">
        <v>332</v>
      </c>
      <c r="AJ718" t="s" s="15">
        <v>473</v>
      </c>
      <c r="AK718" t="s" s="15">
        <v>83</v>
      </c>
      <c r="AL718" t="s" s="15">
        <v>293</v>
      </c>
      <c r="AM718" t="s" s="15">
        <v>294</v>
      </c>
      <c r="AN718" t="s" s="15">
        <v>128</v>
      </c>
      <c r="AO718" s="17">
        <v>4</v>
      </c>
      <c r="AP718" s="17">
        <v>4096</v>
      </c>
      <c r="AQ718" s="17">
        <v>362582</v>
      </c>
      <c r="AR718" s="17">
        <v>362582</v>
      </c>
      <c r="AS718" t="s" s="15">
        <v>2794</v>
      </c>
      <c r="AT718" t="s" s="15">
        <v>301</v>
      </c>
      <c r="AU718" s="14"/>
      <c r="AV718" s="14"/>
      <c r="AW718" s="14"/>
      <c r="AX718" s="14"/>
      <c r="AY718" s="14"/>
      <c r="AZ718" s="14"/>
      <c r="BA718" s="14"/>
      <c r="BB718" s="14"/>
      <c r="BC718" s="14"/>
      <c r="BD718" t="s" s="15">
        <v>310</v>
      </c>
      <c r="BE718" t="s" s="15">
        <v>356</v>
      </c>
      <c r="BF718" s="17">
        <v>4</v>
      </c>
      <c r="BG718" s="17">
        <v>8</v>
      </c>
      <c r="BH718" s="14"/>
      <c r="BI718" s="14"/>
      <c r="BJ718" s="14"/>
      <c r="BK718" s="14"/>
      <c r="BL718" s="14"/>
      <c r="BM718" s="14"/>
      <c r="BN718" t="s" s="15">
        <v>69</v>
      </c>
      <c r="BO718" s="16"/>
      <c r="BP718" s="8"/>
    </row>
    <row r="719" ht="9" customHeight="1" hidden="1">
      <c r="A719" t="s" s="9">
        <v>2795</v>
      </c>
      <c r="B719" s="11"/>
      <c r="C719" t="str" s="11" cm="1">
        <f t="array" ref="C719">_xlfn.IFERROR((VLOOKUP(A719,#REF!,2,FALSE)),"")</f>
      </c>
      <c r="D719" s="11"/>
      <c r="E719" s="11"/>
      <c r="F719" s="11"/>
      <c r="G719" t="s" s="10">
        <v>2789</v>
      </c>
      <c r="H719" t="s" s="10">
        <v>2789</v>
      </c>
      <c r="I719" t="s" s="10">
        <v>73</v>
      </c>
      <c r="J719" t="s" s="10">
        <v>74</v>
      </c>
      <c r="K719" t="s" s="10">
        <v>140</v>
      </c>
      <c r="L719" t="s" s="10">
        <v>76</v>
      </c>
      <c r="M719" t="s" s="10">
        <v>2789</v>
      </c>
      <c r="N719" t="s" s="10">
        <v>2789</v>
      </c>
      <c r="O719" t="s" s="10">
        <v>71</v>
      </c>
      <c r="P719" t="s" s="10">
        <v>74</v>
      </c>
      <c r="Q719" t="s" s="10">
        <v>78</v>
      </c>
      <c r="R719" t="s" s="10">
        <v>71</v>
      </c>
      <c r="S719" s="11"/>
      <c r="T719" s="11"/>
      <c r="U719" s="11"/>
      <c r="V719" t="s" s="10">
        <v>78</v>
      </c>
      <c r="W719" t="s" s="10">
        <v>2795</v>
      </c>
      <c r="X719" t="s" s="10">
        <v>69</v>
      </c>
      <c r="Y719" s="11"/>
      <c r="Z719" t="s" s="10">
        <v>76</v>
      </c>
      <c r="AA719" s="11"/>
      <c r="AB719" t="s" s="10">
        <v>76</v>
      </c>
      <c r="AC719" s="11"/>
      <c r="AD719" s="11"/>
      <c r="AE719" s="11"/>
      <c r="AF719" s="11"/>
      <c r="AG719" s="11"/>
      <c r="AH719" t="s" s="10">
        <v>106</v>
      </c>
      <c r="AI719" t="s" s="10">
        <v>76</v>
      </c>
      <c r="AJ719" t="s" s="10">
        <v>76</v>
      </c>
      <c r="AK719" t="s" s="10">
        <v>79</v>
      </c>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c r="BL719" s="11"/>
      <c r="BM719" s="11"/>
      <c r="BN719" s="11"/>
      <c r="BO719" s="12"/>
      <c r="BP719" s="8"/>
    </row>
    <row r="720" ht="9" customHeight="1" hidden="1">
      <c r="A720" t="s" s="13">
        <v>2796</v>
      </c>
      <c r="B720" s="14"/>
      <c r="C720" t="str" s="14" cm="1">
        <f t="array" ref="C720">_xlfn.IFERROR((VLOOKUP(A720,#REF!,2,FALSE)),"")</f>
      </c>
      <c r="D720" s="14"/>
      <c r="E720" t="s" s="15">
        <v>2797</v>
      </c>
      <c r="F720" s="14"/>
      <c r="G720" t="s" s="15">
        <v>2798</v>
      </c>
      <c r="H720" t="s" s="15">
        <v>2799</v>
      </c>
      <c r="I720" t="s" s="15">
        <v>111</v>
      </c>
      <c r="J720" t="s" s="15">
        <v>322</v>
      </c>
      <c r="K720" t="s" s="15">
        <v>113</v>
      </c>
      <c r="L720" t="s" s="15">
        <v>76</v>
      </c>
      <c r="M720" t="s" s="15">
        <v>2798</v>
      </c>
      <c r="N720" t="s" s="15">
        <v>2798</v>
      </c>
      <c r="O720" s="14"/>
      <c r="P720" t="s" s="15">
        <v>322</v>
      </c>
      <c r="Q720" t="s" s="15">
        <v>69</v>
      </c>
      <c r="R720" t="s" s="15">
        <v>339</v>
      </c>
      <c r="S720" s="14"/>
      <c r="T720" s="14"/>
      <c r="U720" s="14"/>
      <c r="V720" t="s" s="15">
        <v>69</v>
      </c>
      <c r="W720" s="14"/>
      <c r="X720" t="s" s="15">
        <v>69</v>
      </c>
      <c r="Y720" s="14"/>
      <c r="Z720" t="s" s="15">
        <v>205</v>
      </c>
      <c r="AA720" s="14"/>
      <c r="AB720" t="s" s="15">
        <v>76</v>
      </c>
      <c r="AC720" t="s" s="15">
        <v>2796</v>
      </c>
      <c r="AD720" t="s" s="15">
        <v>2800</v>
      </c>
      <c r="AE720" s="14"/>
      <c r="AF720" s="14"/>
      <c r="AG720" s="14"/>
      <c r="AH720" s="14"/>
      <c r="AI720" t="s" s="15">
        <v>76</v>
      </c>
      <c r="AJ720" t="s" s="15">
        <v>76</v>
      </c>
      <c r="AK720" t="s" s="15">
        <v>79</v>
      </c>
      <c r="AL720" t="s" s="15">
        <v>293</v>
      </c>
      <c r="AM720" t="s" s="15">
        <v>294</v>
      </c>
      <c r="AN720" t="s" s="15">
        <v>334</v>
      </c>
      <c r="AO720" s="17">
        <v>4</v>
      </c>
      <c r="AP720" s="17">
        <v>4096</v>
      </c>
      <c r="AQ720" s="17">
        <v>311440</v>
      </c>
      <c r="AR720" s="17">
        <v>88205</v>
      </c>
      <c r="AS720" t="s" s="15">
        <v>2801</v>
      </c>
      <c r="AT720" s="14"/>
      <c r="AU720" s="14"/>
      <c r="AV720" s="14"/>
      <c r="AW720" s="14"/>
      <c r="AX720" s="14"/>
      <c r="AY720" s="14"/>
      <c r="AZ720" s="14"/>
      <c r="BA720" s="14"/>
      <c r="BB720" s="14"/>
      <c r="BC720" s="14"/>
      <c r="BD720" s="14"/>
      <c r="BE720" s="14"/>
      <c r="BF720" s="14"/>
      <c r="BG720" s="14"/>
      <c r="BH720" s="14"/>
      <c r="BI720" s="14"/>
      <c r="BJ720" s="14"/>
      <c r="BK720" s="14"/>
      <c r="BL720" s="14"/>
      <c r="BM720" s="14"/>
      <c r="BN720" t="s" s="15">
        <v>78</v>
      </c>
      <c r="BO720" s="16"/>
      <c r="BP720" s="8"/>
    </row>
    <row r="721" ht="9" customHeight="1" hidden="1">
      <c r="A721" t="s" s="9">
        <v>2802</v>
      </c>
      <c r="B721" s="11"/>
      <c r="C721" t="str" s="11" cm="1">
        <f t="array" ref="C721">_xlfn.IFERROR((VLOOKUP(A721,#REF!,2,FALSE)),"")</f>
      </c>
      <c r="D721" s="11"/>
      <c r="E721" t="s" s="10">
        <v>2803</v>
      </c>
      <c r="F721" s="11"/>
      <c r="G721" t="s" s="10">
        <v>2798</v>
      </c>
      <c r="H721" t="s" s="10">
        <v>2799</v>
      </c>
      <c r="I721" t="s" s="10">
        <v>74</v>
      </c>
      <c r="J721" t="s" s="10">
        <v>74</v>
      </c>
      <c r="K721" t="s" s="10">
        <v>113</v>
      </c>
      <c r="L721" t="s" s="10">
        <v>76</v>
      </c>
      <c r="M721" t="s" s="10">
        <v>2798</v>
      </c>
      <c r="N721" t="s" s="10">
        <v>2798</v>
      </c>
      <c r="O721" s="11"/>
      <c r="P721" t="s" s="10">
        <v>322</v>
      </c>
      <c r="Q721" t="s" s="10">
        <v>69</v>
      </c>
      <c r="R721" t="s" s="10">
        <v>339</v>
      </c>
      <c r="S721" s="11"/>
      <c r="T721" s="11"/>
      <c r="U721" s="11"/>
      <c r="V721" t="s" s="10">
        <v>69</v>
      </c>
      <c r="W721" s="11"/>
      <c r="X721" t="s" s="10">
        <v>69</v>
      </c>
      <c r="Y721" s="11"/>
      <c r="Z721" t="s" s="10">
        <v>205</v>
      </c>
      <c r="AA721" s="11"/>
      <c r="AB721" t="s" s="10">
        <v>76</v>
      </c>
      <c r="AC721" t="s" s="10">
        <v>2802</v>
      </c>
      <c r="AD721" t="s" s="10">
        <v>2804</v>
      </c>
      <c r="AE721" s="11"/>
      <c r="AF721" s="11"/>
      <c r="AG721" s="11"/>
      <c r="AH721" s="11"/>
      <c r="AI721" t="s" s="10">
        <v>76</v>
      </c>
      <c r="AJ721" t="s" s="10">
        <v>76</v>
      </c>
      <c r="AK721" t="s" s="10">
        <v>79</v>
      </c>
      <c r="AL721" t="s" s="10">
        <v>293</v>
      </c>
      <c r="AM721" t="s" s="10">
        <v>294</v>
      </c>
      <c r="AN721" t="s" s="10">
        <v>334</v>
      </c>
      <c r="AO721" s="18">
        <v>4</v>
      </c>
      <c r="AP721" s="18">
        <v>8192</v>
      </c>
      <c r="AQ721" s="18">
        <v>315494</v>
      </c>
      <c r="AR721" s="18">
        <v>96807</v>
      </c>
      <c r="AS721" t="s" s="10">
        <v>2805</v>
      </c>
      <c r="AT721" s="11"/>
      <c r="AU721" s="11"/>
      <c r="AV721" s="11"/>
      <c r="AW721" s="11"/>
      <c r="AX721" s="11"/>
      <c r="AY721" s="11"/>
      <c r="AZ721" s="11"/>
      <c r="BA721" s="11"/>
      <c r="BB721" s="11"/>
      <c r="BC721" s="11"/>
      <c r="BD721" s="11"/>
      <c r="BE721" s="11"/>
      <c r="BF721" s="11"/>
      <c r="BG721" s="11"/>
      <c r="BH721" s="11"/>
      <c r="BI721" s="11"/>
      <c r="BJ721" s="11"/>
      <c r="BK721" s="11"/>
      <c r="BL721" s="11"/>
      <c r="BM721" s="11"/>
      <c r="BN721" t="s" s="10">
        <v>78</v>
      </c>
      <c r="BO721" s="12"/>
      <c r="BP721" s="8"/>
    </row>
    <row r="722" ht="9" customHeight="1" hidden="1">
      <c r="A722" t="s" s="13">
        <v>2806</v>
      </c>
      <c r="B722" s="14"/>
      <c r="C722" t="str" s="14" cm="1">
        <f t="array" ref="C722">_xlfn.IFERROR((VLOOKUP(A722,#REF!,2,FALSE)),"")</f>
      </c>
      <c r="D722" s="14"/>
      <c r="E722" s="14"/>
      <c r="F722" s="14"/>
      <c r="G722" t="s" s="15">
        <v>2807</v>
      </c>
      <c r="H722" t="s" s="15">
        <v>2808</v>
      </c>
      <c r="I722" t="s" s="15">
        <v>111</v>
      </c>
      <c r="J722" t="s" s="15">
        <v>122</v>
      </c>
      <c r="K722" t="s" s="15">
        <v>113</v>
      </c>
      <c r="L722" t="s" s="15">
        <v>76</v>
      </c>
      <c r="M722" t="s" s="15">
        <v>2807</v>
      </c>
      <c r="N722" t="s" s="15">
        <v>2807</v>
      </c>
      <c r="O722" s="14"/>
      <c r="P722" t="s" s="15">
        <v>122</v>
      </c>
      <c r="Q722" t="s" s="15">
        <v>69</v>
      </c>
      <c r="R722" t="s" s="15">
        <v>323</v>
      </c>
      <c r="S722" s="14"/>
      <c r="T722" s="14"/>
      <c r="U722" s="14"/>
      <c r="V722" t="s" s="15">
        <v>69</v>
      </c>
      <c r="W722" s="14"/>
      <c r="X722" t="s" s="15">
        <v>69</v>
      </c>
      <c r="Y722" s="14"/>
      <c r="Z722" t="s" s="15">
        <v>205</v>
      </c>
      <c r="AA722" s="14"/>
      <c r="AB722" t="s" s="15">
        <v>76</v>
      </c>
      <c r="AC722" t="s" s="15">
        <v>2806</v>
      </c>
      <c r="AD722" s="14"/>
      <c r="AE722" s="14"/>
      <c r="AF722" s="14"/>
      <c r="AG722" s="14"/>
      <c r="AH722" t="s" s="15">
        <v>114</v>
      </c>
      <c r="AI722" t="s" s="15">
        <v>76</v>
      </c>
      <c r="AJ722" t="s" s="15">
        <v>76</v>
      </c>
      <c r="AK722" t="s" s="15">
        <v>79</v>
      </c>
      <c r="AL722" t="s" s="15">
        <v>293</v>
      </c>
      <c r="AM722" t="s" s="15">
        <v>294</v>
      </c>
      <c r="AN722" t="s" s="15">
        <v>334</v>
      </c>
      <c r="AO722" s="17">
        <v>2</v>
      </c>
      <c r="AP722" s="17">
        <v>4096</v>
      </c>
      <c r="AQ722" s="17">
        <v>516178</v>
      </c>
      <c r="AR722" s="17">
        <v>516178</v>
      </c>
      <c r="AS722" t="s" s="15">
        <v>2809</v>
      </c>
      <c r="AT722" s="14"/>
      <c r="AU722" s="14"/>
      <c r="AV722" s="14"/>
      <c r="AW722" s="14"/>
      <c r="AX722" s="14"/>
      <c r="AY722" s="14"/>
      <c r="AZ722" s="14"/>
      <c r="BA722" s="14"/>
      <c r="BB722" s="14"/>
      <c r="BC722" s="14"/>
      <c r="BD722" t="s" s="15">
        <v>310</v>
      </c>
      <c r="BE722" t="s" s="15">
        <v>419</v>
      </c>
      <c r="BF722" s="17">
        <v>2</v>
      </c>
      <c r="BG722" s="17">
        <v>4</v>
      </c>
      <c r="BH722" s="14"/>
      <c r="BI722" s="14"/>
      <c r="BJ722" s="14"/>
      <c r="BK722" s="14"/>
      <c r="BL722" s="14"/>
      <c r="BM722" s="14"/>
      <c r="BN722" t="s" s="15">
        <v>69</v>
      </c>
      <c r="BO722" s="16"/>
      <c r="BP722" s="8"/>
    </row>
    <row r="723" ht="9" customHeight="1" hidden="1">
      <c r="A723" t="s" s="9">
        <v>2810</v>
      </c>
      <c r="B723" s="11"/>
      <c r="C723" t="str" s="11" cm="1">
        <f t="array" ref="C723">_xlfn.IFERROR((VLOOKUP(A723,#REF!,2,FALSE)),"")</f>
      </c>
      <c r="D723" s="11"/>
      <c r="E723" t="s" s="10">
        <v>195</v>
      </c>
      <c r="F723" s="11"/>
      <c r="G723" t="s" s="10">
        <v>2811</v>
      </c>
      <c r="H723" t="s" s="10">
        <v>2812</v>
      </c>
      <c r="I723" t="s" s="10">
        <v>73</v>
      </c>
      <c r="J723" t="s" s="10">
        <v>74</v>
      </c>
      <c r="K723" t="s" s="10">
        <v>140</v>
      </c>
      <c r="L723" t="s" s="10">
        <v>1359</v>
      </c>
      <c r="M723" t="s" s="10">
        <v>2811</v>
      </c>
      <c r="N723" t="s" s="10">
        <v>2811</v>
      </c>
      <c r="O723" t="s" s="10">
        <v>71</v>
      </c>
      <c r="P723" t="s" s="10">
        <v>322</v>
      </c>
      <c r="Q723" t="s" s="10">
        <v>78</v>
      </c>
      <c r="R723" t="s" s="10">
        <v>339</v>
      </c>
      <c r="S723" s="11"/>
      <c r="T723" s="11"/>
      <c r="U723" s="11"/>
      <c r="V723" t="s" s="10">
        <v>78</v>
      </c>
      <c r="W723" s="11"/>
      <c r="X723" t="s" s="10">
        <v>69</v>
      </c>
      <c r="Y723" s="11"/>
      <c r="Z723" t="s" s="10">
        <v>76</v>
      </c>
      <c r="AA723" s="11"/>
      <c r="AB723" t="s" s="10">
        <v>76</v>
      </c>
      <c r="AC723" s="11"/>
      <c r="AD723" s="11"/>
      <c r="AE723" s="11"/>
      <c r="AF723" s="11"/>
      <c r="AG723" s="11"/>
      <c r="AH723" t="s" s="10">
        <v>114</v>
      </c>
      <c r="AI723" t="s" s="10">
        <v>76</v>
      </c>
      <c r="AJ723" t="s" s="10">
        <v>76</v>
      </c>
      <c r="AK723" t="s" s="10">
        <v>79</v>
      </c>
      <c r="AL723" t="s" s="10">
        <v>293</v>
      </c>
      <c r="AM723" t="s" s="10">
        <v>196</v>
      </c>
      <c r="AN723" s="11"/>
      <c r="AO723" s="18">
        <v>2</v>
      </c>
      <c r="AP723" s="18">
        <v>6144</v>
      </c>
      <c r="AQ723" s="18">
        <v>211068</v>
      </c>
      <c r="AR723" s="18">
        <v>201765</v>
      </c>
      <c r="AS723" t="s" s="10">
        <v>2813</v>
      </c>
      <c r="AT723" s="11"/>
      <c r="AU723" s="11"/>
      <c r="AV723" s="11"/>
      <c r="AW723" s="11"/>
      <c r="AX723" s="11"/>
      <c r="AY723" s="11"/>
      <c r="AZ723" s="11"/>
      <c r="BA723" s="11"/>
      <c r="BB723" s="11"/>
      <c r="BC723" s="11"/>
      <c r="BD723" t="s" s="10">
        <v>366</v>
      </c>
      <c r="BE723" t="s" s="10">
        <v>489</v>
      </c>
      <c r="BF723" s="18">
        <v>2</v>
      </c>
      <c r="BG723" s="18">
        <v>8</v>
      </c>
      <c r="BH723" s="11"/>
      <c r="BI723" s="11"/>
      <c r="BJ723" s="11"/>
      <c r="BK723" s="11"/>
      <c r="BL723" s="11"/>
      <c r="BM723" s="11"/>
      <c r="BN723" s="11"/>
      <c r="BO723" s="12"/>
      <c r="BP723" s="8"/>
    </row>
    <row r="724" ht="9" customHeight="1" hidden="1">
      <c r="A724" t="s" s="13">
        <v>2814</v>
      </c>
      <c r="B724" s="14"/>
      <c r="C724" t="str" s="14" cm="1">
        <f t="array" ref="C724">_xlfn.IFERROR((VLOOKUP(A724,#REF!,2,FALSE)),"")</f>
      </c>
      <c r="D724" s="14"/>
      <c r="E724" t="s" s="15">
        <v>687</v>
      </c>
      <c r="F724" s="14"/>
      <c r="G724" t="s" s="15">
        <v>2815</v>
      </c>
      <c r="H724" t="s" s="15">
        <v>2816</v>
      </c>
      <c r="I724" t="s" s="15">
        <v>82</v>
      </c>
      <c r="J724" t="s" s="15">
        <v>82</v>
      </c>
      <c r="K724" t="s" s="15">
        <v>82</v>
      </c>
      <c r="L724" t="s" s="15">
        <v>76</v>
      </c>
      <c r="M724" t="s" s="15">
        <v>2815</v>
      </c>
      <c r="N724" s="14"/>
      <c r="O724" s="14"/>
      <c r="P724" t="s" s="15">
        <v>122</v>
      </c>
      <c r="Q724" t="s" s="15">
        <v>69</v>
      </c>
      <c r="R724" t="s" s="15">
        <v>83</v>
      </c>
      <c r="S724" t="s" s="15">
        <v>69</v>
      </c>
      <c r="T724" s="14"/>
      <c r="U724" s="14"/>
      <c r="V724" t="s" s="15">
        <v>78</v>
      </c>
      <c r="W724" s="14"/>
      <c r="X724" t="s" s="15">
        <v>78</v>
      </c>
      <c r="Y724" s="14"/>
      <c r="Z724" t="s" s="15">
        <v>76</v>
      </c>
      <c r="AA724" s="14"/>
      <c r="AB724" t="s" s="15">
        <v>76</v>
      </c>
      <c r="AC724" s="14"/>
      <c r="AD724" s="14"/>
      <c r="AE724" s="14"/>
      <c r="AF724" s="14"/>
      <c r="AG724" t="s" s="15">
        <v>299</v>
      </c>
      <c r="AH724" t="s" s="15">
        <v>114</v>
      </c>
      <c r="AI724" t="s" s="15">
        <v>604</v>
      </c>
      <c r="AJ724" s="14"/>
      <c r="AK724" t="s" s="15">
        <v>83</v>
      </c>
      <c r="AL724" s="14"/>
      <c r="AM724" s="14"/>
      <c r="AN724" s="14"/>
      <c r="AO724" s="14"/>
      <c r="AP724" s="14"/>
      <c r="AQ724" s="14"/>
      <c r="AR724" s="14"/>
      <c r="AS724" t="s" s="15">
        <v>2817</v>
      </c>
      <c r="AT724" s="14"/>
      <c r="AU724" s="14"/>
      <c r="AV724" s="14"/>
      <c r="AW724" s="14"/>
      <c r="AX724" s="14"/>
      <c r="AY724" s="14"/>
      <c r="AZ724" s="14"/>
      <c r="BA724" s="14"/>
      <c r="BB724" s="14"/>
      <c r="BC724" s="14"/>
      <c r="BD724" t="s" s="15">
        <v>118</v>
      </c>
      <c r="BE724" s="14"/>
      <c r="BF724" s="14"/>
      <c r="BG724" s="14"/>
      <c r="BH724" s="14"/>
      <c r="BI724" s="14"/>
      <c r="BJ724" s="14"/>
      <c r="BK724" s="14"/>
      <c r="BL724" s="14"/>
      <c r="BM724" s="14"/>
      <c r="BN724" s="14"/>
      <c r="BO724" s="16"/>
      <c r="BP724" s="8"/>
    </row>
    <row r="725" ht="15" customHeight="1" hidden="1">
      <c r="A725" t="s" s="9">
        <v>2818</v>
      </c>
      <c r="B725" s="11"/>
      <c r="C725" t="str" s="11" cm="1">
        <f t="array" ref="C725">_xlfn.IFERROR((VLOOKUP(A725,#REF!,2,FALSE)),"")</f>
      </c>
      <c r="D725" s="11"/>
      <c r="E725" t="s" s="10">
        <v>687</v>
      </c>
      <c r="F725" s="11"/>
      <c r="G725" t="s" s="10">
        <v>2819</v>
      </c>
      <c r="H725" t="s" s="10">
        <v>2820</v>
      </c>
      <c r="I725" t="s" s="10">
        <v>82</v>
      </c>
      <c r="J725" t="s" s="10">
        <v>82</v>
      </c>
      <c r="K725" t="s" s="10">
        <v>82</v>
      </c>
      <c r="L725" t="s" s="10">
        <v>76</v>
      </c>
      <c r="M725" t="s" s="10">
        <v>77</v>
      </c>
      <c r="N725" s="11"/>
      <c r="O725" s="11"/>
      <c r="P725" s="11"/>
      <c r="Q725" t="s" s="10">
        <v>69</v>
      </c>
      <c r="R725" t="s" s="10">
        <v>83</v>
      </c>
      <c r="S725" t="s" s="10">
        <v>69</v>
      </c>
      <c r="T725" s="11"/>
      <c r="U725" s="11"/>
      <c r="V725" t="s" s="10">
        <v>78</v>
      </c>
      <c r="W725" s="11"/>
      <c r="X725" t="s" s="10">
        <v>78</v>
      </c>
      <c r="Y725" s="11"/>
      <c r="Z725" t="s" s="10">
        <v>76</v>
      </c>
      <c r="AA725" s="11"/>
      <c r="AB725" t="s" s="10">
        <v>76</v>
      </c>
      <c r="AC725" s="11"/>
      <c r="AD725" s="11"/>
      <c r="AE725" s="11"/>
      <c r="AF725" s="11"/>
      <c r="AG725" t="s" s="10">
        <v>299</v>
      </c>
      <c r="AH725" t="s" s="10">
        <v>114</v>
      </c>
      <c r="AI725" t="s" s="10">
        <v>604</v>
      </c>
      <c r="AJ725" s="11"/>
      <c r="AK725" t="s" s="10">
        <v>83</v>
      </c>
      <c r="AL725" s="11"/>
      <c r="AM725" s="11"/>
      <c r="AN725" s="11"/>
      <c r="AO725" s="11"/>
      <c r="AP725" s="11"/>
      <c r="AQ725" s="11"/>
      <c r="AR725" s="11"/>
      <c r="AS725" t="s" s="10">
        <v>2821</v>
      </c>
      <c r="AT725" s="11"/>
      <c r="AU725" s="11"/>
      <c r="AV725" s="11"/>
      <c r="AW725" s="11"/>
      <c r="AX725" s="11"/>
      <c r="AY725" s="11"/>
      <c r="AZ725" s="11"/>
      <c r="BA725" s="11"/>
      <c r="BB725" s="11"/>
      <c r="BC725" s="11"/>
      <c r="BD725" t="s" s="10">
        <v>118</v>
      </c>
      <c r="BE725" s="11"/>
      <c r="BF725" s="11"/>
      <c r="BG725" s="11"/>
      <c r="BH725" s="11"/>
      <c r="BI725" s="11"/>
      <c r="BJ725" s="11"/>
      <c r="BK725" s="11"/>
      <c r="BL725" s="11"/>
      <c r="BM725" s="11"/>
      <c r="BN725" s="11"/>
      <c r="BO725" s="12"/>
      <c r="BP725" s="8"/>
    </row>
    <row r="726" ht="15" customHeight="1">
      <c r="A726" t="s" s="13">
        <v>2822</v>
      </c>
      <c r="B726" s="14"/>
      <c r="C726" t="str" s="14" cm="1">
        <f t="array" ref="C726">_xlfn.IFERROR((VLOOKUP(A726,#REF!,2,FALSE)),"")</f>
      </c>
      <c r="D726" s="14"/>
      <c r="E726" t="s" s="15">
        <v>2823</v>
      </c>
      <c r="F726" s="14"/>
      <c r="G726" t="s" s="15">
        <v>2824</v>
      </c>
      <c r="H726" t="s" s="15">
        <v>1183</v>
      </c>
      <c r="I726" t="s" s="15">
        <v>111</v>
      </c>
      <c r="J726" t="s" s="15">
        <v>122</v>
      </c>
      <c r="K726" t="s" s="15">
        <v>140</v>
      </c>
      <c r="L726" t="s" s="15">
        <v>518</v>
      </c>
      <c r="M726" t="s" s="15">
        <v>2824</v>
      </c>
      <c r="N726" t="s" s="15">
        <v>2824</v>
      </c>
      <c r="O726" s="14"/>
      <c r="P726" t="s" s="15">
        <v>122</v>
      </c>
      <c r="Q726" t="s" s="15">
        <v>78</v>
      </c>
      <c r="R726" t="s" s="15">
        <v>339</v>
      </c>
      <c r="S726" s="14"/>
      <c r="T726" s="14"/>
      <c r="U726" s="14"/>
      <c r="V726" t="s" s="15">
        <v>69</v>
      </c>
      <c r="W726" s="14"/>
      <c r="X726" t="s" s="15">
        <v>69</v>
      </c>
      <c r="Y726" s="14"/>
      <c r="Z726" t="s" s="15">
        <v>205</v>
      </c>
      <c r="AA726" s="14"/>
      <c r="AB726" t="s" s="15">
        <v>1184</v>
      </c>
      <c r="AC726" s="14"/>
      <c r="AD726" s="14"/>
      <c r="AE726" s="14"/>
      <c r="AF726" s="14"/>
      <c r="AG726" t="s" s="15">
        <v>299</v>
      </c>
      <c r="AH726" t="s" s="15">
        <v>114</v>
      </c>
      <c r="AI726" t="s" s="15">
        <v>440</v>
      </c>
      <c r="AJ726" s="14"/>
      <c r="AK726" t="s" s="15">
        <v>83</v>
      </c>
      <c r="AL726" t="s" s="15">
        <v>293</v>
      </c>
      <c r="AM726" t="s" s="15">
        <v>294</v>
      </c>
      <c r="AN726" t="s" s="15">
        <v>2825</v>
      </c>
      <c r="AO726" s="17">
        <v>2</v>
      </c>
      <c r="AP726" s="17">
        <v>6144</v>
      </c>
      <c r="AQ726" s="17">
        <v>415850</v>
      </c>
      <c r="AR726" s="17">
        <v>200182</v>
      </c>
      <c r="AS726" t="s" s="15">
        <v>2826</v>
      </c>
      <c r="AT726" t="s" s="15">
        <v>301</v>
      </c>
      <c r="AU726" s="14"/>
      <c r="AV726" s="14"/>
      <c r="AW726" s="14"/>
      <c r="AX726" s="14"/>
      <c r="AY726" s="14"/>
      <c r="AZ726" s="14"/>
      <c r="BA726" s="14"/>
      <c r="BB726" s="14"/>
      <c r="BC726" s="14"/>
      <c r="BD726" t="s" s="15">
        <v>366</v>
      </c>
      <c r="BE726" t="s" s="15">
        <v>489</v>
      </c>
      <c r="BF726" s="17">
        <v>2</v>
      </c>
      <c r="BG726" s="17">
        <v>8</v>
      </c>
      <c r="BH726" s="14"/>
      <c r="BI726" s="14"/>
      <c r="BJ726" s="14"/>
      <c r="BK726" s="14"/>
      <c r="BL726" s="14"/>
      <c r="BM726" s="14"/>
      <c r="BN726" t="s" s="15">
        <v>69</v>
      </c>
      <c r="BO726" s="16"/>
      <c r="BP726" s="8"/>
    </row>
    <row r="727" ht="9" customHeight="1" hidden="1">
      <c r="A727" t="s" s="9">
        <v>2827</v>
      </c>
      <c r="B727" s="11"/>
      <c r="C727" t="str" s="11" cm="1">
        <f t="array" ref="C727">_xlfn.IFERROR((VLOOKUP(A727,#REF!,2,FALSE)),"")</f>
      </c>
      <c r="D727" t="s" s="10">
        <v>70</v>
      </c>
      <c r="E727" t="s" s="10">
        <v>195</v>
      </c>
      <c r="F727" s="11"/>
      <c r="G727" t="s" s="10">
        <v>2828</v>
      </c>
      <c r="H727" t="s" s="10">
        <v>2829</v>
      </c>
      <c r="I727" t="s" s="10">
        <v>73</v>
      </c>
      <c r="J727" t="s" s="10">
        <v>74</v>
      </c>
      <c r="K727" t="s" s="10">
        <v>140</v>
      </c>
      <c r="L727" t="s" s="10">
        <v>1359</v>
      </c>
      <c r="M727" t="s" s="10">
        <v>2828</v>
      </c>
      <c r="N727" t="s" s="10">
        <v>2828</v>
      </c>
      <c r="O727" t="s" s="10">
        <v>71</v>
      </c>
      <c r="P727" t="s" s="10">
        <v>452</v>
      </c>
      <c r="Q727" t="s" s="10">
        <v>78</v>
      </c>
      <c r="R727" t="s" s="10">
        <v>339</v>
      </c>
      <c r="S727" s="11"/>
      <c r="T727" s="11"/>
      <c r="U727" s="11"/>
      <c r="V727" t="s" s="10">
        <v>69</v>
      </c>
      <c r="W727" s="11"/>
      <c r="X727" t="s" s="10">
        <v>69</v>
      </c>
      <c r="Y727" s="11"/>
      <c r="Z727" t="s" s="10">
        <v>76</v>
      </c>
      <c r="AA727" s="11"/>
      <c r="AB727" t="s" s="10">
        <v>76</v>
      </c>
      <c r="AC727" s="11"/>
      <c r="AD727" s="11"/>
      <c r="AE727" s="11"/>
      <c r="AF727" s="11"/>
      <c r="AG727" s="11"/>
      <c r="AH727" t="s" s="10">
        <v>114</v>
      </c>
      <c r="AI727" t="s" s="10">
        <v>76</v>
      </c>
      <c r="AJ727" t="s" s="10">
        <v>76</v>
      </c>
      <c r="AK727" t="s" s="10">
        <v>79</v>
      </c>
      <c r="AL727" t="s" s="10">
        <v>293</v>
      </c>
      <c r="AM727" t="s" s="10">
        <v>196</v>
      </c>
      <c r="AN727" t="s" s="10">
        <v>2830</v>
      </c>
      <c r="AO727" s="18">
        <v>2</v>
      </c>
      <c r="AP727" s="18">
        <v>8192</v>
      </c>
      <c r="AQ727" s="18">
        <v>233878</v>
      </c>
      <c r="AR727" s="18">
        <v>169921</v>
      </c>
      <c r="AS727" t="s" s="10">
        <v>2831</v>
      </c>
      <c r="AT727" s="11"/>
      <c r="AU727" s="11"/>
      <c r="AV727" s="11"/>
      <c r="AW727" s="11"/>
      <c r="AX727" s="11"/>
      <c r="AY727" s="11"/>
      <c r="AZ727" s="11"/>
      <c r="BA727" s="11"/>
      <c r="BB727" s="11"/>
      <c r="BC727" s="11"/>
      <c r="BD727" t="s" s="10">
        <v>366</v>
      </c>
      <c r="BE727" t="s" s="10">
        <v>489</v>
      </c>
      <c r="BF727" s="18">
        <v>2</v>
      </c>
      <c r="BG727" s="18">
        <v>8</v>
      </c>
      <c r="BH727" s="11"/>
      <c r="BI727" s="11"/>
      <c r="BJ727" s="11"/>
      <c r="BK727" s="11"/>
      <c r="BL727" s="11"/>
      <c r="BM727" s="11"/>
      <c r="BN727" s="11"/>
      <c r="BO727" s="12"/>
      <c r="BP727" s="8"/>
    </row>
    <row r="728" ht="9" customHeight="1" hidden="1">
      <c r="A728" t="s" s="13">
        <v>2832</v>
      </c>
      <c r="B728" s="14"/>
      <c r="C728" t="str" s="14" cm="1">
        <f t="array" ref="C728">_xlfn.IFERROR((VLOOKUP(A728,#REF!,2,FALSE)),"")</f>
      </c>
      <c r="D728" t="s" s="15">
        <v>70</v>
      </c>
      <c r="E728" t="s" s="15">
        <v>687</v>
      </c>
      <c r="F728" s="14"/>
      <c r="G728" t="s" s="15">
        <v>2833</v>
      </c>
      <c r="H728" t="s" s="15">
        <v>2834</v>
      </c>
      <c r="I728" t="s" s="15">
        <v>82</v>
      </c>
      <c r="J728" t="s" s="15">
        <v>82</v>
      </c>
      <c r="K728" t="s" s="15">
        <v>82</v>
      </c>
      <c r="L728" t="s" s="15">
        <v>76</v>
      </c>
      <c r="M728" t="s" s="15">
        <v>2833</v>
      </c>
      <c r="N728" s="14"/>
      <c r="O728" s="14"/>
      <c r="P728" t="s" s="15">
        <v>452</v>
      </c>
      <c r="Q728" t="s" s="15">
        <v>69</v>
      </c>
      <c r="R728" t="s" s="15">
        <v>83</v>
      </c>
      <c r="S728" t="s" s="15">
        <v>69</v>
      </c>
      <c r="T728" s="14"/>
      <c r="U728" s="14"/>
      <c r="V728" t="s" s="15">
        <v>78</v>
      </c>
      <c r="W728" s="14"/>
      <c r="X728" t="s" s="15">
        <v>78</v>
      </c>
      <c r="Y728" s="14"/>
      <c r="Z728" t="s" s="15">
        <v>76</v>
      </c>
      <c r="AA728" s="14"/>
      <c r="AB728" t="s" s="15">
        <v>76</v>
      </c>
      <c r="AC728" t="s" s="15">
        <v>2832</v>
      </c>
      <c r="AD728" s="14"/>
      <c r="AE728" s="14"/>
      <c r="AF728" s="14"/>
      <c r="AG728" t="s" s="15">
        <v>288</v>
      </c>
      <c r="AH728" t="s" s="15">
        <v>106</v>
      </c>
      <c r="AI728" t="s" s="15">
        <v>604</v>
      </c>
      <c r="AJ728" s="14"/>
      <c r="AK728" t="s" s="15">
        <v>83</v>
      </c>
      <c r="AL728" s="14"/>
      <c r="AM728" s="14"/>
      <c r="AN728" s="14"/>
      <c r="AO728" s="14"/>
      <c r="AP728" s="14"/>
      <c r="AQ728" s="14"/>
      <c r="AR728" s="14"/>
      <c r="AS728" t="s" s="15">
        <v>2835</v>
      </c>
      <c r="AT728" s="14"/>
      <c r="AU728" s="14"/>
      <c r="AV728" s="14"/>
      <c r="AW728" s="14"/>
      <c r="AX728" s="14"/>
      <c r="AY728" s="14"/>
      <c r="AZ728" s="14"/>
      <c r="BA728" s="14"/>
      <c r="BB728" s="14"/>
      <c r="BC728" s="14"/>
      <c r="BD728" s="14"/>
      <c r="BE728" s="14"/>
      <c r="BF728" s="14"/>
      <c r="BG728" s="14"/>
      <c r="BH728" s="14"/>
      <c r="BI728" s="14"/>
      <c r="BJ728" s="14"/>
      <c r="BK728" s="14"/>
      <c r="BL728" s="14"/>
      <c r="BM728" s="14"/>
      <c r="BN728" s="14"/>
      <c r="BO728" s="16"/>
      <c r="BP728" s="8"/>
    </row>
    <row r="729" ht="9" customHeight="1" hidden="1">
      <c r="A729" t="s" s="9">
        <v>2836</v>
      </c>
      <c r="B729" s="11"/>
      <c r="C729" t="str" s="11" cm="1">
        <f t="array" ref="C729">_xlfn.IFERROR((VLOOKUP(A729,#REF!,2,FALSE)),"")</f>
      </c>
      <c r="D729" s="11"/>
      <c r="E729" t="s" s="10">
        <v>687</v>
      </c>
      <c r="F729" s="11"/>
      <c r="G729" t="s" s="10">
        <v>2837</v>
      </c>
      <c r="H729" t="s" s="10">
        <v>2837</v>
      </c>
      <c r="I729" t="s" s="10">
        <v>82</v>
      </c>
      <c r="J729" t="s" s="10">
        <v>82</v>
      </c>
      <c r="K729" t="s" s="10">
        <v>82</v>
      </c>
      <c r="L729" t="s" s="10">
        <v>76</v>
      </c>
      <c r="M729" t="s" s="10">
        <v>2837</v>
      </c>
      <c r="N729" s="11"/>
      <c r="O729" s="11"/>
      <c r="P729" t="s" s="10">
        <v>122</v>
      </c>
      <c r="Q729" t="s" s="10">
        <v>69</v>
      </c>
      <c r="R729" t="s" s="10">
        <v>83</v>
      </c>
      <c r="S729" s="11"/>
      <c r="T729" s="11"/>
      <c r="U729" s="11"/>
      <c r="V729" t="s" s="10">
        <v>78</v>
      </c>
      <c r="W729" s="11"/>
      <c r="X729" t="s" s="10">
        <v>78</v>
      </c>
      <c r="Y729" s="11"/>
      <c r="Z729" t="s" s="10">
        <v>76</v>
      </c>
      <c r="AA729" s="11"/>
      <c r="AB729" t="s" s="10">
        <v>76</v>
      </c>
      <c r="AC729" t="s" s="10">
        <v>2836</v>
      </c>
      <c r="AD729" s="11"/>
      <c r="AE729" s="11"/>
      <c r="AF729" s="11"/>
      <c r="AG729" t="s" s="10">
        <v>299</v>
      </c>
      <c r="AH729" t="s" s="10">
        <v>114</v>
      </c>
      <c r="AI729" t="s" s="10">
        <v>604</v>
      </c>
      <c r="AJ729" s="11"/>
      <c r="AK729" t="s" s="10">
        <v>83</v>
      </c>
      <c r="AL729" s="11"/>
      <c r="AM729" s="11"/>
      <c r="AN729" s="11"/>
      <c r="AO729" s="11"/>
      <c r="AP729" s="11"/>
      <c r="AQ729" s="11"/>
      <c r="AR729" s="11"/>
      <c r="AS729" t="s" s="10">
        <v>2838</v>
      </c>
      <c r="AT729" t="s" s="10">
        <v>301</v>
      </c>
      <c r="AU729" s="11"/>
      <c r="AV729" s="11"/>
      <c r="AW729" s="11"/>
      <c r="AX729" s="11"/>
      <c r="AY729" s="11"/>
      <c r="AZ729" s="11"/>
      <c r="BA729" s="11"/>
      <c r="BB729" s="11"/>
      <c r="BC729" s="11"/>
      <c r="BD729" t="s" s="10">
        <v>118</v>
      </c>
      <c r="BE729" s="11"/>
      <c r="BF729" s="11"/>
      <c r="BG729" s="11"/>
      <c r="BH729" s="11"/>
      <c r="BI729" s="11"/>
      <c r="BJ729" s="11"/>
      <c r="BK729" s="11"/>
      <c r="BL729" s="11"/>
      <c r="BM729" s="11"/>
      <c r="BN729" s="11"/>
      <c r="BO729" s="12"/>
      <c r="BP729" s="8"/>
    </row>
    <row r="730" ht="9" customHeight="1" hidden="1">
      <c r="A730" t="s" s="13">
        <v>2839</v>
      </c>
      <c r="B730" s="14"/>
      <c r="C730" t="str" s="14" cm="1">
        <f t="array" ref="C730">_xlfn.IFERROR((VLOOKUP(A730,#REF!,2,FALSE)),"")</f>
      </c>
      <c r="D730" s="14"/>
      <c r="E730" t="s" s="15">
        <v>2840</v>
      </c>
      <c r="F730" s="14"/>
      <c r="G730" t="s" s="15">
        <v>2841</v>
      </c>
      <c r="H730" t="s" s="15">
        <v>2842</v>
      </c>
      <c r="I730" t="s" s="15">
        <v>82</v>
      </c>
      <c r="J730" t="s" s="15">
        <v>82</v>
      </c>
      <c r="K730" t="s" s="15">
        <v>82</v>
      </c>
      <c r="L730" t="s" s="15">
        <v>2843</v>
      </c>
      <c r="M730" t="s" s="15">
        <v>77</v>
      </c>
      <c r="N730" s="14"/>
      <c r="O730" s="14"/>
      <c r="P730" s="14"/>
      <c r="Q730" t="s" s="15">
        <v>69</v>
      </c>
      <c r="R730" t="s" s="15">
        <v>83</v>
      </c>
      <c r="S730" t="s" s="15">
        <v>69</v>
      </c>
      <c r="T730" s="14"/>
      <c r="U730" s="14"/>
      <c r="V730" t="s" s="15">
        <v>78</v>
      </c>
      <c r="W730" s="14"/>
      <c r="X730" t="s" s="15">
        <v>78</v>
      </c>
      <c r="Y730" s="14"/>
      <c r="Z730" t="s" s="15">
        <v>76</v>
      </c>
      <c r="AA730" s="14"/>
      <c r="AB730" t="s" s="15">
        <v>2844</v>
      </c>
      <c r="AC730" s="14"/>
      <c r="AD730" s="14"/>
      <c r="AE730" s="14"/>
      <c r="AF730" s="14"/>
      <c r="AG730" t="s" s="15">
        <v>299</v>
      </c>
      <c r="AH730" t="s" s="15">
        <v>114</v>
      </c>
      <c r="AI730" t="s" s="15">
        <v>440</v>
      </c>
      <c r="AJ730" s="14"/>
      <c r="AK730" t="s" s="15">
        <v>83</v>
      </c>
      <c r="AL730" s="14"/>
      <c r="AM730" s="14"/>
      <c r="AN730" s="14"/>
      <c r="AO730" s="14"/>
      <c r="AP730" s="14"/>
      <c r="AQ730" s="14"/>
      <c r="AR730" s="14"/>
      <c r="AS730" t="s" s="15">
        <v>2845</v>
      </c>
      <c r="AT730" s="14"/>
      <c r="AU730" s="14"/>
      <c r="AV730" s="14"/>
      <c r="AW730" s="14"/>
      <c r="AX730" s="14"/>
      <c r="AY730" s="14"/>
      <c r="AZ730" s="14"/>
      <c r="BA730" s="14"/>
      <c r="BB730" s="14"/>
      <c r="BC730" s="14"/>
      <c r="BD730" t="s" s="15">
        <v>118</v>
      </c>
      <c r="BE730" s="14"/>
      <c r="BF730" s="14"/>
      <c r="BG730" s="14"/>
      <c r="BH730" s="14"/>
      <c r="BI730" s="14"/>
      <c r="BJ730" s="14"/>
      <c r="BK730" s="14"/>
      <c r="BL730" s="14"/>
      <c r="BM730" s="14"/>
      <c r="BN730" s="14"/>
      <c r="BO730" s="16"/>
      <c r="BP730" s="8"/>
    </row>
    <row r="731" ht="9" customHeight="1" hidden="1">
      <c r="A731" t="s" s="9">
        <v>2846</v>
      </c>
      <c r="B731" s="11"/>
      <c r="C731" t="str" s="11" cm="1">
        <f t="array" ref="C731">_xlfn.IFERROR((VLOOKUP(A731,#REF!,2,FALSE)),"")</f>
      </c>
      <c r="D731" t="s" s="10">
        <v>70</v>
      </c>
      <c r="E731" t="s" s="10">
        <v>450</v>
      </c>
      <c r="F731" s="11"/>
      <c r="G731" t="s" s="10">
        <v>2847</v>
      </c>
      <c r="H731" t="s" s="10">
        <v>2847</v>
      </c>
      <c r="I731" t="s" s="10">
        <v>82</v>
      </c>
      <c r="J731" t="s" s="10">
        <v>82</v>
      </c>
      <c r="K731" t="s" s="10">
        <v>82</v>
      </c>
      <c r="L731" t="s" s="10">
        <v>76</v>
      </c>
      <c r="M731" t="s" s="10">
        <v>77</v>
      </c>
      <c r="N731" s="11"/>
      <c r="O731" s="11"/>
      <c r="P731" s="11"/>
      <c r="Q731" t="s" s="10">
        <v>69</v>
      </c>
      <c r="R731" t="s" s="10">
        <v>83</v>
      </c>
      <c r="S731" s="11"/>
      <c r="T731" s="11"/>
      <c r="U731" s="11"/>
      <c r="V731" t="s" s="10">
        <v>78</v>
      </c>
      <c r="W731" s="11"/>
      <c r="X731" t="s" s="10">
        <v>78</v>
      </c>
      <c r="Y731" s="11"/>
      <c r="Z731" t="s" s="10">
        <v>76</v>
      </c>
      <c r="AA731" s="11"/>
      <c r="AB731" t="s" s="10">
        <v>2844</v>
      </c>
      <c r="AC731" t="s" s="10">
        <v>2846</v>
      </c>
      <c r="AD731" s="11"/>
      <c r="AE731" s="11"/>
      <c r="AF731" s="11"/>
      <c r="AG731" t="s" s="10">
        <v>288</v>
      </c>
      <c r="AH731" t="s" s="10">
        <v>106</v>
      </c>
      <c r="AI731" t="s" s="10">
        <v>440</v>
      </c>
      <c r="AJ731" s="11"/>
      <c r="AK731" t="s" s="10">
        <v>79</v>
      </c>
      <c r="AL731" s="11"/>
      <c r="AM731" s="11"/>
      <c r="AN731" s="11"/>
      <c r="AO731" s="11"/>
      <c r="AP731" s="11"/>
      <c r="AQ731" s="11"/>
      <c r="AR731" s="11"/>
      <c r="AS731" t="s" s="10">
        <v>2848</v>
      </c>
      <c r="AT731" s="11"/>
      <c r="AU731" s="11"/>
      <c r="AV731" s="11"/>
      <c r="AW731" s="11"/>
      <c r="AX731" s="11"/>
      <c r="AY731" s="11"/>
      <c r="AZ731" s="11"/>
      <c r="BA731" s="11"/>
      <c r="BB731" s="11"/>
      <c r="BC731" s="11"/>
      <c r="BD731" s="11"/>
      <c r="BE731" s="11"/>
      <c r="BF731" s="11"/>
      <c r="BG731" s="11"/>
      <c r="BH731" s="11"/>
      <c r="BI731" s="11"/>
      <c r="BJ731" s="11"/>
      <c r="BK731" s="11"/>
      <c r="BL731" s="11"/>
      <c r="BM731" s="11"/>
      <c r="BN731" s="11"/>
      <c r="BO731" s="12"/>
      <c r="BP731" s="8"/>
    </row>
    <row r="732" ht="15" customHeight="1" hidden="1">
      <c r="A732" t="s" s="13">
        <v>2849</v>
      </c>
      <c r="B732" s="14"/>
      <c r="C732" t="str" s="14" cm="1">
        <f t="array" ref="C732">_xlfn.IFERROR((VLOOKUP(A732,#REF!,2,FALSE)),"")</f>
      </c>
      <c r="D732" s="14"/>
      <c r="E732" t="s" s="15">
        <v>2840</v>
      </c>
      <c r="F732" s="14"/>
      <c r="G732" t="s" s="15">
        <v>2850</v>
      </c>
      <c r="H732" t="s" s="15">
        <v>714</v>
      </c>
      <c r="I732" t="s" s="15">
        <v>111</v>
      </c>
      <c r="J732" t="s" s="15">
        <v>112</v>
      </c>
      <c r="K732" t="s" s="15">
        <v>140</v>
      </c>
      <c r="L732" t="s" s="15">
        <v>76</v>
      </c>
      <c r="M732" t="s" s="15">
        <v>2850</v>
      </c>
      <c r="N732" t="s" s="15">
        <v>2850</v>
      </c>
      <c r="O732" s="14"/>
      <c r="P732" t="s" s="15">
        <v>112</v>
      </c>
      <c r="Q732" t="s" s="15">
        <v>69</v>
      </c>
      <c r="R732" t="s" s="15">
        <v>83</v>
      </c>
      <c r="S732" s="14"/>
      <c r="T732" s="14"/>
      <c r="U732" s="14"/>
      <c r="V732" t="s" s="15">
        <v>69</v>
      </c>
      <c r="W732" s="14"/>
      <c r="X732" t="s" s="15">
        <v>69</v>
      </c>
      <c r="Y732" s="14"/>
      <c r="Z732" t="s" s="15">
        <v>76</v>
      </c>
      <c r="AA732" s="14"/>
      <c r="AB732" t="s" s="15">
        <v>76</v>
      </c>
      <c r="AC732" t="s" s="15">
        <v>2849</v>
      </c>
      <c r="AD732" t="s" s="15">
        <v>2851</v>
      </c>
      <c r="AE732" s="14"/>
      <c r="AF732" s="14"/>
      <c r="AG732" t="s" s="15">
        <v>299</v>
      </c>
      <c r="AH732" t="s" s="15">
        <v>114</v>
      </c>
      <c r="AI732" t="s" s="15">
        <v>717</v>
      </c>
      <c r="AJ732" s="14"/>
      <c r="AK732" t="s" s="15">
        <v>83</v>
      </c>
      <c r="AL732" t="s" s="15">
        <v>293</v>
      </c>
      <c r="AM732" t="s" s="15">
        <v>294</v>
      </c>
      <c r="AN732" t="s" s="15">
        <v>1770</v>
      </c>
      <c r="AO732" s="17">
        <v>4</v>
      </c>
      <c r="AP732" s="17">
        <v>8192</v>
      </c>
      <c r="AQ732" s="17">
        <v>417904</v>
      </c>
      <c r="AR732" s="17">
        <v>417904</v>
      </c>
      <c r="AS732" t="s" s="15">
        <v>2852</v>
      </c>
      <c r="AT732" t="s" s="15">
        <v>301</v>
      </c>
      <c r="AU732" s="14"/>
      <c r="AV732" s="14"/>
      <c r="AW732" s="14"/>
      <c r="AX732" s="14"/>
      <c r="AY732" s="14"/>
      <c r="AZ732" s="14"/>
      <c r="BA732" s="14"/>
      <c r="BB732" s="14"/>
      <c r="BC732" s="14"/>
      <c r="BD732" t="s" s="15">
        <v>310</v>
      </c>
      <c r="BE732" t="s" s="15">
        <v>356</v>
      </c>
      <c r="BF732" s="17">
        <v>4</v>
      </c>
      <c r="BG732" s="17">
        <v>8</v>
      </c>
      <c r="BH732" s="14"/>
      <c r="BI732" s="14"/>
      <c r="BJ732" s="14"/>
      <c r="BK732" s="14"/>
      <c r="BL732" s="14"/>
      <c r="BM732" s="14"/>
      <c r="BN732" t="s" s="15">
        <v>78</v>
      </c>
      <c r="BO732" s="16"/>
      <c r="BP732" s="8"/>
    </row>
    <row r="733" ht="9" customHeight="1" hidden="1">
      <c r="A733" t="s" s="9">
        <v>2853</v>
      </c>
      <c r="B733" s="11"/>
      <c r="C733" t="str" s="11" cm="1">
        <f t="array" ref="C733">_xlfn.IFERROR((VLOOKUP(A733,#REF!,2,FALSE)),"")</f>
      </c>
      <c r="D733" s="11"/>
      <c r="E733" t="s" s="10">
        <v>303</v>
      </c>
      <c r="F733" s="11"/>
      <c r="G733" t="s" s="10">
        <v>2854</v>
      </c>
      <c r="H733" t="s" s="10">
        <v>714</v>
      </c>
      <c r="I733" t="s" s="10">
        <v>73</v>
      </c>
      <c r="J733" t="s" s="10">
        <v>74</v>
      </c>
      <c r="K733" t="s" s="10">
        <v>140</v>
      </c>
      <c r="L733" t="s" s="10">
        <v>76</v>
      </c>
      <c r="M733" t="s" s="10">
        <v>2854</v>
      </c>
      <c r="N733" t="s" s="10">
        <v>2854</v>
      </c>
      <c r="O733" t="s" s="10">
        <v>71</v>
      </c>
      <c r="P733" t="s" s="10">
        <v>74</v>
      </c>
      <c r="Q733" t="s" s="10">
        <v>78</v>
      </c>
      <c r="R733" t="s" s="10">
        <v>716</v>
      </c>
      <c r="S733" s="11"/>
      <c r="T733" s="11"/>
      <c r="U733" s="11"/>
      <c r="V733" t="s" s="10">
        <v>78</v>
      </c>
      <c r="W733" t="s" s="10">
        <v>2853</v>
      </c>
      <c r="X733" t="s" s="10">
        <v>69</v>
      </c>
      <c r="Y733" s="11"/>
      <c r="Z733" t="s" s="10">
        <v>76</v>
      </c>
      <c r="AA733" s="11"/>
      <c r="AB733" t="s" s="10">
        <v>76</v>
      </c>
      <c r="AC733" s="11"/>
      <c r="AD733" s="11"/>
      <c r="AE733" s="11"/>
      <c r="AF733" s="11"/>
      <c r="AG733" s="11"/>
      <c r="AH733" t="s" s="10">
        <v>114</v>
      </c>
      <c r="AI733" t="s" s="10">
        <v>76</v>
      </c>
      <c r="AJ733" t="s" s="10">
        <v>76</v>
      </c>
      <c r="AK733" t="s" s="10">
        <v>79</v>
      </c>
      <c r="AL733" s="11"/>
      <c r="AM733" s="11"/>
      <c r="AN733" s="11"/>
      <c r="AO733" s="11"/>
      <c r="AP733" s="11"/>
      <c r="AQ733" s="11"/>
      <c r="AR733" s="11"/>
      <c r="AS733" s="11"/>
      <c r="AT733" s="11"/>
      <c r="AU733" s="11"/>
      <c r="AV733" s="11"/>
      <c r="AW733" s="11"/>
      <c r="AX733" s="11"/>
      <c r="AY733" s="11"/>
      <c r="AZ733" s="11"/>
      <c r="BA733" s="11"/>
      <c r="BB733" s="11"/>
      <c r="BC733" s="11"/>
      <c r="BD733" t="s" s="10">
        <v>118</v>
      </c>
      <c r="BE733" s="11"/>
      <c r="BF733" s="11"/>
      <c r="BG733" s="11"/>
      <c r="BH733" s="11"/>
      <c r="BI733" s="11"/>
      <c r="BJ733" s="11"/>
      <c r="BK733" s="11"/>
      <c r="BL733" s="11"/>
      <c r="BM733" s="11"/>
      <c r="BN733" s="11"/>
      <c r="BO733" s="12"/>
      <c r="BP733" s="8"/>
    </row>
    <row r="734" ht="15" customHeight="1" hidden="1">
      <c r="A734" t="s" s="13">
        <v>2855</v>
      </c>
      <c r="B734" s="14"/>
      <c r="C734" t="str" s="14" cm="1">
        <f t="array" ref="C734">_xlfn.IFERROR((VLOOKUP(A734,#REF!,2,FALSE)),"")</f>
      </c>
      <c r="D734" s="14"/>
      <c r="E734" t="s" s="15">
        <v>2840</v>
      </c>
      <c r="F734" s="14"/>
      <c r="G734" t="s" s="15">
        <v>2856</v>
      </c>
      <c r="H734" t="s" s="15">
        <v>714</v>
      </c>
      <c r="I734" t="s" s="15">
        <v>111</v>
      </c>
      <c r="J734" t="s" s="15">
        <v>322</v>
      </c>
      <c r="K734" t="s" s="15">
        <v>140</v>
      </c>
      <c r="L734" t="s" s="15">
        <v>76</v>
      </c>
      <c r="M734" t="s" s="15">
        <v>2856</v>
      </c>
      <c r="N734" t="s" s="15">
        <v>2856</v>
      </c>
      <c r="O734" s="14"/>
      <c r="P734" t="s" s="15">
        <v>322</v>
      </c>
      <c r="Q734" t="s" s="15">
        <v>69</v>
      </c>
      <c r="R734" t="s" s="15">
        <v>83</v>
      </c>
      <c r="S734" s="14"/>
      <c r="T734" s="14"/>
      <c r="U734" s="14"/>
      <c r="V734" t="s" s="15">
        <v>69</v>
      </c>
      <c r="W734" s="14"/>
      <c r="X734" t="s" s="15">
        <v>69</v>
      </c>
      <c r="Y734" s="14"/>
      <c r="Z734" t="s" s="15">
        <v>76</v>
      </c>
      <c r="AA734" s="14"/>
      <c r="AB734" t="s" s="15">
        <v>76</v>
      </c>
      <c r="AC734" t="s" s="15">
        <v>2855</v>
      </c>
      <c r="AD734" s="14"/>
      <c r="AE734" s="14"/>
      <c r="AF734" s="14"/>
      <c r="AG734" t="s" s="15">
        <v>299</v>
      </c>
      <c r="AH734" t="s" s="15">
        <v>114</v>
      </c>
      <c r="AI734" t="s" s="15">
        <v>717</v>
      </c>
      <c r="AJ734" s="14"/>
      <c r="AK734" t="s" s="15">
        <v>83</v>
      </c>
      <c r="AL734" t="s" s="15">
        <v>293</v>
      </c>
      <c r="AM734" t="s" s="15">
        <v>294</v>
      </c>
      <c r="AN734" t="s" s="15">
        <v>128</v>
      </c>
      <c r="AO734" s="17">
        <v>4</v>
      </c>
      <c r="AP734" s="17">
        <v>16384</v>
      </c>
      <c r="AQ734" s="17">
        <v>374963</v>
      </c>
      <c r="AR734" s="17">
        <v>374963</v>
      </c>
      <c r="AS734" t="s" s="15">
        <v>2857</v>
      </c>
      <c r="AT734" t="s" s="15">
        <v>301</v>
      </c>
      <c r="AU734" s="14"/>
      <c r="AV734" s="14"/>
      <c r="AW734" s="14"/>
      <c r="AX734" s="14"/>
      <c r="AY734" s="14"/>
      <c r="AZ734" s="14"/>
      <c r="BA734" s="14"/>
      <c r="BB734" s="14"/>
      <c r="BC734" s="14"/>
      <c r="BD734" t="s" s="15">
        <v>366</v>
      </c>
      <c r="BE734" t="s" s="15">
        <v>394</v>
      </c>
      <c r="BF734" s="17">
        <v>4</v>
      </c>
      <c r="BG734" s="17">
        <v>16</v>
      </c>
      <c r="BH734" s="14"/>
      <c r="BI734" s="14"/>
      <c r="BJ734" s="14"/>
      <c r="BK734" s="14"/>
      <c r="BL734" s="14"/>
      <c r="BM734" s="14"/>
      <c r="BN734" t="s" s="15">
        <v>78</v>
      </c>
      <c r="BO734" s="16"/>
      <c r="BP734" s="8"/>
    </row>
    <row r="735" ht="15" customHeight="1" hidden="1">
      <c r="A735" t="s" s="9">
        <v>2858</v>
      </c>
      <c r="B735" s="11"/>
      <c r="C735" t="str" s="11" cm="1">
        <f t="array" ref="C735">_xlfn.IFERROR((VLOOKUP(A735,#REF!,2,FALSE)),"")</f>
      </c>
      <c r="D735" s="11"/>
      <c r="E735" t="s" s="10">
        <v>2859</v>
      </c>
      <c r="F735" s="11"/>
      <c r="G735" t="s" s="10">
        <v>740</v>
      </c>
      <c r="H735" t="s" s="10">
        <v>741</v>
      </c>
      <c r="I735" t="s" s="10">
        <v>82</v>
      </c>
      <c r="J735" t="s" s="10">
        <v>82</v>
      </c>
      <c r="K735" s="11"/>
      <c r="L735" t="s" s="10">
        <v>83</v>
      </c>
      <c r="M735" s="11"/>
      <c r="N735" s="11"/>
      <c r="O735" t="s" s="10">
        <v>83</v>
      </c>
      <c r="P735" s="11"/>
      <c r="Q735" s="11"/>
      <c r="R735" t="s" s="10">
        <v>83</v>
      </c>
      <c r="S735" s="11"/>
      <c r="T735" s="11"/>
      <c r="U735" s="11"/>
      <c r="V735" s="11"/>
      <c r="W735" s="11"/>
      <c r="X735" s="11"/>
      <c r="Y735" s="11"/>
      <c r="Z735" t="s" s="10">
        <v>83</v>
      </c>
      <c r="AA735" s="11"/>
      <c r="AB735" t="s" s="10">
        <v>83</v>
      </c>
      <c r="AC735" s="11"/>
      <c r="AD735" s="11"/>
      <c r="AE735" s="11"/>
      <c r="AF735" s="11"/>
      <c r="AG735" t="s" s="10">
        <v>299</v>
      </c>
      <c r="AH735" t="s" s="10">
        <v>83</v>
      </c>
      <c r="AI735" t="s" s="10">
        <v>83</v>
      </c>
      <c r="AJ735" t="s" s="10">
        <v>83</v>
      </c>
      <c r="AK735" t="s" s="10">
        <v>83</v>
      </c>
      <c r="AL735" t="s" s="10">
        <v>115</v>
      </c>
      <c r="AM735" t="s" s="10">
        <v>294</v>
      </c>
      <c r="AN735" t="s" s="10">
        <v>83</v>
      </c>
      <c r="AO735" s="11"/>
      <c r="AP735" s="11"/>
      <c r="AQ735" s="11"/>
      <c r="AR735" s="11"/>
      <c r="AS735" t="s" s="10">
        <v>2860</v>
      </c>
      <c r="AT735" s="11"/>
      <c r="AU735" s="11"/>
      <c r="AV735" s="11"/>
      <c r="AW735" s="11"/>
      <c r="AX735" s="11"/>
      <c r="AY735" s="11"/>
      <c r="AZ735" s="11"/>
      <c r="BA735" s="11"/>
      <c r="BB735" s="11"/>
      <c r="BC735" s="11"/>
      <c r="BD735" s="11"/>
      <c r="BE735" s="11"/>
      <c r="BF735" s="11"/>
      <c r="BG735" s="11"/>
      <c r="BH735" s="11"/>
      <c r="BI735" s="11"/>
      <c r="BJ735" s="11"/>
      <c r="BK735" s="11"/>
      <c r="BL735" s="11"/>
      <c r="BM735" s="11"/>
      <c r="BN735" s="11"/>
      <c r="BO735" s="12"/>
      <c r="BP735" s="8"/>
    </row>
    <row r="736" ht="15" customHeight="1" hidden="1">
      <c r="A736" t="s" s="13">
        <v>2861</v>
      </c>
      <c r="B736" s="14"/>
      <c r="C736" t="str" s="14" cm="1">
        <f t="array" ref="C736">_xlfn.IFERROR((VLOOKUP(A736,#REF!,2,FALSE)),"")</f>
      </c>
      <c r="D736" s="14"/>
      <c r="E736" s="14"/>
      <c r="F736" s="14"/>
      <c r="G736" t="s" s="15">
        <v>2862</v>
      </c>
      <c r="H736" t="s" s="15">
        <v>2863</v>
      </c>
      <c r="I736" t="s" s="15">
        <v>111</v>
      </c>
      <c r="J736" t="s" s="15">
        <v>322</v>
      </c>
      <c r="K736" t="s" s="15">
        <v>113</v>
      </c>
      <c r="L736" t="s" s="15">
        <v>2864</v>
      </c>
      <c r="M736" t="s" s="15">
        <v>2865</v>
      </c>
      <c r="N736" t="s" s="15">
        <v>2865</v>
      </c>
      <c r="O736" s="14"/>
      <c r="P736" t="s" s="15">
        <v>322</v>
      </c>
      <c r="Q736" t="s" s="15">
        <v>69</v>
      </c>
      <c r="R736" t="s" s="15">
        <v>716</v>
      </c>
      <c r="S736" s="14"/>
      <c r="T736" s="14"/>
      <c r="U736" s="14"/>
      <c r="V736" t="s" s="15">
        <v>69</v>
      </c>
      <c r="W736" s="14"/>
      <c r="X736" t="s" s="15">
        <v>69</v>
      </c>
      <c r="Y736" s="14"/>
      <c r="Z736" t="s" s="15">
        <v>2866</v>
      </c>
      <c r="AA736" s="14"/>
      <c r="AB736" t="s" s="15">
        <v>2867</v>
      </c>
      <c r="AC736" t="s" s="15">
        <v>2861</v>
      </c>
      <c r="AD736" t="s" s="15">
        <v>2868</v>
      </c>
      <c r="AE736" s="14"/>
      <c r="AF736" s="14"/>
      <c r="AG736" t="s" s="15">
        <v>299</v>
      </c>
      <c r="AH736" t="s" s="15">
        <v>114</v>
      </c>
      <c r="AI736" t="s" s="15">
        <v>440</v>
      </c>
      <c r="AJ736" s="14"/>
      <c r="AK736" t="s" s="15">
        <v>292</v>
      </c>
      <c r="AL736" t="s" s="15">
        <v>293</v>
      </c>
      <c r="AM736" t="s" s="15">
        <v>294</v>
      </c>
      <c r="AN736" t="s" s="15">
        <v>116</v>
      </c>
      <c r="AO736" s="17">
        <v>4</v>
      </c>
      <c r="AP736" s="17">
        <v>16384</v>
      </c>
      <c r="AQ736" s="17">
        <v>6543469</v>
      </c>
      <c r="AR736" s="17">
        <v>3641266</v>
      </c>
      <c r="AS736" t="s" s="15">
        <v>2869</v>
      </c>
      <c r="AT736" t="s" s="15">
        <v>301</v>
      </c>
      <c r="AU736" s="14"/>
      <c r="AV736" s="14"/>
      <c r="AW736" s="14"/>
      <c r="AX736" s="14"/>
      <c r="AY736" s="14"/>
      <c r="AZ736" s="14"/>
      <c r="BA736" s="14"/>
      <c r="BB736" s="14"/>
      <c r="BC736" s="14"/>
      <c r="BD736" t="s" s="15">
        <v>366</v>
      </c>
      <c r="BE736" t="s" s="15">
        <v>394</v>
      </c>
      <c r="BF736" s="17">
        <v>4</v>
      </c>
      <c r="BG736" s="17">
        <v>16</v>
      </c>
      <c r="BH736" s="14"/>
      <c r="BI736" s="14"/>
      <c r="BJ736" s="14"/>
      <c r="BK736" s="14"/>
      <c r="BL736" s="14"/>
      <c r="BM736" s="14"/>
      <c r="BN736" t="s" s="15">
        <v>78</v>
      </c>
      <c r="BO736" s="16"/>
      <c r="BP736" s="8"/>
    </row>
    <row r="737" ht="15" customHeight="1">
      <c r="A737" t="s" s="9">
        <v>2870</v>
      </c>
      <c r="B737" s="11"/>
      <c r="C737" t="str" s="11" cm="1">
        <f t="array" ref="C737">_xlfn.IFERROR((VLOOKUP(A737,#REF!,2,FALSE)),"")</f>
      </c>
      <c r="D737" s="11"/>
      <c r="E737" s="11"/>
      <c r="F737" s="11"/>
      <c r="G737" t="s" s="10">
        <v>2871</v>
      </c>
      <c r="H737" t="s" s="10">
        <v>1444</v>
      </c>
      <c r="I737" t="s" s="10">
        <v>111</v>
      </c>
      <c r="J737" t="s" s="10">
        <v>122</v>
      </c>
      <c r="K737" t="s" s="10">
        <v>140</v>
      </c>
      <c r="L737" t="s" s="10">
        <v>1445</v>
      </c>
      <c r="M737" t="s" s="10">
        <v>2871</v>
      </c>
      <c r="N737" t="s" s="10">
        <v>2871</v>
      </c>
      <c r="O737" s="11"/>
      <c r="P737" t="s" s="10">
        <v>122</v>
      </c>
      <c r="Q737" t="s" s="10">
        <v>69</v>
      </c>
      <c r="R737" t="s" s="10">
        <v>83</v>
      </c>
      <c r="S737" s="11"/>
      <c r="T737" s="11"/>
      <c r="U737" s="11"/>
      <c r="V737" t="s" s="10">
        <v>69</v>
      </c>
      <c r="W737" s="11"/>
      <c r="X737" t="s" s="10">
        <v>69</v>
      </c>
      <c r="Y737" s="11"/>
      <c r="Z737" t="s" s="10">
        <v>436</v>
      </c>
      <c r="AA737" s="11"/>
      <c r="AB737" t="s" s="10">
        <v>1446</v>
      </c>
      <c r="AC737" t="s" s="10">
        <v>2870</v>
      </c>
      <c r="AD737" s="11"/>
      <c r="AE737" s="11"/>
      <c r="AF737" s="11"/>
      <c r="AG737" t="s" s="10">
        <v>299</v>
      </c>
      <c r="AH737" t="s" s="10">
        <v>114</v>
      </c>
      <c r="AI737" t="s" s="10">
        <v>440</v>
      </c>
      <c r="AJ737" s="11"/>
      <c r="AK737" t="s" s="10">
        <v>83</v>
      </c>
      <c r="AL737" t="s" s="10">
        <v>293</v>
      </c>
      <c r="AM737" t="s" s="10">
        <v>294</v>
      </c>
      <c r="AN737" t="s" s="10">
        <v>2872</v>
      </c>
      <c r="AO737" s="18">
        <v>8</v>
      </c>
      <c r="AP737" s="18">
        <v>32768</v>
      </c>
      <c r="AQ737" s="18">
        <v>5964078</v>
      </c>
      <c r="AR737" s="18">
        <v>5964078</v>
      </c>
      <c r="AS737" t="s" s="10">
        <v>2873</v>
      </c>
      <c r="AT737" t="s" s="10">
        <v>301</v>
      </c>
      <c r="AU737" s="11"/>
      <c r="AV737" s="11"/>
      <c r="AW737" s="11"/>
      <c r="AX737" s="11"/>
      <c r="AY737" s="11"/>
      <c r="AZ737" s="11"/>
      <c r="BA737" s="11"/>
      <c r="BB737" s="11"/>
      <c r="BC737" s="11"/>
      <c r="BD737" t="s" s="10">
        <v>366</v>
      </c>
      <c r="BE737" t="s" s="10">
        <v>367</v>
      </c>
      <c r="BF737" s="18">
        <v>8</v>
      </c>
      <c r="BG737" s="18">
        <v>32</v>
      </c>
      <c r="BH737" s="11"/>
      <c r="BI737" s="11"/>
      <c r="BJ737" s="11"/>
      <c r="BK737" s="11"/>
      <c r="BL737" s="11"/>
      <c r="BM737" s="11"/>
      <c r="BN737" t="s" s="10">
        <v>69</v>
      </c>
      <c r="BO737" s="12"/>
      <c r="BP737" s="8"/>
    </row>
    <row r="738" ht="9" customHeight="1" hidden="1">
      <c r="A738" t="s" s="13">
        <v>2874</v>
      </c>
      <c r="B738" s="14"/>
      <c r="C738" t="str" s="14" cm="1">
        <f t="array" ref="C738">_xlfn.IFERROR((VLOOKUP(A738,#REF!,2,FALSE)),"")</f>
      </c>
      <c r="D738" s="14"/>
      <c r="E738" t="s" s="15">
        <v>687</v>
      </c>
      <c r="F738" s="14"/>
      <c r="G738" t="s" s="15">
        <v>2875</v>
      </c>
      <c r="H738" t="s" s="15">
        <v>2876</v>
      </c>
      <c r="I738" t="s" s="15">
        <v>82</v>
      </c>
      <c r="J738" t="s" s="15">
        <v>82</v>
      </c>
      <c r="K738" t="s" s="15">
        <v>82</v>
      </c>
      <c r="L738" t="s" s="15">
        <v>76</v>
      </c>
      <c r="M738" t="s" s="15">
        <v>77</v>
      </c>
      <c r="N738" s="14"/>
      <c r="O738" s="14"/>
      <c r="P738" s="14"/>
      <c r="Q738" t="s" s="15">
        <v>69</v>
      </c>
      <c r="R738" t="s" s="15">
        <v>83</v>
      </c>
      <c r="S738" t="s" s="15">
        <v>69</v>
      </c>
      <c r="T738" s="14"/>
      <c r="U738" s="14"/>
      <c r="V738" t="s" s="15">
        <v>78</v>
      </c>
      <c r="W738" s="14"/>
      <c r="X738" t="s" s="15">
        <v>78</v>
      </c>
      <c r="Y738" s="14"/>
      <c r="Z738" t="s" s="15">
        <v>76</v>
      </c>
      <c r="AA738" s="14"/>
      <c r="AB738" t="s" s="15">
        <v>76</v>
      </c>
      <c r="AC738" s="14"/>
      <c r="AD738" s="14"/>
      <c r="AE738" s="14"/>
      <c r="AF738" s="14"/>
      <c r="AG738" t="s" s="15">
        <v>299</v>
      </c>
      <c r="AH738" t="s" s="15">
        <v>114</v>
      </c>
      <c r="AI738" t="s" s="15">
        <v>604</v>
      </c>
      <c r="AJ738" s="14"/>
      <c r="AK738" t="s" s="15">
        <v>83</v>
      </c>
      <c r="AL738" s="14"/>
      <c r="AM738" s="14"/>
      <c r="AN738" s="14"/>
      <c r="AO738" s="14"/>
      <c r="AP738" s="14"/>
      <c r="AQ738" s="14"/>
      <c r="AR738" s="14"/>
      <c r="AS738" t="s" s="15">
        <v>2877</v>
      </c>
      <c r="AT738" s="14"/>
      <c r="AU738" s="14"/>
      <c r="AV738" s="14"/>
      <c r="AW738" s="14"/>
      <c r="AX738" s="14"/>
      <c r="AY738" s="14"/>
      <c r="AZ738" s="14"/>
      <c r="BA738" s="14"/>
      <c r="BB738" s="14"/>
      <c r="BC738" s="14"/>
      <c r="BD738" t="s" s="15">
        <v>118</v>
      </c>
      <c r="BE738" s="14"/>
      <c r="BF738" s="14"/>
      <c r="BG738" s="14"/>
      <c r="BH738" s="14"/>
      <c r="BI738" s="14"/>
      <c r="BJ738" s="14"/>
      <c r="BK738" s="14"/>
      <c r="BL738" s="14"/>
      <c r="BM738" s="14"/>
      <c r="BN738" s="14"/>
      <c r="BO738" s="16"/>
      <c r="BP738" s="8"/>
    </row>
    <row r="739" ht="9" customHeight="1" hidden="1">
      <c r="A739" t="s" s="9">
        <v>2878</v>
      </c>
      <c r="B739" s="11"/>
      <c r="C739" t="str" s="11" cm="1">
        <f t="array" ref="C739">_xlfn.IFERROR((VLOOKUP(A739,#REF!,2,FALSE)),"")</f>
      </c>
      <c r="D739" t="s" s="10">
        <v>70</v>
      </c>
      <c r="E739" t="s" s="10">
        <v>450</v>
      </c>
      <c r="F739" s="11"/>
      <c r="G739" t="s" s="10">
        <v>2879</v>
      </c>
      <c r="H739" t="s" s="10">
        <v>2879</v>
      </c>
      <c r="I739" t="s" s="10">
        <v>82</v>
      </c>
      <c r="J739" t="s" s="10">
        <v>82</v>
      </c>
      <c r="K739" t="s" s="10">
        <v>82</v>
      </c>
      <c r="L739" t="s" s="10">
        <v>76</v>
      </c>
      <c r="M739" t="s" s="10">
        <v>77</v>
      </c>
      <c r="N739" s="11"/>
      <c r="O739" s="11"/>
      <c r="P739" s="11"/>
      <c r="Q739" t="s" s="10">
        <v>69</v>
      </c>
      <c r="R739" t="s" s="10">
        <v>83</v>
      </c>
      <c r="S739" s="11"/>
      <c r="T739" s="11"/>
      <c r="U739" s="11"/>
      <c r="V739" t="s" s="10">
        <v>78</v>
      </c>
      <c r="W739" s="11"/>
      <c r="X739" t="s" s="10">
        <v>78</v>
      </c>
      <c r="Y739" s="11"/>
      <c r="Z739" t="s" s="10">
        <v>76</v>
      </c>
      <c r="AA739" s="11"/>
      <c r="AB739" t="s" s="10">
        <v>76</v>
      </c>
      <c r="AC739" t="s" s="10">
        <v>2878</v>
      </c>
      <c r="AD739" s="11"/>
      <c r="AE739" s="11"/>
      <c r="AF739" s="11"/>
      <c r="AG739" t="s" s="10">
        <v>288</v>
      </c>
      <c r="AH739" t="s" s="10">
        <v>106</v>
      </c>
      <c r="AI739" t="s" s="10">
        <v>76</v>
      </c>
      <c r="AJ739" t="s" s="10">
        <v>76</v>
      </c>
      <c r="AK739" t="s" s="10">
        <v>79</v>
      </c>
      <c r="AL739" s="11"/>
      <c r="AM739" s="11"/>
      <c r="AN739" s="11"/>
      <c r="AO739" s="11"/>
      <c r="AP739" s="11"/>
      <c r="AQ739" s="11"/>
      <c r="AR739" s="11"/>
      <c r="AS739" t="s" s="10">
        <v>2880</v>
      </c>
      <c r="AT739" s="11"/>
      <c r="AU739" s="11"/>
      <c r="AV739" s="11"/>
      <c r="AW739" s="11"/>
      <c r="AX739" s="11"/>
      <c r="AY739" s="11"/>
      <c r="AZ739" s="11"/>
      <c r="BA739" s="11"/>
      <c r="BB739" s="11"/>
      <c r="BC739" s="11"/>
      <c r="BD739" s="11"/>
      <c r="BE739" s="11"/>
      <c r="BF739" s="11"/>
      <c r="BG739" s="11"/>
      <c r="BH739" s="11"/>
      <c r="BI739" s="11"/>
      <c r="BJ739" s="11"/>
      <c r="BK739" s="11"/>
      <c r="BL739" s="11"/>
      <c r="BM739" s="11"/>
      <c r="BN739" s="11"/>
      <c r="BO739" s="12"/>
      <c r="BP739" s="8"/>
    </row>
    <row r="740" ht="9" customHeight="1" hidden="1">
      <c r="A740" t="s" s="13">
        <v>2881</v>
      </c>
      <c r="B740" s="14"/>
      <c r="C740" t="str" s="14" cm="1">
        <f t="array" ref="C740">_xlfn.IFERROR((VLOOKUP(A740,#REF!,2,FALSE)),"")</f>
      </c>
      <c r="D740" s="14"/>
      <c r="E740" s="14"/>
      <c r="F740" s="14"/>
      <c r="G740" t="s" s="15">
        <v>2882</v>
      </c>
      <c r="H740" t="s" s="15">
        <v>524</v>
      </c>
      <c r="I740" t="s" s="15">
        <v>111</v>
      </c>
      <c r="J740" t="s" s="15">
        <v>112</v>
      </c>
      <c r="K740" t="s" s="15">
        <v>140</v>
      </c>
      <c r="L740" t="s" s="15">
        <v>518</v>
      </c>
      <c r="M740" t="s" s="15">
        <v>2882</v>
      </c>
      <c r="N740" t="s" s="15">
        <v>2882</v>
      </c>
      <c r="O740" s="14"/>
      <c r="P740" t="s" s="15">
        <v>112</v>
      </c>
      <c r="Q740" t="s" s="15">
        <v>69</v>
      </c>
      <c r="R740" t="s" s="15">
        <v>83</v>
      </c>
      <c r="S740" s="14"/>
      <c r="T740" s="14"/>
      <c r="U740" s="14"/>
      <c r="V740" t="s" s="15">
        <v>69</v>
      </c>
      <c r="W740" s="14"/>
      <c r="X740" t="s" s="15">
        <v>69</v>
      </c>
      <c r="Y740" s="14"/>
      <c r="Z740" t="s" s="15">
        <v>552</v>
      </c>
      <c r="AA740" s="14"/>
      <c r="AB740" t="s" s="15">
        <v>1551</v>
      </c>
      <c r="AC740" t="s" s="15">
        <v>2881</v>
      </c>
      <c r="AD740" t="s" s="15">
        <v>2883</v>
      </c>
      <c r="AE740" s="14"/>
      <c r="AF740" s="14"/>
      <c r="AG740" t="s" s="15">
        <v>299</v>
      </c>
      <c r="AH740" t="s" s="15">
        <v>289</v>
      </c>
      <c r="AI740" t="s" s="15">
        <v>440</v>
      </c>
      <c r="AJ740" s="14"/>
      <c r="AK740" t="s" s="15">
        <v>83</v>
      </c>
      <c r="AL740" t="s" s="15">
        <v>293</v>
      </c>
      <c r="AM740" t="s" s="15">
        <v>294</v>
      </c>
      <c r="AN740" t="s" s="15">
        <v>128</v>
      </c>
      <c r="AO740" s="17">
        <v>8</v>
      </c>
      <c r="AP740" s="17">
        <v>16384</v>
      </c>
      <c r="AQ740" s="17">
        <v>528591</v>
      </c>
      <c r="AR740" s="17">
        <v>162028</v>
      </c>
      <c r="AS740" t="s" s="15">
        <v>2884</v>
      </c>
      <c r="AT740" t="s" s="15">
        <v>301</v>
      </c>
      <c r="AU740" s="14"/>
      <c r="AV740" s="14"/>
      <c r="AW740" t="s" s="15">
        <v>2885</v>
      </c>
      <c r="AX740" s="14"/>
      <c r="AY740" s="14"/>
      <c r="AZ740" s="14"/>
      <c r="BA740" s="14"/>
      <c r="BB740" s="14"/>
      <c r="BC740" s="14"/>
      <c r="BD740" s="14"/>
      <c r="BE740" s="14"/>
      <c r="BF740" s="14"/>
      <c r="BG740" s="14"/>
      <c r="BH740" s="14"/>
      <c r="BI740" s="14"/>
      <c r="BJ740" s="14"/>
      <c r="BK740" s="14"/>
      <c r="BL740" s="14"/>
      <c r="BM740" s="14"/>
      <c r="BN740" t="s" s="15">
        <v>78</v>
      </c>
      <c r="BO740" s="16"/>
      <c r="BP740" s="8"/>
    </row>
    <row r="741" ht="13.55" customHeight="1">
      <c r="A741" t="s" s="9">
        <v>2886</v>
      </c>
      <c r="B741" s="11"/>
      <c r="C741" t="str" s="11" cm="1">
        <f t="array" ref="C741">_xlfn.IFERROR((VLOOKUP(A741,#REF!,2,FALSE)),"")</f>
      </c>
      <c r="D741" s="11"/>
      <c r="E741" t="s" s="10">
        <v>2840</v>
      </c>
      <c r="F741" s="11"/>
      <c r="G741" t="s" s="10">
        <v>2887</v>
      </c>
      <c r="H741" t="s" s="10">
        <v>714</v>
      </c>
      <c r="I741" t="s" s="10">
        <v>111</v>
      </c>
      <c r="J741" t="s" s="10">
        <v>122</v>
      </c>
      <c r="K741" t="s" s="10">
        <v>140</v>
      </c>
      <c r="L741" t="s" s="10">
        <v>76</v>
      </c>
      <c r="M741" t="s" s="10">
        <v>2887</v>
      </c>
      <c r="N741" t="s" s="10">
        <v>2887</v>
      </c>
      <c r="O741" s="11"/>
      <c r="P741" t="s" s="10">
        <v>122</v>
      </c>
      <c r="Q741" t="s" s="10">
        <v>69</v>
      </c>
      <c r="R741" t="s" s="10">
        <v>83</v>
      </c>
      <c r="S741" s="11"/>
      <c r="T741" s="11"/>
      <c r="U741" s="11"/>
      <c r="V741" t="s" s="10">
        <v>69</v>
      </c>
      <c r="W741" s="11"/>
      <c r="X741" t="s" s="10">
        <v>69</v>
      </c>
      <c r="Y741" s="11"/>
      <c r="Z741" t="s" s="10">
        <v>76</v>
      </c>
      <c r="AA741" s="11"/>
      <c r="AB741" t="s" s="10">
        <v>76</v>
      </c>
      <c r="AC741" t="s" s="10">
        <v>2886</v>
      </c>
      <c r="AD741" s="11"/>
      <c r="AE741" s="11"/>
      <c r="AF741" s="11"/>
      <c r="AG741" t="s" s="10">
        <v>299</v>
      </c>
      <c r="AH741" t="s" s="10">
        <v>114</v>
      </c>
      <c r="AI741" t="s" s="10">
        <v>717</v>
      </c>
      <c r="AJ741" s="11"/>
      <c r="AK741" t="s" s="10">
        <v>83</v>
      </c>
      <c r="AL741" t="s" s="10">
        <v>293</v>
      </c>
      <c r="AM741" t="s" s="10">
        <v>294</v>
      </c>
      <c r="AN741" t="s" s="10">
        <v>128</v>
      </c>
      <c r="AO741" s="18">
        <v>8</v>
      </c>
      <c r="AP741" s="18">
        <v>32768</v>
      </c>
      <c r="AQ741" s="18">
        <v>8401358</v>
      </c>
      <c r="AR741" s="18">
        <v>4217319</v>
      </c>
      <c r="AS741" t="s" s="10">
        <v>2888</v>
      </c>
      <c r="AT741" t="s" s="10">
        <v>301</v>
      </c>
      <c r="AU741" s="11"/>
      <c r="AV741" s="11"/>
      <c r="AW741" s="11"/>
      <c r="AX741" s="11"/>
      <c r="AY741" s="11"/>
      <c r="AZ741" s="11"/>
      <c r="BA741" s="11"/>
      <c r="BB741" s="11"/>
      <c r="BC741" s="11"/>
      <c r="BD741" t="s" s="10">
        <v>366</v>
      </c>
      <c r="BE741" t="s" s="10">
        <v>367</v>
      </c>
      <c r="BF741" s="18">
        <v>8</v>
      </c>
      <c r="BG741" s="18">
        <v>32</v>
      </c>
      <c r="BH741" s="11"/>
      <c r="BI741" s="11"/>
      <c r="BJ741" s="11"/>
      <c r="BK741" s="11"/>
      <c r="BL741" s="11"/>
      <c r="BM741" s="11"/>
      <c r="BN741" t="s" s="10">
        <v>69</v>
      </c>
      <c r="BO741" s="12"/>
      <c r="BP741" s="8"/>
    </row>
    <row r="742" ht="9" customHeight="1" hidden="1">
      <c r="A742" t="s" s="13">
        <v>2889</v>
      </c>
      <c r="B742" s="14"/>
      <c r="C742" t="str" s="14" cm="1">
        <f t="array" ref="C742">_xlfn.IFERROR((VLOOKUP(A742,#REF!,2,FALSE)),"")</f>
      </c>
      <c r="D742" s="14"/>
      <c r="E742" t="s" s="15">
        <v>2890</v>
      </c>
      <c r="F742" t="s" s="15">
        <v>83</v>
      </c>
      <c r="G742" t="s" s="15">
        <v>2891</v>
      </c>
      <c r="H742" t="s" s="15">
        <v>2790</v>
      </c>
      <c r="I742" t="s" s="15">
        <v>111</v>
      </c>
      <c r="J742" t="s" s="15">
        <v>112</v>
      </c>
      <c r="K742" t="s" s="15">
        <v>113</v>
      </c>
      <c r="L742" t="s" s="15">
        <v>518</v>
      </c>
      <c r="M742" t="s" s="15">
        <v>2891</v>
      </c>
      <c r="N742" t="s" s="15">
        <v>2891</v>
      </c>
      <c r="O742" s="14"/>
      <c r="P742" t="s" s="15">
        <v>112</v>
      </c>
      <c r="Q742" t="s" s="15">
        <v>69</v>
      </c>
      <c r="R742" t="s" s="15">
        <v>83</v>
      </c>
      <c r="S742" s="14"/>
      <c r="T742" s="14"/>
      <c r="U742" s="14"/>
      <c r="V742" t="s" s="15">
        <v>69</v>
      </c>
      <c r="W742" s="14"/>
      <c r="X742" t="s" s="15">
        <v>69</v>
      </c>
      <c r="Y742" s="14"/>
      <c r="Z742" t="s" s="15">
        <v>1760</v>
      </c>
      <c r="AA742" s="14"/>
      <c r="AB742" t="s" s="15">
        <v>2892</v>
      </c>
      <c r="AC742" t="s" s="24">
        <v>2889</v>
      </c>
      <c r="AD742" t="s" s="15">
        <v>2893</v>
      </c>
      <c r="AE742" s="14"/>
      <c r="AF742" s="14"/>
      <c r="AG742" t="s" s="15">
        <v>299</v>
      </c>
      <c r="AH742" t="s" s="15">
        <v>114</v>
      </c>
      <c r="AI742" t="s" s="15">
        <v>290</v>
      </c>
      <c r="AJ742" t="s" s="15">
        <v>473</v>
      </c>
      <c r="AK742" t="s" s="15">
        <v>1195</v>
      </c>
      <c r="AL742" t="s" s="15">
        <v>293</v>
      </c>
      <c r="AM742" t="s" s="15">
        <v>294</v>
      </c>
      <c r="AN742" t="s" s="15">
        <v>128</v>
      </c>
      <c r="AO742" s="17">
        <v>2</v>
      </c>
      <c r="AP742" s="17">
        <v>4096</v>
      </c>
      <c r="AQ742" s="17">
        <v>362592</v>
      </c>
      <c r="AR742" s="17">
        <v>161737</v>
      </c>
      <c r="AS742" t="s" s="15">
        <v>2894</v>
      </c>
      <c r="AT742" t="s" s="15">
        <v>301</v>
      </c>
      <c r="AU742" s="14"/>
      <c r="AV742" s="14"/>
      <c r="AW742" t="s" s="15">
        <v>83</v>
      </c>
      <c r="AX742" t="s" s="15">
        <v>83</v>
      </c>
      <c r="AY742" t="s" s="15">
        <v>309</v>
      </c>
      <c r="AZ742" t="s" s="15">
        <v>83</v>
      </c>
      <c r="BA742" t="s" s="15">
        <v>76</v>
      </c>
      <c r="BB742" t="s" s="15">
        <v>76</v>
      </c>
      <c r="BC742" t="s" s="15">
        <v>76</v>
      </c>
      <c r="BD742" t="s" s="15">
        <v>310</v>
      </c>
      <c r="BE742" t="s" s="15">
        <v>419</v>
      </c>
      <c r="BF742" s="17">
        <v>2</v>
      </c>
      <c r="BG742" s="17">
        <v>4</v>
      </c>
      <c r="BH742" t="s" s="15">
        <v>83</v>
      </c>
      <c r="BI742" t="s" s="15">
        <v>83</v>
      </c>
      <c r="BJ742" t="s" s="15">
        <v>83</v>
      </c>
      <c r="BK742" t="s" s="15">
        <v>83</v>
      </c>
      <c r="BL742" t="s" s="15">
        <v>83</v>
      </c>
      <c r="BM742" t="s" s="15">
        <v>312</v>
      </c>
      <c r="BN742" t="s" s="15">
        <v>78</v>
      </c>
      <c r="BO742" t="s" s="21">
        <v>76</v>
      </c>
      <c r="BP742" s="8"/>
    </row>
    <row r="743" ht="9" customHeight="1" hidden="1">
      <c r="A743" t="s" s="9">
        <v>2895</v>
      </c>
      <c r="B743" s="11"/>
      <c r="C743" t="str" s="11" cm="1">
        <f t="array" ref="C743">_xlfn.IFERROR((VLOOKUP(A743,#REF!,2,FALSE)),"")</f>
      </c>
      <c r="D743" s="11"/>
      <c r="E743" t="s" s="10">
        <v>2896</v>
      </c>
      <c r="F743" s="11"/>
      <c r="G743" t="s" s="10">
        <v>2897</v>
      </c>
      <c r="H743" t="s" s="10">
        <v>2037</v>
      </c>
      <c r="I743" t="s" s="10">
        <v>111</v>
      </c>
      <c r="J743" t="s" s="10">
        <v>322</v>
      </c>
      <c r="K743" t="s" s="10">
        <v>140</v>
      </c>
      <c r="L743" t="s" s="10">
        <v>76</v>
      </c>
      <c r="M743" t="s" s="10">
        <v>2898</v>
      </c>
      <c r="N743" t="s" s="10">
        <v>2897</v>
      </c>
      <c r="O743" s="11"/>
      <c r="P743" t="s" s="10">
        <v>322</v>
      </c>
      <c r="Q743" t="s" s="10">
        <v>78</v>
      </c>
      <c r="R743" t="s" s="10">
        <v>83</v>
      </c>
      <c r="S743" s="11"/>
      <c r="T743" s="11"/>
      <c r="U743" s="11"/>
      <c r="V743" t="s" s="10">
        <v>69</v>
      </c>
      <c r="W743" s="11"/>
      <c r="X743" t="s" s="10">
        <v>69</v>
      </c>
      <c r="Y743" s="11"/>
      <c r="Z743" t="s" s="10">
        <v>76</v>
      </c>
      <c r="AA743" s="11"/>
      <c r="AB743" t="s" s="10">
        <v>76</v>
      </c>
      <c r="AC743" t="s" s="25">
        <v>2895</v>
      </c>
      <c r="AD743" s="11"/>
      <c r="AE743" s="11"/>
      <c r="AF743" s="11"/>
      <c r="AG743" t="s" s="10">
        <v>299</v>
      </c>
      <c r="AH743" t="s" s="10">
        <v>106</v>
      </c>
      <c r="AI743" t="s" s="10">
        <v>76</v>
      </c>
      <c r="AJ743" t="s" s="10">
        <v>76</v>
      </c>
      <c r="AK743" t="s" s="10">
        <v>79</v>
      </c>
      <c r="AL743" t="s" s="10">
        <v>293</v>
      </c>
      <c r="AM743" t="s" s="10">
        <v>294</v>
      </c>
      <c r="AN743" t="s" s="10">
        <v>128</v>
      </c>
      <c r="AO743" s="18">
        <v>8</v>
      </c>
      <c r="AP743" s="18">
        <v>16384</v>
      </c>
      <c r="AQ743" s="18">
        <v>661627</v>
      </c>
      <c r="AR743" s="18">
        <v>661627</v>
      </c>
      <c r="AS743" t="s" s="10">
        <v>2899</v>
      </c>
      <c r="AT743" s="11"/>
      <c r="AU743" s="11"/>
      <c r="AV743" s="11"/>
      <c r="AW743" s="11"/>
      <c r="AX743" s="11"/>
      <c r="AY743" s="11"/>
      <c r="AZ743" s="11"/>
      <c r="BA743" s="11"/>
      <c r="BB743" s="11"/>
      <c r="BC743" s="11"/>
      <c r="BD743" t="s" s="10">
        <v>310</v>
      </c>
      <c r="BE743" t="s" s="10">
        <v>356</v>
      </c>
      <c r="BF743" s="11"/>
      <c r="BG743" s="11"/>
      <c r="BH743" s="11"/>
      <c r="BI743" s="11"/>
      <c r="BJ743" s="11"/>
      <c r="BK743" s="11"/>
      <c r="BL743" s="11"/>
      <c r="BM743" s="11"/>
      <c r="BN743" t="s" s="10">
        <v>78</v>
      </c>
      <c r="BO743" s="12"/>
      <c r="BP743" s="8"/>
    </row>
    <row r="744" ht="9" customHeight="1" hidden="1">
      <c r="A744" t="s" s="13">
        <v>2900</v>
      </c>
      <c r="B744" s="14"/>
      <c r="C744" t="str" s="14" cm="1">
        <f t="array" ref="C744">_xlfn.IFERROR((VLOOKUP(A744,#REF!,2,FALSE)),"")</f>
      </c>
      <c r="D744" s="14"/>
      <c r="E744" t="s" s="15">
        <v>195</v>
      </c>
      <c r="F744" s="14"/>
      <c r="G744" t="s" s="15">
        <v>2901</v>
      </c>
      <c r="H744" t="s" s="15">
        <v>2037</v>
      </c>
      <c r="I744" t="s" s="15">
        <v>73</v>
      </c>
      <c r="J744" t="s" s="15">
        <v>74</v>
      </c>
      <c r="K744" t="s" s="15">
        <v>113</v>
      </c>
      <c r="L744" t="s" s="15">
        <v>76</v>
      </c>
      <c r="M744" s="14"/>
      <c r="N744" s="14"/>
      <c r="O744" t="s" s="15">
        <v>71</v>
      </c>
      <c r="P744" s="14"/>
      <c r="Q744" s="14"/>
      <c r="R744" t="s" s="15">
        <v>71</v>
      </c>
      <c r="S744" s="14"/>
      <c r="T744" s="14"/>
      <c r="U744" s="14"/>
      <c r="V744" s="14"/>
      <c r="W744" s="14"/>
      <c r="X744" s="14"/>
      <c r="Y744" s="14"/>
      <c r="Z744" t="s" s="15">
        <v>76</v>
      </c>
      <c r="AA744" s="14"/>
      <c r="AB744" t="s" s="15">
        <v>76</v>
      </c>
      <c r="AC744" s="14"/>
      <c r="AD744" s="14"/>
      <c r="AE744" s="14"/>
      <c r="AF744" s="14"/>
      <c r="AG744" t="s" s="15">
        <v>299</v>
      </c>
      <c r="AH744" t="s" s="15">
        <v>83</v>
      </c>
      <c r="AI744" t="s" s="15">
        <v>76</v>
      </c>
      <c r="AJ744" t="s" s="15">
        <v>76</v>
      </c>
      <c r="AK744" t="s" s="15">
        <v>79</v>
      </c>
      <c r="AL744" t="s" s="15">
        <v>293</v>
      </c>
      <c r="AM744" t="s" s="15">
        <v>196</v>
      </c>
      <c r="AN744" t="s" s="15">
        <v>2400</v>
      </c>
      <c r="AO744" s="14"/>
      <c r="AP744" s="14"/>
      <c r="AQ744" s="14"/>
      <c r="AR744" s="14"/>
      <c r="AS744" t="s" s="15">
        <v>2899</v>
      </c>
      <c r="AT744" s="14"/>
      <c r="AU744" s="14"/>
      <c r="AV744" s="14"/>
      <c r="AW744" s="14"/>
      <c r="AX744" s="14"/>
      <c r="AY744" s="14"/>
      <c r="AZ744" s="14"/>
      <c r="BA744" s="14"/>
      <c r="BB744" s="14"/>
      <c r="BC744" s="14"/>
      <c r="BD744" t="s" s="15">
        <v>310</v>
      </c>
      <c r="BE744" t="s" s="24">
        <v>419</v>
      </c>
      <c r="BF744" s="20"/>
      <c r="BG744" s="20"/>
      <c r="BH744" s="14"/>
      <c r="BI744" s="14"/>
      <c r="BJ744" s="14"/>
      <c r="BK744" s="14"/>
      <c r="BL744" s="14"/>
      <c r="BM744" s="14"/>
      <c r="BN744" s="14"/>
      <c r="BO744" s="16"/>
      <c r="BP744" s="8"/>
    </row>
    <row r="745" ht="9" customHeight="1" hidden="1">
      <c r="A745" t="s" s="9">
        <v>2902</v>
      </c>
      <c r="B745" s="11"/>
      <c r="C745" t="str" s="11" cm="1">
        <f t="array" ref="C745">_xlfn.IFERROR((VLOOKUP(A745,#REF!,2,FALSE)),"")</f>
      </c>
      <c r="D745" t="s" s="10">
        <v>70</v>
      </c>
      <c r="E745" t="s" s="10">
        <v>71</v>
      </c>
      <c r="F745" s="11"/>
      <c r="G745" s="11"/>
      <c r="H745" s="11"/>
      <c r="I745" t="s" s="10">
        <v>73</v>
      </c>
      <c r="J745" t="s" s="10">
        <v>74</v>
      </c>
      <c r="K745" t="s" s="10">
        <v>140</v>
      </c>
      <c r="L745" t="s" s="10">
        <v>76</v>
      </c>
      <c r="M745" t="s" s="10">
        <v>2903</v>
      </c>
      <c r="N745" s="11"/>
      <c r="O745" t="s" s="10">
        <v>71</v>
      </c>
      <c r="P745" t="s" s="10">
        <v>322</v>
      </c>
      <c r="Q745" t="s" s="10">
        <v>78</v>
      </c>
      <c r="R745" t="s" s="10">
        <v>71</v>
      </c>
      <c r="S745" s="11"/>
      <c r="T745" s="11"/>
      <c r="U745" s="11"/>
      <c r="V745" t="s" s="10">
        <v>78</v>
      </c>
      <c r="W745" t="s" s="10">
        <v>2902</v>
      </c>
      <c r="X745" t="s" s="10">
        <v>78</v>
      </c>
      <c r="Y745" s="11"/>
      <c r="Z745" t="s" s="10">
        <v>76</v>
      </c>
      <c r="AA745" s="11"/>
      <c r="AB745" t="s" s="10">
        <v>76</v>
      </c>
      <c r="AC745" s="11"/>
      <c r="AD745" s="11"/>
      <c r="AE745" s="11"/>
      <c r="AF745" s="11"/>
      <c r="AG745" s="11"/>
      <c r="AH745" s="11"/>
      <c r="AI745" t="s" s="10">
        <v>76</v>
      </c>
      <c r="AJ745" t="s" s="10">
        <v>76</v>
      </c>
      <c r="AK745" t="s" s="10">
        <v>79</v>
      </c>
      <c r="AL745" t="s" s="10">
        <v>293</v>
      </c>
      <c r="AM745" t="s" s="10">
        <v>294</v>
      </c>
      <c r="AN745" s="11"/>
      <c r="AO745" s="18">
        <v>8</v>
      </c>
      <c r="AP745" s="18">
        <v>16384</v>
      </c>
      <c r="AQ745" s="18">
        <v>661593</v>
      </c>
      <c r="AR745" s="18">
        <v>661593</v>
      </c>
      <c r="AS745" t="s" s="10">
        <v>2904</v>
      </c>
      <c r="AT745" s="11"/>
      <c r="AU745" s="11"/>
      <c r="AV745" s="11"/>
      <c r="AW745" s="11"/>
      <c r="AX745" s="11"/>
      <c r="AY745" s="11"/>
      <c r="AZ745" s="11"/>
      <c r="BA745" s="11"/>
      <c r="BB745" s="11"/>
      <c r="BC745" s="11"/>
      <c r="BD745" t="s" s="10">
        <v>310</v>
      </c>
      <c r="BE745" t="s" s="10">
        <v>356</v>
      </c>
      <c r="BF745" s="11"/>
      <c r="BG745" s="11"/>
      <c r="BH745" s="11"/>
      <c r="BI745" s="11"/>
      <c r="BJ745" s="11"/>
      <c r="BK745" s="11"/>
      <c r="BL745" s="11"/>
      <c r="BM745" s="11"/>
      <c r="BN745" s="11"/>
      <c r="BO745" s="12"/>
      <c r="BP745" s="8"/>
    </row>
    <row r="746" ht="9" customHeight="1" hidden="1">
      <c r="A746" t="s" s="13">
        <v>2905</v>
      </c>
      <c r="B746" s="14"/>
      <c r="C746" t="str" s="14" cm="1">
        <f t="array" ref="C746">_xlfn.IFERROR((VLOOKUP(A746,#REF!,2,FALSE)),"")</f>
      </c>
      <c r="D746" s="14"/>
      <c r="E746" s="14"/>
      <c r="F746" s="14"/>
      <c r="G746" t="s" s="15">
        <v>2906</v>
      </c>
      <c r="H746" t="s" s="15">
        <v>2037</v>
      </c>
      <c r="I746" t="s" s="15">
        <v>111</v>
      </c>
      <c r="J746" t="s" s="15">
        <v>122</v>
      </c>
      <c r="K746" t="s" s="15">
        <v>140</v>
      </c>
      <c r="L746" t="s" s="15">
        <v>76</v>
      </c>
      <c r="M746" t="s" s="15">
        <v>2906</v>
      </c>
      <c r="N746" t="s" s="15">
        <v>2906</v>
      </c>
      <c r="O746" s="14"/>
      <c r="P746" t="s" s="15">
        <v>122</v>
      </c>
      <c r="Q746" t="s" s="15">
        <v>78</v>
      </c>
      <c r="R746" t="s" s="15">
        <v>83</v>
      </c>
      <c r="S746" s="14"/>
      <c r="T746" s="14"/>
      <c r="U746" s="14"/>
      <c r="V746" t="s" s="15">
        <v>69</v>
      </c>
      <c r="W746" s="14"/>
      <c r="X746" t="s" s="15">
        <v>69</v>
      </c>
      <c r="Y746" s="14"/>
      <c r="Z746" t="s" s="15">
        <v>76</v>
      </c>
      <c r="AA746" s="14"/>
      <c r="AB746" t="s" s="15">
        <v>76</v>
      </c>
      <c r="AC746" s="14"/>
      <c r="AD746" s="14"/>
      <c r="AE746" s="14"/>
      <c r="AF746" s="14"/>
      <c r="AG746" t="s" s="15">
        <v>299</v>
      </c>
      <c r="AH746" t="s" s="15">
        <v>106</v>
      </c>
      <c r="AI746" t="s" s="15">
        <v>76</v>
      </c>
      <c r="AJ746" t="s" s="15">
        <v>76</v>
      </c>
      <c r="AK746" t="s" s="15">
        <v>79</v>
      </c>
      <c r="AL746" t="s" s="15">
        <v>293</v>
      </c>
      <c r="AM746" t="s" s="15">
        <v>294</v>
      </c>
      <c r="AN746" t="s" s="15">
        <v>128</v>
      </c>
      <c r="AO746" s="17">
        <v>8</v>
      </c>
      <c r="AP746" s="17">
        <v>16384</v>
      </c>
      <c r="AQ746" s="17">
        <v>835700</v>
      </c>
      <c r="AR746" s="17">
        <v>370936</v>
      </c>
      <c r="AS746" t="s" s="15">
        <v>2907</v>
      </c>
      <c r="AT746" s="14"/>
      <c r="AU746" s="14"/>
      <c r="AV746" s="14"/>
      <c r="AW746" s="14"/>
      <c r="AX746" s="14"/>
      <c r="AY746" s="14"/>
      <c r="AZ746" s="14"/>
      <c r="BA746" s="14"/>
      <c r="BB746" s="14"/>
      <c r="BC746" s="14"/>
      <c r="BD746" t="s" s="15">
        <v>310</v>
      </c>
      <c r="BE746" t="s" s="24">
        <v>419</v>
      </c>
      <c r="BF746" s="20"/>
      <c r="BG746" s="20"/>
      <c r="BH746" s="14"/>
      <c r="BI746" s="14"/>
      <c r="BJ746" s="14"/>
      <c r="BK746" s="14"/>
      <c r="BL746" s="14"/>
      <c r="BM746" s="14"/>
      <c r="BN746" t="s" s="15">
        <v>69</v>
      </c>
      <c r="BO746" s="16"/>
      <c r="BP746" s="8"/>
    </row>
    <row r="747" ht="9" customHeight="1" hidden="1">
      <c r="A747" t="s" s="9">
        <v>2908</v>
      </c>
      <c r="B747" s="11"/>
      <c r="C747" t="str" s="11" cm="1">
        <f t="array" ref="C747">_xlfn.IFERROR((VLOOKUP(A747,#REF!,2,FALSE)),"")</f>
      </c>
      <c r="D747" t="s" s="10">
        <v>70</v>
      </c>
      <c r="E747" t="s" s="10">
        <v>450</v>
      </c>
      <c r="F747" s="11"/>
      <c r="G747" t="s" s="10">
        <v>2909</v>
      </c>
      <c r="H747" t="s" s="10">
        <v>2037</v>
      </c>
      <c r="I747" t="s" s="10">
        <v>111</v>
      </c>
      <c r="J747" t="s" s="10">
        <v>452</v>
      </c>
      <c r="K747" t="s" s="10">
        <v>140</v>
      </c>
      <c r="L747" t="s" s="10">
        <v>76</v>
      </c>
      <c r="M747" t="s" s="10">
        <v>2909</v>
      </c>
      <c r="N747" t="s" s="10">
        <v>2909</v>
      </c>
      <c r="O747" s="11"/>
      <c r="P747" t="s" s="10">
        <v>452</v>
      </c>
      <c r="Q747" t="s" s="10">
        <v>69</v>
      </c>
      <c r="R747" t="s" s="10">
        <v>83</v>
      </c>
      <c r="S747" s="11"/>
      <c r="T747" s="11"/>
      <c r="U747" s="11"/>
      <c r="V747" t="s" s="10">
        <v>69</v>
      </c>
      <c r="W747" s="11"/>
      <c r="X747" t="s" s="10">
        <v>69</v>
      </c>
      <c r="Y747" s="11"/>
      <c r="Z747" t="s" s="10">
        <v>76</v>
      </c>
      <c r="AA747" s="11"/>
      <c r="AB747" t="s" s="10">
        <v>76</v>
      </c>
      <c r="AC747" t="s" s="10">
        <v>2908</v>
      </c>
      <c r="AD747" s="11"/>
      <c r="AE747" s="11"/>
      <c r="AF747" s="11"/>
      <c r="AG747" t="s" s="10">
        <v>288</v>
      </c>
      <c r="AH747" t="s" s="10">
        <v>106</v>
      </c>
      <c r="AI747" t="s" s="10">
        <v>76</v>
      </c>
      <c r="AJ747" t="s" s="10">
        <v>76</v>
      </c>
      <c r="AK747" t="s" s="10">
        <v>79</v>
      </c>
      <c r="AL747" t="s" s="10">
        <v>293</v>
      </c>
      <c r="AM747" t="s" s="10">
        <v>294</v>
      </c>
      <c r="AN747" t="s" s="10">
        <v>128</v>
      </c>
      <c r="AO747" s="18">
        <v>4</v>
      </c>
      <c r="AP747" s="18">
        <v>16384</v>
      </c>
      <c r="AQ747" s="18">
        <v>913301</v>
      </c>
      <c r="AR747" s="18">
        <v>438451</v>
      </c>
      <c r="AS747" t="s" s="10">
        <v>2910</v>
      </c>
      <c r="AT747" s="11"/>
      <c r="AU747" s="11"/>
      <c r="AV747" s="11"/>
      <c r="AW747" s="11"/>
      <c r="AX747" s="11"/>
      <c r="AY747" s="11"/>
      <c r="AZ747" s="11"/>
      <c r="BA747" s="11"/>
      <c r="BB747" s="11"/>
      <c r="BC747" s="11"/>
      <c r="BD747" t="s" s="10">
        <v>310</v>
      </c>
      <c r="BE747" t="s" s="10">
        <v>419</v>
      </c>
      <c r="BF747" s="11"/>
      <c r="BG747" s="11"/>
      <c r="BH747" s="11"/>
      <c r="BI747" s="11"/>
      <c r="BJ747" s="11"/>
      <c r="BK747" s="11"/>
      <c r="BL747" s="11"/>
      <c r="BM747" s="11"/>
      <c r="BN747" t="s" s="10">
        <v>78</v>
      </c>
      <c r="BO747" s="12"/>
      <c r="BP747" s="8"/>
    </row>
    <row r="748" ht="9" customHeight="1" hidden="1">
      <c r="A748" t="s" s="13">
        <v>2911</v>
      </c>
      <c r="B748" s="14"/>
      <c r="C748" t="str" s="14" cm="1">
        <f t="array" ref="C748">_xlfn.IFERROR((VLOOKUP(A748,#REF!,2,FALSE)),"")</f>
      </c>
      <c r="D748" s="14"/>
      <c r="E748" t="s" s="15">
        <v>195</v>
      </c>
      <c r="F748" s="14"/>
      <c r="G748" t="s" s="15">
        <v>2912</v>
      </c>
      <c r="H748" t="s" s="15">
        <v>2037</v>
      </c>
      <c r="I748" t="s" s="15">
        <v>73</v>
      </c>
      <c r="J748" t="s" s="15">
        <v>74</v>
      </c>
      <c r="K748" t="s" s="15">
        <v>140</v>
      </c>
      <c r="L748" t="s" s="15">
        <v>76</v>
      </c>
      <c r="M748" t="s" s="15">
        <v>2912</v>
      </c>
      <c r="N748" t="s" s="15">
        <v>2912</v>
      </c>
      <c r="O748" t="s" s="15">
        <v>71</v>
      </c>
      <c r="P748" t="s" s="15">
        <v>74</v>
      </c>
      <c r="Q748" t="s" s="15">
        <v>78</v>
      </c>
      <c r="R748" t="s" s="15">
        <v>71</v>
      </c>
      <c r="S748" s="14"/>
      <c r="T748" s="14"/>
      <c r="U748" s="14"/>
      <c r="V748" t="s" s="15">
        <v>78</v>
      </c>
      <c r="W748" t="s" s="15">
        <v>2911</v>
      </c>
      <c r="X748" t="s" s="15">
        <v>69</v>
      </c>
      <c r="Y748" s="14"/>
      <c r="Z748" t="s" s="15">
        <v>76</v>
      </c>
      <c r="AA748" s="14"/>
      <c r="AB748" t="s" s="15">
        <v>76</v>
      </c>
      <c r="AC748" s="14"/>
      <c r="AD748" s="14"/>
      <c r="AE748" s="14"/>
      <c r="AF748" s="14"/>
      <c r="AG748" s="14"/>
      <c r="AH748" t="s" s="15">
        <v>106</v>
      </c>
      <c r="AI748" t="s" s="15">
        <v>76</v>
      </c>
      <c r="AJ748" t="s" s="15">
        <v>76</v>
      </c>
      <c r="AK748" t="s" s="15">
        <v>79</v>
      </c>
      <c r="AL748" s="14"/>
      <c r="AM748" t="s" s="15">
        <v>196</v>
      </c>
      <c r="AN748" s="14"/>
      <c r="AO748" s="14"/>
      <c r="AP748" s="14"/>
      <c r="AQ748" s="14"/>
      <c r="AR748" s="14"/>
      <c r="AS748" s="14"/>
      <c r="AT748" s="14"/>
      <c r="AU748" s="14"/>
      <c r="AV748" s="14"/>
      <c r="AW748" s="14"/>
      <c r="AX748" s="14"/>
      <c r="AY748" s="14"/>
      <c r="AZ748" s="14"/>
      <c r="BA748" s="14"/>
      <c r="BB748" s="14"/>
      <c r="BC748" s="14"/>
      <c r="BD748" t="s" s="15">
        <v>428</v>
      </c>
      <c r="BE748" t="s" s="15">
        <v>481</v>
      </c>
      <c r="BF748" s="14"/>
      <c r="BG748" s="14"/>
      <c r="BH748" s="14"/>
      <c r="BI748" s="14"/>
      <c r="BJ748" s="14"/>
      <c r="BK748" s="14"/>
      <c r="BL748" s="14"/>
      <c r="BM748" s="14"/>
      <c r="BN748" s="14"/>
      <c r="BO748" s="16"/>
      <c r="BP748" s="8"/>
    </row>
    <row r="749" ht="15" customHeight="1" hidden="1">
      <c r="A749" t="s" s="9">
        <v>2913</v>
      </c>
      <c r="B749" s="11"/>
      <c r="C749" t="str" s="11" cm="1">
        <f t="array" ref="C749">_xlfn.IFERROR((VLOOKUP(A749,#REF!,2,FALSE)),"")</f>
      </c>
      <c r="D749" s="11"/>
      <c r="E749" s="11"/>
      <c r="F749" s="11"/>
      <c r="G749" t="s" s="10">
        <v>2914</v>
      </c>
      <c r="H749" t="s" s="10">
        <v>524</v>
      </c>
      <c r="I749" t="s" s="10">
        <v>111</v>
      </c>
      <c r="J749" t="s" s="10">
        <v>122</v>
      </c>
      <c r="K749" t="s" s="10">
        <v>140</v>
      </c>
      <c r="L749" t="s" s="10">
        <v>518</v>
      </c>
      <c r="M749" t="s" s="10">
        <v>2914</v>
      </c>
      <c r="N749" t="s" s="10">
        <v>2914</v>
      </c>
      <c r="O749" s="11"/>
      <c r="P749" t="s" s="10">
        <v>122</v>
      </c>
      <c r="Q749" t="s" s="10">
        <v>69</v>
      </c>
      <c r="R749" t="s" s="10">
        <v>83</v>
      </c>
      <c r="S749" t="s" s="10">
        <v>69</v>
      </c>
      <c r="T749" t="s" s="10">
        <v>69</v>
      </c>
      <c r="U749" s="11"/>
      <c r="V749" t="s" s="10">
        <v>69</v>
      </c>
      <c r="W749" s="11"/>
      <c r="X749" t="s" s="10">
        <v>69</v>
      </c>
      <c r="Y749" s="11"/>
      <c r="Z749" t="s" s="10">
        <v>552</v>
      </c>
      <c r="AA749" s="11"/>
      <c r="AB749" t="s" s="10">
        <v>1551</v>
      </c>
      <c r="AC749" s="11"/>
      <c r="AD749" s="11"/>
      <c r="AE749" s="11"/>
      <c r="AF749" s="11"/>
      <c r="AG749" t="s" s="10">
        <v>299</v>
      </c>
      <c r="AH749" s="11"/>
      <c r="AI749" t="s" s="10">
        <v>76</v>
      </c>
      <c r="AJ749" t="s" s="10">
        <v>76</v>
      </c>
      <c r="AK749" t="s" s="10">
        <v>524</v>
      </c>
      <c r="AL749" t="s" s="10">
        <v>293</v>
      </c>
      <c r="AM749" t="s" s="10">
        <v>294</v>
      </c>
      <c r="AN749" t="s" s="10">
        <v>128</v>
      </c>
      <c r="AO749" s="18">
        <v>24</v>
      </c>
      <c r="AP749" s="18">
        <v>65536</v>
      </c>
      <c r="AQ749" s="18">
        <v>2284911</v>
      </c>
      <c r="AR749" s="18">
        <v>2284911</v>
      </c>
      <c r="AS749" t="s" s="10">
        <v>2915</v>
      </c>
      <c r="AT749" s="11"/>
      <c r="AU749" s="11"/>
      <c r="AV749" s="11"/>
      <c r="AW749" s="11"/>
      <c r="AX749" s="11"/>
      <c r="AY749" s="11"/>
      <c r="AZ749" s="11"/>
      <c r="BA749" s="11"/>
      <c r="BB749" s="11"/>
      <c r="BC749" s="11"/>
      <c r="BD749" t="s" s="10">
        <v>428</v>
      </c>
      <c r="BE749" t="s" s="10">
        <v>481</v>
      </c>
      <c r="BF749" s="11"/>
      <c r="BG749" s="11"/>
      <c r="BH749" s="11"/>
      <c r="BI749" s="11"/>
      <c r="BJ749" s="11"/>
      <c r="BK749" s="11"/>
      <c r="BL749" s="11"/>
      <c r="BM749" s="11"/>
      <c r="BN749" t="s" s="10">
        <v>78</v>
      </c>
      <c r="BO749" s="12"/>
      <c r="BP749" s="8"/>
    </row>
    <row r="750" ht="13.55" customHeight="1">
      <c r="A750" t="s" s="13">
        <v>2916</v>
      </c>
      <c r="B750" s="14"/>
      <c r="C750" t="str" s="14" cm="1">
        <f t="array" ref="C750">_xlfn.IFERROR((VLOOKUP(A750,#REF!,2,FALSE)),"")</f>
      </c>
      <c r="D750" s="14"/>
      <c r="E750" s="14"/>
      <c r="F750" s="14"/>
      <c r="G750" t="s" s="15">
        <v>2917</v>
      </c>
      <c r="H750" t="s" s="15">
        <v>2918</v>
      </c>
      <c r="I750" t="s" s="15">
        <v>111</v>
      </c>
      <c r="J750" t="s" s="15">
        <v>122</v>
      </c>
      <c r="K750" t="s" s="15">
        <v>113</v>
      </c>
      <c r="L750" t="s" s="15">
        <v>2919</v>
      </c>
      <c r="M750" t="s" s="15">
        <v>2917</v>
      </c>
      <c r="N750" t="s" s="15">
        <v>2917</v>
      </c>
      <c r="O750" s="14"/>
      <c r="P750" t="s" s="15">
        <v>122</v>
      </c>
      <c r="Q750" t="s" s="15">
        <v>69</v>
      </c>
      <c r="R750" t="s" s="15">
        <v>83</v>
      </c>
      <c r="S750" s="14"/>
      <c r="T750" s="14"/>
      <c r="U750" s="14"/>
      <c r="V750" t="s" s="15">
        <v>69</v>
      </c>
      <c r="W750" s="14"/>
      <c r="X750" t="s" s="15">
        <v>69</v>
      </c>
      <c r="Y750" s="14"/>
      <c r="Z750" t="s" s="15">
        <v>2920</v>
      </c>
      <c r="AA750" s="14"/>
      <c r="AB750" t="s" s="15">
        <v>2921</v>
      </c>
      <c r="AC750" t="s" s="15">
        <v>2916</v>
      </c>
      <c r="AD750" t="s" s="15">
        <v>2922</v>
      </c>
      <c r="AE750" s="14"/>
      <c r="AF750" s="14"/>
      <c r="AG750" t="s" s="15">
        <v>299</v>
      </c>
      <c r="AH750" t="s" s="15">
        <v>114</v>
      </c>
      <c r="AI750" t="s" s="15">
        <v>440</v>
      </c>
      <c r="AJ750" s="14"/>
      <c r="AK750" t="s" s="15">
        <v>83</v>
      </c>
      <c r="AL750" t="s" s="15">
        <v>293</v>
      </c>
      <c r="AM750" t="s" s="15">
        <v>294</v>
      </c>
      <c r="AN750" t="s" s="15">
        <v>128</v>
      </c>
      <c r="AO750" s="17">
        <v>4</v>
      </c>
      <c r="AP750" s="17">
        <v>16384</v>
      </c>
      <c r="AQ750" s="17">
        <v>221305</v>
      </c>
      <c r="AR750" s="17">
        <v>221305</v>
      </c>
      <c r="AS750" t="s" s="15">
        <v>2923</v>
      </c>
      <c r="AT750" t="s" s="15">
        <v>301</v>
      </c>
      <c r="AU750" s="14"/>
      <c r="AV750" s="14"/>
      <c r="AW750" s="14"/>
      <c r="AX750" s="14"/>
      <c r="AY750" s="14"/>
      <c r="AZ750" s="14"/>
      <c r="BA750" s="14"/>
      <c r="BB750" s="14"/>
      <c r="BC750" s="14"/>
      <c r="BD750" t="s" s="15">
        <v>366</v>
      </c>
      <c r="BE750" t="s" s="15">
        <v>394</v>
      </c>
      <c r="BF750" s="17">
        <v>4</v>
      </c>
      <c r="BG750" s="17">
        <v>16</v>
      </c>
      <c r="BH750" s="14"/>
      <c r="BI750" s="14"/>
      <c r="BJ750" s="14"/>
      <c r="BK750" s="14"/>
      <c r="BL750" s="14"/>
      <c r="BM750" s="14"/>
      <c r="BN750" t="s" s="15">
        <v>69</v>
      </c>
      <c r="BO750" s="16"/>
      <c r="BP750" s="8"/>
    </row>
    <row r="751" ht="9" customHeight="1" hidden="1">
      <c r="A751" t="s" s="9">
        <v>2924</v>
      </c>
      <c r="B751" s="11"/>
      <c r="C751" t="str" s="11" cm="1">
        <f t="array" ref="C751">_xlfn.IFERROR((VLOOKUP(A751,#REF!,2,FALSE)),"")</f>
      </c>
      <c r="D751" t="s" s="10">
        <v>70</v>
      </c>
      <c r="E751" t="s" s="10">
        <v>450</v>
      </c>
      <c r="F751" s="11"/>
      <c r="G751" t="s" s="10">
        <v>2925</v>
      </c>
      <c r="H751" t="s" s="10">
        <v>2918</v>
      </c>
      <c r="I751" t="s" s="10">
        <v>111</v>
      </c>
      <c r="J751" t="s" s="10">
        <v>452</v>
      </c>
      <c r="K751" t="s" s="10">
        <v>113</v>
      </c>
      <c r="L751" t="s" s="10">
        <v>2919</v>
      </c>
      <c r="M751" t="s" s="10">
        <v>2926</v>
      </c>
      <c r="N751" t="s" s="10">
        <v>2925</v>
      </c>
      <c r="O751" s="11"/>
      <c r="P751" t="s" s="10">
        <v>452</v>
      </c>
      <c r="Q751" t="s" s="10">
        <v>69</v>
      </c>
      <c r="R751" t="s" s="10">
        <v>83</v>
      </c>
      <c r="S751" s="11"/>
      <c r="T751" s="11"/>
      <c r="U751" s="11"/>
      <c r="V751" t="s" s="10">
        <v>69</v>
      </c>
      <c r="W751" s="11"/>
      <c r="X751" t="s" s="10">
        <v>69</v>
      </c>
      <c r="Y751" s="11"/>
      <c r="Z751" t="s" s="10">
        <v>2920</v>
      </c>
      <c r="AA751" s="11"/>
      <c r="AB751" t="s" s="10">
        <v>2921</v>
      </c>
      <c r="AC751" t="s" s="10">
        <v>2924</v>
      </c>
      <c r="AD751" s="11"/>
      <c r="AE751" s="11"/>
      <c r="AF751" t="s" s="10">
        <v>2918</v>
      </c>
      <c r="AG751" t="s" s="10">
        <v>453</v>
      </c>
      <c r="AH751" t="s" s="10">
        <v>114</v>
      </c>
      <c r="AI751" t="s" s="10">
        <v>332</v>
      </c>
      <c r="AJ751" t="s" s="10">
        <v>333</v>
      </c>
      <c r="AK751" t="s" s="10">
        <v>83</v>
      </c>
      <c r="AL751" t="s" s="10">
        <v>293</v>
      </c>
      <c r="AM751" t="s" s="10">
        <v>294</v>
      </c>
      <c r="AN751" t="s" s="10">
        <v>128</v>
      </c>
      <c r="AO751" s="18">
        <v>4</v>
      </c>
      <c r="AP751" s="18">
        <v>16384</v>
      </c>
      <c r="AQ751" s="18">
        <v>323914</v>
      </c>
      <c r="AR751" s="18">
        <v>279213</v>
      </c>
      <c r="AS751" t="s" s="10">
        <v>2927</v>
      </c>
      <c r="AT751" s="11"/>
      <c r="AU751" s="11"/>
      <c r="AV751" s="11"/>
      <c r="AW751" s="11"/>
      <c r="AX751" s="11"/>
      <c r="AY751" s="11"/>
      <c r="AZ751" s="11"/>
      <c r="BA751" s="11"/>
      <c r="BB751" s="11"/>
      <c r="BC751" s="11"/>
      <c r="BD751" t="s" s="10">
        <v>366</v>
      </c>
      <c r="BE751" t="s" s="10">
        <v>394</v>
      </c>
      <c r="BF751" s="18">
        <v>4</v>
      </c>
      <c r="BG751" s="18">
        <v>16</v>
      </c>
      <c r="BH751" s="11"/>
      <c r="BI751" s="11"/>
      <c r="BJ751" s="11"/>
      <c r="BK751" s="11"/>
      <c r="BL751" s="11"/>
      <c r="BM751" s="11"/>
      <c r="BN751" t="s" s="10">
        <v>78</v>
      </c>
      <c r="BO751" s="12"/>
      <c r="BP751" s="8"/>
    </row>
    <row r="752" ht="9" customHeight="1" hidden="1">
      <c r="A752" t="s" s="13">
        <v>2928</v>
      </c>
      <c r="B752" s="14"/>
      <c r="C752" t="str" s="14" cm="1">
        <f t="array" ref="C752">_xlfn.IFERROR((VLOOKUP(A752,#REF!,2,FALSE)),"")</f>
      </c>
      <c r="D752" s="14"/>
      <c r="E752" t="s" s="15">
        <v>687</v>
      </c>
      <c r="F752" s="14"/>
      <c r="G752" t="s" s="15">
        <v>693</v>
      </c>
      <c r="H752" t="s" s="15">
        <v>693</v>
      </c>
      <c r="I752" t="s" s="15">
        <v>111</v>
      </c>
      <c r="J752" t="s" s="15">
        <v>122</v>
      </c>
      <c r="K752" t="s" s="15">
        <v>140</v>
      </c>
      <c r="L752" t="s" s="15">
        <v>76</v>
      </c>
      <c r="M752" t="s" s="15">
        <v>693</v>
      </c>
      <c r="N752" t="s" s="15">
        <v>693</v>
      </c>
      <c r="O752" s="14"/>
      <c r="P752" t="s" s="15">
        <v>122</v>
      </c>
      <c r="Q752" t="s" s="15">
        <v>69</v>
      </c>
      <c r="R752" t="s" s="15">
        <v>83</v>
      </c>
      <c r="S752" s="14"/>
      <c r="T752" s="14"/>
      <c r="U752" s="14"/>
      <c r="V752" t="s" s="15">
        <v>69</v>
      </c>
      <c r="W752" s="14"/>
      <c r="X752" t="s" s="15">
        <v>69</v>
      </c>
      <c r="Y752" s="14"/>
      <c r="Z752" t="s" s="15">
        <v>76</v>
      </c>
      <c r="AA752" s="14"/>
      <c r="AB752" t="s" s="15">
        <v>76</v>
      </c>
      <c r="AC752" t="s" s="15">
        <v>2928</v>
      </c>
      <c r="AD752" t="s" s="15">
        <v>2929</v>
      </c>
      <c r="AE752" s="14"/>
      <c r="AF752" s="14"/>
      <c r="AG752" t="s" s="15">
        <v>299</v>
      </c>
      <c r="AH752" t="s" s="15">
        <v>114</v>
      </c>
      <c r="AI752" t="s" s="15">
        <v>604</v>
      </c>
      <c r="AJ752" s="14"/>
      <c r="AK752" t="s" s="15">
        <v>83</v>
      </c>
      <c r="AL752" t="s" s="15">
        <v>293</v>
      </c>
      <c r="AM752" t="s" s="15">
        <v>294</v>
      </c>
      <c r="AN752" t="s" s="15">
        <v>128</v>
      </c>
      <c r="AO752" s="17">
        <v>4</v>
      </c>
      <c r="AP752" s="17">
        <v>8192</v>
      </c>
      <c r="AQ752" s="17">
        <v>438360</v>
      </c>
      <c r="AR752" s="17">
        <v>438360</v>
      </c>
      <c r="AS752" t="s" s="15">
        <v>2930</v>
      </c>
      <c r="AT752" t="s" s="15">
        <v>301</v>
      </c>
      <c r="AU752" s="14"/>
      <c r="AV752" s="14"/>
      <c r="AW752" s="14"/>
      <c r="AX752" s="14"/>
      <c r="AY752" s="14"/>
      <c r="AZ752" s="14"/>
      <c r="BA752" s="14"/>
      <c r="BB752" s="14"/>
      <c r="BC752" s="14"/>
      <c r="BD752" t="s" s="15">
        <v>310</v>
      </c>
      <c r="BE752" t="s" s="15">
        <v>356</v>
      </c>
      <c r="BF752" s="17">
        <v>4</v>
      </c>
      <c r="BG752" s="17">
        <v>8</v>
      </c>
      <c r="BH752" s="14"/>
      <c r="BI752" s="14"/>
      <c r="BJ752" s="14"/>
      <c r="BK752" s="14"/>
      <c r="BL752" s="14"/>
      <c r="BM752" s="14"/>
      <c r="BN752" t="s" s="15">
        <v>78</v>
      </c>
      <c r="BO752" s="16"/>
      <c r="BP752" s="8"/>
    </row>
    <row r="753" ht="15" customHeight="1" hidden="1">
      <c r="A753" t="s" s="9">
        <v>2931</v>
      </c>
      <c r="B753" s="11"/>
      <c r="C753" t="str" s="11" cm="1">
        <f t="array" ref="C753">_xlfn.IFERROR((VLOOKUP(A753,#REF!,2,FALSE)),"")</f>
      </c>
      <c r="D753" s="11"/>
      <c r="E753" s="11"/>
      <c r="F753" s="11"/>
      <c r="G753" t="s" s="10">
        <v>2932</v>
      </c>
      <c r="H753" t="s" s="10">
        <v>524</v>
      </c>
      <c r="I753" t="s" s="10">
        <v>111</v>
      </c>
      <c r="J753" t="s" s="10">
        <v>122</v>
      </c>
      <c r="K753" t="s" s="10">
        <v>140</v>
      </c>
      <c r="L753" t="s" s="10">
        <v>518</v>
      </c>
      <c r="M753" t="s" s="10">
        <v>2932</v>
      </c>
      <c r="N753" t="s" s="10">
        <v>2932</v>
      </c>
      <c r="O753" s="11"/>
      <c r="P753" t="s" s="10">
        <v>122</v>
      </c>
      <c r="Q753" t="s" s="10">
        <v>69</v>
      </c>
      <c r="R753" t="s" s="10">
        <v>83</v>
      </c>
      <c r="S753" s="11"/>
      <c r="T753" t="s" s="10">
        <v>69</v>
      </c>
      <c r="U753" s="11"/>
      <c r="V753" t="s" s="10">
        <v>69</v>
      </c>
      <c r="W753" s="11"/>
      <c r="X753" t="s" s="10">
        <v>69</v>
      </c>
      <c r="Y753" s="11"/>
      <c r="Z753" t="s" s="10">
        <v>552</v>
      </c>
      <c r="AA753" s="11"/>
      <c r="AB753" t="s" s="10">
        <v>1551</v>
      </c>
      <c r="AC753" s="11"/>
      <c r="AD753" s="11"/>
      <c r="AE753" s="11"/>
      <c r="AF753" s="11"/>
      <c r="AG753" t="s" s="10">
        <v>299</v>
      </c>
      <c r="AH753" t="s" s="10">
        <v>289</v>
      </c>
      <c r="AI753" t="s" s="10">
        <v>76</v>
      </c>
      <c r="AJ753" t="s" s="10">
        <v>76</v>
      </c>
      <c r="AK753" t="s" s="10">
        <v>524</v>
      </c>
      <c r="AL753" t="s" s="10">
        <v>293</v>
      </c>
      <c r="AM753" t="s" s="10">
        <v>294</v>
      </c>
      <c r="AN753" t="s" s="10">
        <v>128</v>
      </c>
      <c r="AO753" s="18">
        <v>24</v>
      </c>
      <c r="AP753" s="18">
        <v>65536</v>
      </c>
      <c r="AQ753" s="18">
        <v>2284699</v>
      </c>
      <c r="AR753" s="18">
        <v>2284699</v>
      </c>
      <c r="AS753" t="s" s="10">
        <v>2933</v>
      </c>
      <c r="AT753" s="11"/>
      <c r="AU753" s="11"/>
      <c r="AV753" s="11"/>
      <c r="AW753" t="s" s="10">
        <v>2934</v>
      </c>
      <c r="AX753" s="11"/>
      <c r="AY753" s="11"/>
      <c r="AZ753" s="11"/>
      <c r="BA753" s="11"/>
      <c r="BB753" s="11"/>
      <c r="BC753" s="11"/>
      <c r="BD753" t="s" s="10">
        <v>310</v>
      </c>
      <c r="BE753" t="s" s="10">
        <v>356</v>
      </c>
      <c r="BF753" s="11"/>
      <c r="BG753" s="11"/>
      <c r="BH753" s="11"/>
      <c r="BI753" s="11"/>
      <c r="BJ753" s="11"/>
      <c r="BK753" s="11"/>
      <c r="BL753" s="11"/>
      <c r="BM753" s="11"/>
      <c r="BN753" t="s" s="10">
        <v>78</v>
      </c>
      <c r="BO753" s="12"/>
      <c r="BP753" s="8"/>
    </row>
    <row r="754" ht="9" customHeight="1" hidden="1">
      <c r="A754" t="s" s="13">
        <v>2935</v>
      </c>
      <c r="B754" s="14"/>
      <c r="C754" t="str" s="14" cm="1">
        <f t="array" ref="C754">_xlfn.IFERROR((VLOOKUP(A754,#REF!,2,FALSE)),"")</f>
      </c>
      <c r="D754" s="14"/>
      <c r="E754" t="s" s="15">
        <v>687</v>
      </c>
      <c r="F754" s="14"/>
      <c r="G754" t="s" s="15">
        <v>2936</v>
      </c>
      <c r="H754" t="s" s="15">
        <v>2936</v>
      </c>
      <c r="I754" t="s" s="15">
        <v>82</v>
      </c>
      <c r="J754" t="s" s="15">
        <v>82</v>
      </c>
      <c r="K754" t="s" s="15">
        <v>82</v>
      </c>
      <c r="L754" t="s" s="15">
        <v>76</v>
      </c>
      <c r="M754" t="s" s="15">
        <v>2936</v>
      </c>
      <c r="N754" s="14"/>
      <c r="O754" s="14"/>
      <c r="P754" t="s" s="15">
        <v>122</v>
      </c>
      <c r="Q754" t="s" s="15">
        <v>69</v>
      </c>
      <c r="R754" t="s" s="15">
        <v>83</v>
      </c>
      <c r="S754" t="s" s="15">
        <v>69</v>
      </c>
      <c r="T754" s="14"/>
      <c r="U754" s="14"/>
      <c r="V754" t="s" s="15">
        <v>78</v>
      </c>
      <c r="W754" s="14"/>
      <c r="X754" t="s" s="15">
        <v>78</v>
      </c>
      <c r="Y754" s="14"/>
      <c r="Z754" t="s" s="15">
        <v>76</v>
      </c>
      <c r="AA754" s="14"/>
      <c r="AB754" t="s" s="15">
        <v>76</v>
      </c>
      <c r="AC754" s="14"/>
      <c r="AD754" s="14"/>
      <c r="AE754" s="14"/>
      <c r="AF754" s="14"/>
      <c r="AG754" t="s" s="15">
        <v>299</v>
      </c>
      <c r="AH754" t="s" s="15">
        <v>114</v>
      </c>
      <c r="AI754" t="s" s="15">
        <v>604</v>
      </c>
      <c r="AJ754" s="14"/>
      <c r="AK754" t="s" s="15">
        <v>83</v>
      </c>
      <c r="AL754" s="14"/>
      <c r="AM754" s="14"/>
      <c r="AN754" s="14"/>
      <c r="AO754" s="14"/>
      <c r="AP754" s="14"/>
      <c r="AQ754" s="14"/>
      <c r="AR754" s="14"/>
      <c r="AS754" t="s" s="15">
        <v>2937</v>
      </c>
      <c r="AT754" s="14"/>
      <c r="AU754" s="14"/>
      <c r="AV754" s="14"/>
      <c r="AW754" s="14"/>
      <c r="AX754" s="14"/>
      <c r="AY754" s="14"/>
      <c r="AZ754" s="14"/>
      <c r="BA754" s="14"/>
      <c r="BB754" s="14"/>
      <c r="BC754" s="14"/>
      <c r="BD754" t="s" s="15">
        <v>118</v>
      </c>
      <c r="BE754" s="20"/>
      <c r="BF754" s="20"/>
      <c r="BG754" s="20"/>
      <c r="BH754" s="14"/>
      <c r="BI754" s="14"/>
      <c r="BJ754" s="14"/>
      <c r="BK754" s="14"/>
      <c r="BL754" s="14"/>
      <c r="BM754" s="14"/>
      <c r="BN754" s="14"/>
      <c r="BO754" s="16"/>
      <c r="BP754" s="8"/>
    </row>
    <row r="755" ht="15" customHeight="1">
      <c r="A755" t="s" s="9">
        <v>2938</v>
      </c>
      <c r="B755" s="11"/>
      <c r="C755" t="str" s="11" cm="1">
        <f t="array" ref="C755">_xlfn.IFERROR((VLOOKUP(A755,#REF!,2,FALSE)),"")</f>
      </c>
      <c r="D755" s="11"/>
      <c r="E755" t="s" s="10">
        <v>284</v>
      </c>
      <c r="F755" s="11"/>
      <c r="G755" t="s" s="10">
        <v>2939</v>
      </c>
      <c r="H755" t="s" s="10">
        <v>1111</v>
      </c>
      <c r="I755" t="s" s="10">
        <v>111</v>
      </c>
      <c r="J755" t="s" s="10">
        <v>322</v>
      </c>
      <c r="K755" t="s" s="10">
        <v>140</v>
      </c>
      <c r="L755" t="s" s="10">
        <v>518</v>
      </c>
      <c r="M755" t="s" s="10">
        <v>2939</v>
      </c>
      <c r="N755" t="s" s="10">
        <v>2939</v>
      </c>
      <c r="O755" s="11"/>
      <c r="P755" t="s" s="10">
        <v>322</v>
      </c>
      <c r="Q755" t="s" s="10">
        <v>69</v>
      </c>
      <c r="R755" t="s" s="10">
        <v>83</v>
      </c>
      <c r="S755" s="11"/>
      <c r="T755" s="11"/>
      <c r="U755" s="11"/>
      <c r="V755" t="s" s="10">
        <v>69</v>
      </c>
      <c r="W755" s="11"/>
      <c r="X755" t="s" s="10">
        <v>69</v>
      </c>
      <c r="Y755" s="11"/>
      <c r="Z755" t="s" s="10">
        <v>76</v>
      </c>
      <c r="AA755" s="11"/>
      <c r="AB755" t="s" s="10">
        <v>1112</v>
      </c>
      <c r="AC755" t="s" s="25">
        <v>2938</v>
      </c>
      <c r="AD755" t="s" s="10">
        <v>2940</v>
      </c>
      <c r="AE755" s="11"/>
      <c r="AF755" s="11"/>
      <c r="AG755" t="s" s="10">
        <v>299</v>
      </c>
      <c r="AH755" t="s" s="10">
        <v>114</v>
      </c>
      <c r="AI755" t="s" s="10">
        <v>440</v>
      </c>
      <c r="AJ755" s="11"/>
      <c r="AK755" t="s" s="10">
        <v>83</v>
      </c>
      <c r="AL755" t="s" s="10">
        <v>293</v>
      </c>
      <c r="AM755" t="s" s="10">
        <v>294</v>
      </c>
      <c r="AN755" t="s" s="10">
        <v>128</v>
      </c>
      <c r="AO755" s="18">
        <v>7</v>
      </c>
      <c r="AP755" s="18">
        <v>6144</v>
      </c>
      <c r="AQ755" s="18">
        <v>1644633</v>
      </c>
      <c r="AR755" s="18">
        <v>848288</v>
      </c>
      <c r="AS755" t="s" s="10">
        <v>2941</v>
      </c>
      <c r="AT755" t="s" s="10">
        <v>301</v>
      </c>
      <c r="AU755" s="11"/>
      <c r="AV755" s="11"/>
      <c r="AW755" s="11"/>
      <c r="AX755" s="11"/>
      <c r="AY755" s="11"/>
      <c r="AZ755" s="11"/>
      <c r="BA755" s="11"/>
      <c r="BB755" s="11"/>
      <c r="BC755" s="11"/>
      <c r="BD755" t="s" s="10">
        <v>310</v>
      </c>
      <c r="BE755" t="s" s="10">
        <v>311</v>
      </c>
      <c r="BF755" s="18">
        <v>8</v>
      </c>
      <c r="BG755" s="18">
        <v>16</v>
      </c>
      <c r="BH755" s="11"/>
      <c r="BI755" s="11"/>
      <c r="BJ755" s="11"/>
      <c r="BK755" s="11"/>
      <c r="BL755" s="11"/>
      <c r="BM755" s="11"/>
      <c r="BN755" t="s" s="10">
        <v>69</v>
      </c>
      <c r="BO755" s="12"/>
      <c r="BP755" s="8"/>
    </row>
    <row r="756" ht="9" customHeight="1" hidden="1">
      <c r="A756" t="s" s="13">
        <v>2942</v>
      </c>
      <c r="B756" s="14"/>
      <c r="C756" t="str" s="14" cm="1">
        <f t="array" ref="C756">_xlfn.IFERROR((VLOOKUP(A756,#REF!,2,FALSE)),"")</f>
      </c>
      <c r="D756" s="14"/>
      <c r="E756" s="14"/>
      <c r="F756" s="14"/>
      <c r="G756" t="s" s="15">
        <v>2943</v>
      </c>
      <c r="H756" t="s" s="15">
        <v>524</v>
      </c>
      <c r="I756" t="s" s="15">
        <v>82</v>
      </c>
      <c r="J756" t="s" s="15">
        <v>82</v>
      </c>
      <c r="K756" t="s" s="15">
        <v>82</v>
      </c>
      <c r="L756" t="s" s="15">
        <v>518</v>
      </c>
      <c r="M756" t="s" s="15">
        <v>77</v>
      </c>
      <c r="N756" s="14"/>
      <c r="O756" s="14"/>
      <c r="P756" s="14"/>
      <c r="Q756" t="s" s="15">
        <v>69</v>
      </c>
      <c r="R756" t="s" s="15">
        <v>83</v>
      </c>
      <c r="S756" s="14"/>
      <c r="T756" t="s" s="15">
        <v>69</v>
      </c>
      <c r="U756" s="14"/>
      <c r="V756" t="s" s="15">
        <v>78</v>
      </c>
      <c r="W756" s="14"/>
      <c r="X756" t="s" s="15">
        <v>78</v>
      </c>
      <c r="Y756" s="14"/>
      <c r="Z756" t="s" s="15">
        <v>552</v>
      </c>
      <c r="AA756" s="14"/>
      <c r="AB756" t="s" s="15">
        <v>1551</v>
      </c>
      <c r="AC756" s="14"/>
      <c r="AD756" s="14"/>
      <c r="AE756" s="14"/>
      <c r="AF756" s="14"/>
      <c r="AG756" t="s" s="15">
        <v>299</v>
      </c>
      <c r="AH756" s="14"/>
      <c r="AI756" t="s" s="15">
        <v>76</v>
      </c>
      <c r="AJ756" t="s" s="15">
        <v>76</v>
      </c>
      <c r="AK756" t="s" s="15">
        <v>524</v>
      </c>
      <c r="AL756" s="14"/>
      <c r="AM756" s="14"/>
      <c r="AN756" s="14"/>
      <c r="AO756" s="14"/>
      <c r="AP756" s="14"/>
      <c r="AQ756" s="14"/>
      <c r="AR756" s="14"/>
      <c r="AS756" t="s" s="15">
        <v>2944</v>
      </c>
      <c r="AT756" s="14"/>
      <c r="AU756" s="14"/>
      <c r="AV756" s="14"/>
      <c r="AW756" s="14"/>
      <c r="AX756" s="14"/>
      <c r="AY756" s="14"/>
      <c r="AZ756" s="14"/>
      <c r="BA756" s="14"/>
      <c r="BB756" s="14"/>
      <c r="BC756" s="14"/>
      <c r="BD756" t="s" s="15">
        <v>310</v>
      </c>
      <c r="BE756" t="s" s="15">
        <v>356</v>
      </c>
      <c r="BF756" s="14"/>
      <c r="BG756" s="14"/>
      <c r="BH756" s="14"/>
      <c r="BI756" s="14"/>
      <c r="BJ756" s="14"/>
      <c r="BK756" s="14"/>
      <c r="BL756" s="14"/>
      <c r="BM756" s="14"/>
      <c r="BN756" s="14"/>
      <c r="BO756" s="16"/>
      <c r="BP756" s="8"/>
    </row>
    <row r="757" ht="9" customHeight="1" hidden="1">
      <c r="A757" t="s" s="9">
        <v>2945</v>
      </c>
      <c r="B757" s="11"/>
      <c r="C757" t="str" s="11" cm="1">
        <f t="array" ref="C757">_xlfn.IFERROR((VLOOKUP(A757,#REF!,2,FALSE)),"")</f>
      </c>
      <c r="D757" s="11"/>
      <c r="E757" t="s" s="10">
        <v>2946</v>
      </c>
      <c r="F757" s="11"/>
      <c r="G757" t="s" s="10">
        <v>2947</v>
      </c>
      <c r="H757" t="s" s="10">
        <v>2947</v>
      </c>
      <c r="I757" t="s" s="10">
        <v>111</v>
      </c>
      <c r="J757" t="s" s="10">
        <v>122</v>
      </c>
      <c r="K757" t="s" s="10">
        <v>105</v>
      </c>
      <c r="L757" t="s" s="10">
        <v>76</v>
      </c>
      <c r="M757" t="s" s="10">
        <v>2947</v>
      </c>
      <c r="N757" t="s" s="10">
        <v>2947</v>
      </c>
      <c r="O757" t="s" s="10">
        <v>1162</v>
      </c>
      <c r="P757" t="s" s="10">
        <v>469</v>
      </c>
      <c r="Q757" t="s" s="10">
        <v>78</v>
      </c>
      <c r="R757" t="s" s="10">
        <v>323</v>
      </c>
      <c r="S757" s="11"/>
      <c r="T757" s="11"/>
      <c r="U757" s="11"/>
      <c r="V757" t="s" s="10">
        <v>78</v>
      </c>
      <c r="W757" s="11"/>
      <c r="X757" t="s" s="10">
        <v>69</v>
      </c>
      <c r="Y757" s="11"/>
      <c r="Z757" t="s" s="10">
        <v>76</v>
      </c>
      <c r="AA757" s="11"/>
      <c r="AB757" t="s" s="10">
        <v>324</v>
      </c>
      <c r="AC757" s="11"/>
      <c r="AD757" s="11"/>
      <c r="AE757" s="11"/>
      <c r="AF757" s="11"/>
      <c r="AG757" t="s" s="10">
        <v>299</v>
      </c>
      <c r="AH757" t="s" s="10">
        <v>114</v>
      </c>
      <c r="AI757" t="s" s="10">
        <v>76</v>
      </c>
      <c r="AJ757" t="s" s="10">
        <v>76</v>
      </c>
      <c r="AK757" t="s" s="10">
        <v>79</v>
      </c>
      <c r="AL757" t="s" s="10">
        <v>115</v>
      </c>
      <c r="AM757" s="11"/>
      <c r="AN757" s="11"/>
      <c r="AO757" s="11"/>
      <c r="AP757" s="11"/>
      <c r="AQ757" s="11"/>
      <c r="AR757" s="11"/>
      <c r="AS757" t="s" s="10">
        <v>2948</v>
      </c>
      <c r="AT757" t="s" s="10">
        <v>301</v>
      </c>
      <c r="AU757" s="11"/>
      <c r="AV757" s="11"/>
      <c r="AW757" s="11"/>
      <c r="AX757" s="11"/>
      <c r="AY757" s="11"/>
      <c r="AZ757" s="11"/>
      <c r="BA757" s="11"/>
      <c r="BB757" s="11"/>
      <c r="BC757" s="11"/>
      <c r="BD757" t="s" s="10">
        <v>118</v>
      </c>
      <c r="BE757" s="11"/>
      <c r="BF757" s="11"/>
      <c r="BG757" s="11"/>
      <c r="BH757" s="11"/>
      <c r="BI757" s="11"/>
      <c r="BJ757" s="11"/>
      <c r="BK757" s="11"/>
      <c r="BL757" s="11"/>
      <c r="BM757" s="11"/>
      <c r="BN757" s="11"/>
      <c r="BO757" t="s" s="19">
        <v>115</v>
      </c>
      <c r="BP757" s="8"/>
    </row>
    <row r="758" ht="9" customHeight="1" hidden="1">
      <c r="A758" t="s" s="13">
        <v>2949</v>
      </c>
      <c r="B758" s="14"/>
      <c r="C758" t="str" s="14" cm="1">
        <f t="array" ref="C758">_xlfn.IFERROR((VLOOKUP(A758,#REF!,2,FALSE)),"")</f>
      </c>
      <c r="D758" s="14"/>
      <c r="E758" t="s" s="15">
        <v>2950</v>
      </c>
      <c r="F758" s="14"/>
      <c r="G758" t="s" s="15">
        <v>2951</v>
      </c>
      <c r="H758" t="s" s="15">
        <v>2951</v>
      </c>
      <c r="I758" t="s" s="15">
        <v>111</v>
      </c>
      <c r="J758" t="s" s="15">
        <v>122</v>
      </c>
      <c r="K758" t="s" s="15">
        <v>105</v>
      </c>
      <c r="L758" t="s" s="15">
        <v>76</v>
      </c>
      <c r="M758" t="s" s="15">
        <v>2951</v>
      </c>
      <c r="N758" t="s" s="15">
        <v>2951</v>
      </c>
      <c r="O758" t="s" s="15">
        <v>1162</v>
      </c>
      <c r="P758" t="s" s="15">
        <v>469</v>
      </c>
      <c r="Q758" t="s" s="15">
        <v>78</v>
      </c>
      <c r="R758" t="s" s="15">
        <v>323</v>
      </c>
      <c r="S758" s="14"/>
      <c r="T758" s="14"/>
      <c r="U758" s="14"/>
      <c r="V758" t="s" s="15">
        <v>78</v>
      </c>
      <c r="W758" s="14"/>
      <c r="X758" t="s" s="15">
        <v>69</v>
      </c>
      <c r="Y758" s="14"/>
      <c r="Z758" t="s" s="15">
        <v>76</v>
      </c>
      <c r="AA758" s="14"/>
      <c r="AB758" t="s" s="15">
        <v>324</v>
      </c>
      <c r="AC758" s="14"/>
      <c r="AD758" s="14"/>
      <c r="AE758" s="14"/>
      <c r="AF758" s="14"/>
      <c r="AG758" t="s" s="15">
        <v>299</v>
      </c>
      <c r="AH758" t="s" s="15">
        <v>114</v>
      </c>
      <c r="AI758" t="s" s="15">
        <v>76</v>
      </c>
      <c r="AJ758" t="s" s="15">
        <v>76</v>
      </c>
      <c r="AK758" t="s" s="15">
        <v>79</v>
      </c>
      <c r="AL758" t="s" s="15">
        <v>115</v>
      </c>
      <c r="AM758" s="14"/>
      <c r="AN758" s="14"/>
      <c r="AO758" s="14"/>
      <c r="AP758" s="14"/>
      <c r="AQ758" s="14"/>
      <c r="AR758" s="14"/>
      <c r="AS758" t="s" s="15">
        <v>2952</v>
      </c>
      <c r="AT758" t="s" s="15">
        <v>301</v>
      </c>
      <c r="AU758" s="14"/>
      <c r="AV758" s="14"/>
      <c r="AW758" s="14"/>
      <c r="AX758" s="14"/>
      <c r="AY758" s="14"/>
      <c r="AZ758" s="14"/>
      <c r="BA758" s="14"/>
      <c r="BB758" s="14"/>
      <c r="BC758" s="14"/>
      <c r="BD758" t="s" s="15">
        <v>118</v>
      </c>
      <c r="BE758" s="14"/>
      <c r="BF758" s="14"/>
      <c r="BG758" s="14"/>
      <c r="BH758" s="14"/>
      <c r="BI758" s="14"/>
      <c r="BJ758" s="14"/>
      <c r="BK758" s="14"/>
      <c r="BL758" s="14"/>
      <c r="BM758" s="14"/>
      <c r="BN758" s="14"/>
      <c r="BO758" t="s" s="21">
        <v>115</v>
      </c>
      <c r="BP758" s="8"/>
    </row>
    <row r="759" ht="9" customHeight="1" hidden="1">
      <c r="A759" t="s" s="9">
        <v>2953</v>
      </c>
      <c r="B759" s="11"/>
      <c r="C759" t="str" s="11" cm="1">
        <f t="array" ref="C759">_xlfn.IFERROR((VLOOKUP(A759,#REF!,2,FALSE)),"")</f>
      </c>
      <c r="D759" s="11"/>
      <c r="E759" t="s" s="10">
        <v>687</v>
      </c>
      <c r="F759" s="11"/>
      <c r="G759" t="s" s="10">
        <v>2936</v>
      </c>
      <c r="H759" t="s" s="10">
        <v>2936</v>
      </c>
      <c r="I759" t="s" s="10">
        <v>82</v>
      </c>
      <c r="J759" t="s" s="10">
        <v>82</v>
      </c>
      <c r="K759" t="s" s="10">
        <v>82</v>
      </c>
      <c r="L759" t="s" s="10">
        <v>76</v>
      </c>
      <c r="M759" t="s" s="10">
        <v>2936</v>
      </c>
      <c r="N759" s="11"/>
      <c r="O759" s="11"/>
      <c r="P759" t="s" s="10">
        <v>122</v>
      </c>
      <c r="Q759" t="s" s="10">
        <v>69</v>
      </c>
      <c r="R759" t="s" s="10">
        <v>83</v>
      </c>
      <c r="S759" s="11"/>
      <c r="T759" s="11"/>
      <c r="U759" s="11"/>
      <c r="V759" t="s" s="10">
        <v>78</v>
      </c>
      <c r="W759" s="11"/>
      <c r="X759" t="s" s="10">
        <v>78</v>
      </c>
      <c r="Y759" s="11"/>
      <c r="Z759" t="s" s="10">
        <v>76</v>
      </c>
      <c r="AA759" s="11"/>
      <c r="AB759" t="s" s="10">
        <v>76</v>
      </c>
      <c r="AC759" t="s" s="10">
        <v>2953</v>
      </c>
      <c r="AD759" s="11"/>
      <c r="AE759" s="11"/>
      <c r="AF759" s="11"/>
      <c r="AG759" t="s" s="10">
        <v>299</v>
      </c>
      <c r="AH759" t="s" s="10">
        <v>114</v>
      </c>
      <c r="AI759" t="s" s="10">
        <v>604</v>
      </c>
      <c r="AJ759" s="11"/>
      <c r="AK759" t="s" s="10">
        <v>83</v>
      </c>
      <c r="AL759" s="11"/>
      <c r="AM759" s="11"/>
      <c r="AN759" s="11"/>
      <c r="AO759" s="11"/>
      <c r="AP759" s="11"/>
      <c r="AQ759" s="11"/>
      <c r="AR759" s="11"/>
      <c r="AS759" t="s" s="10">
        <v>2954</v>
      </c>
      <c r="AT759" t="s" s="10">
        <v>301</v>
      </c>
      <c r="AU759" s="11"/>
      <c r="AV759" s="11"/>
      <c r="AW759" s="11"/>
      <c r="AX759" s="11"/>
      <c r="AY759" s="11"/>
      <c r="AZ759" s="11"/>
      <c r="BA759" s="11"/>
      <c r="BB759" s="11"/>
      <c r="BC759" s="11"/>
      <c r="BD759" t="s" s="10">
        <v>118</v>
      </c>
      <c r="BE759" s="11"/>
      <c r="BF759" s="11"/>
      <c r="BG759" s="11"/>
      <c r="BH759" s="11"/>
      <c r="BI759" s="11"/>
      <c r="BJ759" s="11"/>
      <c r="BK759" s="11"/>
      <c r="BL759" s="11"/>
      <c r="BM759" s="11"/>
      <c r="BN759" s="11"/>
      <c r="BO759" s="12"/>
      <c r="BP759" s="8"/>
    </row>
    <row r="760" ht="15" customHeight="1" hidden="1">
      <c r="A760" t="s" s="13">
        <v>2955</v>
      </c>
      <c r="B760" s="14"/>
      <c r="C760" t="str" s="14" cm="1">
        <f t="array" ref="C760">_xlfn.IFERROR((VLOOKUP(A760,#REF!,2,FALSE)),"")</f>
      </c>
      <c r="D760" s="14"/>
      <c r="E760" t="s" s="15">
        <v>687</v>
      </c>
      <c r="F760" s="14"/>
      <c r="G760" t="s" s="15">
        <v>2936</v>
      </c>
      <c r="H760" t="s" s="15">
        <v>2936</v>
      </c>
      <c r="I760" t="s" s="15">
        <v>82</v>
      </c>
      <c r="J760" t="s" s="15">
        <v>82</v>
      </c>
      <c r="K760" t="s" s="15">
        <v>82</v>
      </c>
      <c r="L760" t="s" s="15">
        <v>76</v>
      </c>
      <c r="M760" t="s" s="15">
        <v>2936</v>
      </c>
      <c r="N760" s="14"/>
      <c r="O760" s="14"/>
      <c r="P760" t="s" s="15">
        <v>122</v>
      </c>
      <c r="Q760" t="s" s="15">
        <v>69</v>
      </c>
      <c r="R760" t="s" s="15">
        <v>83</v>
      </c>
      <c r="S760" s="14"/>
      <c r="T760" s="14"/>
      <c r="U760" s="14"/>
      <c r="V760" t="s" s="15">
        <v>78</v>
      </c>
      <c r="W760" s="14"/>
      <c r="X760" t="s" s="15">
        <v>78</v>
      </c>
      <c r="Y760" s="14"/>
      <c r="Z760" t="s" s="15">
        <v>76</v>
      </c>
      <c r="AA760" s="14"/>
      <c r="AB760" t="s" s="15">
        <v>76</v>
      </c>
      <c r="AC760" t="s" s="15">
        <v>2955</v>
      </c>
      <c r="AD760" s="14"/>
      <c r="AE760" s="14"/>
      <c r="AF760" s="14"/>
      <c r="AG760" t="s" s="15">
        <v>299</v>
      </c>
      <c r="AH760" t="s" s="15">
        <v>114</v>
      </c>
      <c r="AI760" t="s" s="15">
        <v>604</v>
      </c>
      <c r="AJ760" s="14"/>
      <c r="AK760" t="s" s="15">
        <v>83</v>
      </c>
      <c r="AL760" s="14"/>
      <c r="AM760" s="14"/>
      <c r="AN760" s="14"/>
      <c r="AO760" s="14"/>
      <c r="AP760" s="14"/>
      <c r="AQ760" s="14"/>
      <c r="AR760" s="14"/>
      <c r="AS760" t="s" s="15">
        <v>2956</v>
      </c>
      <c r="AT760" t="s" s="15">
        <v>301</v>
      </c>
      <c r="AU760" s="14"/>
      <c r="AV760" s="14"/>
      <c r="AW760" s="14"/>
      <c r="AX760" s="14"/>
      <c r="AY760" s="14"/>
      <c r="AZ760" s="14"/>
      <c r="BA760" s="14"/>
      <c r="BB760" s="14"/>
      <c r="BC760" s="14"/>
      <c r="BD760" t="s" s="15">
        <v>118</v>
      </c>
      <c r="BE760" s="14"/>
      <c r="BF760" s="14"/>
      <c r="BG760" s="14"/>
      <c r="BH760" s="14"/>
      <c r="BI760" s="14"/>
      <c r="BJ760" s="14"/>
      <c r="BK760" s="14"/>
      <c r="BL760" s="14"/>
      <c r="BM760" s="14"/>
      <c r="BN760" s="14"/>
      <c r="BO760" s="16"/>
      <c r="BP760" s="8"/>
    </row>
    <row r="761" ht="15" customHeight="1" hidden="1">
      <c r="A761" t="s" s="9">
        <v>2957</v>
      </c>
      <c r="B761" s="11"/>
      <c r="C761" t="str" s="11" cm="1">
        <f t="array" ref="C761">_xlfn.IFERROR((VLOOKUP(A761,#REF!,2,FALSE)),"")</f>
      </c>
      <c r="D761" s="11"/>
      <c r="E761" t="s" s="10">
        <v>2840</v>
      </c>
      <c r="F761" s="11"/>
      <c r="G761" t="s" s="10">
        <v>2958</v>
      </c>
      <c r="H761" t="s" s="10">
        <v>492</v>
      </c>
      <c r="I761" t="s" s="10">
        <v>82</v>
      </c>
      <c r="J761" t="s" s="10">
        <v>82</v>
      </c>
      <c r="K761" t="s" s="10">
        <v>82</v>
      </c>
      <c r="L761" t="s" s="10">
        <v>493</v>
      </c>
      <c r="M761" t="s" s="10">
        <v>77</v>
      </c>
      <c r="N761" s="11"/>
      <c r="O761" s="11"/>
      <c r="P761" s="11"/>
      <c r="Q761" t="s" s="10">
        <v>69</v>
      </c>
      <c r="R761" t="s" s="10">
        <v>83</v>
      </c>
      <c r="S761" s="11"/>
      <c r="T761" s="11"/>
      <c r="U761" s="11"/>
      <c r="V761" t="s" s="10">
        <v>78</v>
      </c>
      <c r="W761" s="11"/>
      <c r="X761" t="s" s="10">
        <v>78</v>
      </c>
      <c r="Y761" s="11"/>
      <c r="Z761" t="s" s="10">
        <v>495</v>
      </c>
      <c r="AA761" s="11"/>
      <c r="AB761" t="s" s="10">
        <v>495</v>
      </c>
      <c r="AC761" t="s" s="10">
        <v>2957</v>
      </c>
      <c r="AD761" s="11"/>
      <c r="AE761" s="11"/>
      <c r="AF761" t="s" s="10">
        <v>492</v>
      </c>
      <c r="AG761" t="s" s="10">
        <v>299</v>
      </c>
      <c r="AH761" t="s" s="10">
        <v>114</v>
      </c>
      <c r="AI761" t="s" s="10">
        <v>332</v>
      </c>
      <c r="AJ761" t="s" s="10">
        <v>333</v>
      </c>
      <c r="AK761" t="s" s="10">
        <v>83</v>
      </c>
      <c r="AL761" s="11"/>
      <c r="AM761" s="11"/>
      <c r="AN761" s="11"/>
      <c r="AO761" s="11"/>
      <c r="AP761" s="11"/>
      <c r="AQ761" s="11"/>
      <c r="AR761" s="11"/>
      <c r="AS761" t="s" s="10">
        <v>2959</v>
      </c>
      <c r="AT761" t="s" s="10">
        <v>301</v>
      </c>
      <c r="AU761" s="11"/>
      <c r="AV761" s="11"/>
      <c r="AW761" s="11"/>
      <c r="AX761" s="11"/>
      <c r="AY761" s="11"/>
      <c r="AZ761" s="11"/>
      <c r="BA761" s="11"/>
      <c r="BB761" s="11"/>
      <c r="BC761" s="11"/>
      <c r="BD761" t="s" s="10">
        <v>118</v>
      </c>
      <c r="BE761" s="11"/>
      <c r="BF761" s="11"/>
      <c r="BG761" s="11"/>
      <c r="BH761" s="11"/>
      <c r="BI761" s="11"/>
      <c r="BJ761" s="11"/>
      <c r="BK761" s="11"/>
      <c r="BL761" s="11"/>
      <c r="BM761" s="11"/>
      <c r="BN761" s="11"/>
      <c r="BO761" s="12"/>
      <c r="BP761" s="8"/>
    </row>
    <row r="762" ht="15" customHeight="1" hidden="1">
      <c r="A762" t="s" s="13">
        <v>2960</v>
      </c>
      <c r="B762" s="14"/>
      <c r="C762" t="str" s="14" cm="1">
        <f t="array" ref="C762">_xlfn.IFERROR((VLOOKUP(A762,#REF!,2,FALSE)),"")</f>
      </c>
      <c r="D762" s="14"/>
      <c r="E762" s="14"/>
      <c r="F762" s="14"/>
      <c r="G762" t="s" s="15">
        <v>2961</v>
      </c>
      <c r="H762" t="s" s="15">
        <v>2962</v>
      </c>
      <c r="I762" t="s" s="15">
        <v>82</v>
      </c>
      <c r="J762" t="s" s="15">
        <v>82</v>
      </c>
      <c r="K762" t="s" s="15">
        <v>82</v>
      </c>
      <c r="L762" t="s" s="15">
        <v>76</v>
      </c>
      <c r="M762" t="s" s="15">
        <v>77</v>
      </c>
      <c r="N762" s="14"/>
      <c r="O762" s="14"/>
      <c r="P762" s="14"/>
      <c r="Q762" t="s" s="15">
        <v>69</v>
      </c>
      <c r="R762" t="s" s="15">
        <v>83</v>
      </c>
      <c r="S762" s="14"/>
      <c r="T762" s="14"/>
      <c r="U762" s="14"/>
      <c r="V762" t="s" s="15">
        <v>78</v>
      </c>
      <c r="W762" s="14"/>
      <c r="X762" t="s" s="15">
        <v>78</v>
      </c>
      <c r="Y762" s="14"/>
      <c r="Z762" t="s" s="15">
        <v>965</v>
      </c>
      <c r="AA762" s="14"/>
      <c r="AB762" t="s" s="15">
        <v>2963</v>
      </c>
      <c r="AC762" t="s" s="15">
        <v>2960</v>
      </c>
      <c r="AD762" s="14"/>
      <c r="AE762" s="14"/>
      <c r="AF762" s="14"/>
      <c r="AG762" t="s" s="15">
        <v>299</v>
      </c>
      <c r="AH762" t="s" s="15">
        <v>114</v>
      </c>
      <c r="AI762" t="s" s="15">
        <v>440</v>
      </c>
      <c r="AJ762" s="14"/>
      <c r="AK762" t="s" s="15">
        <v>83</v>
      </c>
      <c r="AL762" s="14"/>
      <c r="AM762" s="14"/>
      <c r="AN762" s="14"/>
      <c r="AO762" s="14"/>
      <c r="AP762" s="14"/>
      <c r="AQ762" s="14"/>
      <c r="AR762" s="14"/>
      <c r="AS762" t="s" s="15">
        <v>2964</v>
      </c>
      <c r="AT762" t="s" s="15">
        <v>301</v>
      </c>
      <c r="AU762" s="14"/>
      <c r="AV762" s="14"/>
      <c r="AW762" s="14"/>
      <c r="AX762" s="14"/>
      <c r="AY762" s="14"/>
      <c r="AZ762" s="14"/>
      <c r="BA762" s="14"/>
      <c r="BB762" s="14"/>
      <c r="BC762" s="14"/>
      <c r="BD762" t="s" s="15">
        <v>118</v>
      </c>
      <c r="BE762" s="20"/>
      <c r="BF762" s="20"/>
      <c r="BG762" s="20"/>
      <c r="BH762" s="14"/>
      <c r="BI762" s="14"/>
      <c r="BJ762" s="14"/>
      <c r="BK762" s="14"/>
      <c r="BL762" s="14"/>
      <c r="BM762" s="14"/>
      <c r="BN762" s="14"/>
      <c r="BO762" s="16"/>
      <c r="BP762" s="8"/>
    </row>
    <row r="763" ht="15" customHeight="1" hidden="1">
      <c r="A763" t="s" s="9">
        <v>2965</v>
      </c>
      <c r="B763" s="11"/>
      <c r="C763" t="str" s="11" cm="1">
        <f t="array" ref="C763">_xlfn.IFERROR((VLOOKUP(A763,#REF!,2,FALSE)),"")</f>
      </c>
      <c r="D763" s="11"/>
      <c r="E763" t="s" s="10">
        <v>392</v>
      </c>
      <c r="F763" s="11"/>
      <c r="G763" t="s" s="10">
        <v>2966</v>
      </c>
      <c r="H763" t="s" s="10">
        <v>492</v>
      </c>
      <c r="I763" t="s" s="10">
        <v>82</v>
      </c>
      <c r="J763" t="s" s="10">
        <v>82</v>
      </c>
      <c r="K763" t="s" s="10">
        <v>82</v>
      </c>
      <c r="L763" t="s" s="10">
        <v>493</v>
      </c>
      <c r="M763" t="s" s="10">
        <v>77</v>
      </c>
      <c r="N763" s="11"/>
      <c r="O763" s="11"/>
      <c r="P763" s="11"/>
      <c r="Q763" t="s" s="10">
        <v>69</v>
      </c>
      <c r="R763" t="s" s="10">
        <v>83</v>
      </c>
      <c r="S763" s="11"/>
      <c r="T763" s="11"/>
      <c r="U763" s="11"/>
      <c r="V763" t="s" s="10">
        <v>78</v>
      </c>
      <c r="W763" s="11"/>
      <c r="X763" t="s" s="10">
        <v>78</v>
      </c>
      <c r="Y763" s="11"/>
      <c r="Z763" t="s" s="10">
        <v>495</v>
      </c>
      <c r="AA763" s="11"/>
      <c r="AB763" t="s" s="10">
        <v>495</v>
      </c>
      <c r="AC763" t="s" s="10">
        <v>2965</v>
      </c>
      <c r="AD763" s="11"/>
      <c r="AE763" s="11"/>
      <c r="AF763" t="s" s="10">
        <v>492</v>
      </c>
      <c r="AG763" t="s" s="10">
        <v>299</v>
      </c>
      <c r="AH763" t="s" s="10">
        <v>114</v>
      </c>
      <c r="AI763" t="s" s="10">
        <v>332</v>
      </c>
      <c r="AJ763" t="s" s="10">
        <v>473</v>
      </c>
      <c r="AK763" t="s" s="10">
        <v>83</v>
      </c>
      <c r="AL763" s="11"/>
      <c r="AM763" s="11"/>
      <c r="AN763" s="11"/>
      <c r="AO763" s="11"/>
      <c r="AP763" s="11"/>
      <c r="AQ763" s="11"/>
      <c r="AR763" s="11"/>
      <c r="AS763" t="s" s="10">
        <v>2967</v>
      </c>
      <c r="AT763" t="s" s="10">
        <v>301</v>
      </c>
      <c r="AU763" s="11"/>
      <c r="AV763" s="11"/>
      <c r="AW763" s="11"/>
      <c r="AX763" s="11"/>
      <c r="AY763" s="11"/>
      <c r="AZ763" s="11"/>
      <c r="BA763" s="11"/>
      <c r="BB763" s="11"/>
      <c r="BC763" s="11"/>
      <c r="BD763" t="s" s="10">
        <v>118</v>
      </c>
      <c r="BE763" s="23"/>
      <c r="BF763" s="23"/>
      <c r="BG763" s="23"/>
      <c r="BH763" s="11"/>
      <c r="BI763" s="11"/>
      <c r="BJ763" s="11"/>
      <c r="BK763" s="11"/>
      <c r="BL763" s="11"/>
      <c r="BM763" s="11"/>
      <c r="BN763" s="11"/>
      <c r="BO763" s="12"/>
      <c r="BP763" s="8"/>
    </row>
    <row r="764" ht="15" customHeight="1" hidden="1">
      <c r="A764" t="s" s="13">
        <v>2968</v>
      </c>
      <c r="B764" s="14"/>
      <c r="C764" t="str" s="14" cm="1">
        <f t="array" ref="C764">_xlfn.IFERROR((VLOOKUP(A764,#REF!,2,FALSE)),"")</f>
      </c>
      <c r="D764" s="14"/>
      <c r="E764" t="s" s="15">
        <v>2969</v>
      </c>
      <c r="F764" s="14"/>
      <c r="G764" t="s" s="15">
        <v>2970</v>
      </c>
      <c r="H764" t="s" s="15">
        <v>2971</v>
      </c>
      <c r="I764" t="s" s="15">
        <v>82</v>
      </c>
      <c r="J764" t="s" s="15">
        <v>82</v>
      </c>
      <c r="K764" t="s" s="15">
        <v>82</v>
      </c>
      <c r="L764" t="s" s="15">
        <v>76</v>
      </c>
      <c r="M764" t="s" s="15">
        <v>77</v>
      </c>
      <c r="N764" s="14"/>
      <c r="O764" s="14"/>
      <c r="P764" s="14"/>
      <c r="Q764" t="s" s="15">
        <v>69</v>
      </c>
      <c r="R764" t="s" s="15">
        <v>83</v>
      </c>
      <c r="S764" s="14"/>
      <c r="T764" s="14"/>
      <c r="U764" s="14"/>
      <c r="V764" t="s" s="15">
        <v>78</v>
      </c>
      <c r="W764" s="14"/>
      <c r="X764" t="s" s="15">
        <v>78</v>
      </c>
      <c r="Y764" s="14"/>
      <c r="Z764" t="s" s="15">
        <v>76</v>
      </c>
      <c r="AA764" s="14"/>
      <c r="AB764" t="s" s="15">
        <v>76</v>
      </c>
      <c r="AC764" t="s" s="15">
        <v>2968</v>
      </c>
      <c r="AD764" s="14"/>
      <c r="AE764" s="14"/>
      <c r="AF764" s="14"/>
      <c r="AG764" t="s" s="15">
        <v>299</v>
      </c>
      <c r="AH764" t="s" s="15">
        <v>114</v>
      </c>
      <c r="AI764" t="s" s="15">
        <v>604</v>
      </c>
      <c r="AJ764" s="14"/>
      <c r="AK764" t="s" s="15">
        <v>83</v>
      </c>
      <c r="AL764" t="s" s="15">
        <v>115</v>
      </c>
      <c r="AM764" s="14"/>
      <c r="AN764" s="14"/>
      <c r="AO764" s="14"/>
      <c r="AP764" s="14"/>
      <c r="AQ764" s="14"/>
      <c r="AR764" s="14"/>
      <c r="AS764" t="s" s="15">
        <v>2972</v>
      </c>
      <c r="AT764" t="s" s="15">
        <v>301</v>
      </c>
      <c r="AU764" s="14"/>
      <c r="AV764" s="14"/>
      <c r="AW764" s="14"/>
      <c r="AX764" s="14"/>
      <c r="AY764" s="14"/>
      <c r="AZ764" s="14"/>
      <c r="BA764" s="14"/>
      <c r="BB764" s="14"/>
      <c r="BC764" s="14"/>
      <c r="BD764" t="s" s="15">
        <v>118</v>
      </c>
      <c r="BE764" s="14"/>
      <c r="BF764" s="14"/>
      <c r="BG764" s="14"/>
      <c r="BH764" s="14"/>
      <c r="BI764" s="14"/>
      <c r="BJ764" s="14"/>
      <c r="BK764" s="14"/>
      <c r="BL764" s="14"/>
      <c r="BM764" s="14"/>
      <c r="BN764" s="14"/>
      <c r="BO764" s="16"/>
      <c r="BP764" s="8"/>
    </row>
    <row r="765" ht="9" customHeight="1" hidden="1">
      <c r="A765" t="s" s="9">
        <v>2973</v>
      </c>
      <c r="B765" s="11"/>
      <c r="C765" t="str" s="11" cm="1">
        <f t="array" ref="C765">_xlfn.IFERROR((VLOOKUP(A765,#REF!,2,FALSE)),"")</f>
      </c>
      <c r="D765" s="11"/>
      <c r="E765" t="s" s="10">
        <v>2974</v>
      </c>
      <c r="F765" s="11"/>
      <c r="G765" t="s" s="10">
        <v>2975</v>
      </c>
      <c r="H765" t="s" s="10">
        <v>2976</v>
      </c>
      <c r="I765" t="s" s="10">
        <v>82</v>
      </c>
      <c r="J765" t="s" s="10">
        <v>82</v>
      </c>
      <c r="K765" t="s" s="10">
        <v>82</v>
      </c>
      <c r="L765" t="s" s="10">
        <v>76</v>
      </c>
      <c r="M765" t="s" s="10">
        <v>77</v>
      </c>
      <c r="N765" s="11"/>
      <c r="O765" s="11"/>
      <c r="P765" s="11"/>
      <c r="Q765" t="s" s="10">
        <v>69</v>
      </c>
      <c r="R765" t="s" s="10">
        <v>83</v>
      </c>
      <c r="S765" s="11"/>
      <c r="T765" s="11"/>
      <c r="U765" s="11"/>
      <c r="V765" t="s" s="10">
        <v>78</v>
      </c>
      <c r="W765" s="11"/>
      <c r="X765" t="s" s="10">
        <v>78</v>
      </c>
      <c r="Y765" s="11"/>
      <c r="Z765" t="s" s="10">
        <v>1626</v>
      </c>
      <c r="AA765" s="11"/>
      <c r="AB765" t="s" s="10">
        <v>76</v>
      </c>
      <c r="AC765" t="s" s="10">
        <v>2973</v>
      </c>
      <c r="AD765" s="11"/>
      <c r="AE765" s="11"/>
      <c r="AF765" s="11"/>
      <c r="AG765" s="11"/>
      <c r="AH765" s="11"/>
      <c r="AI765" t="s" s="10">
        <v>76</v>
      </c>
      <c r="AJ765" t="s" s="10">
        <v>76</v>
      </c>
      <c r="AK765" t="s" s="10">
        <v>79</v>
      </c>
      <c r="AL765" s="11"/>
      <c r="AM765" s="11"/>
      <c r="AN765" s="11"/>
      <c r="AO765" s="11"/>
      <c r="AP765" s="11"/>
      <c r="AQ765" s="11"/>
      <c r="AR765" s="11"/>
      <c r="AS765" t="s" s="10">
        <v>2977</v>
      </c>
      <c r="AT765" s="11"/>
      <c r="AU765" s="11"/>
      <c r="AV765" s="11"/>
      <c r="AW765" s="11"/>
      <c r="AX765" s="11"/>
      <c r="AY765" s="11"/>
      <c r="AZ765" s="11"/>
      <c r="BA765" s="11"/>
      <c r="BB765" s="11"/>
      <c r="BC765" s="11"/>
      <c r="BD765" t="s" s="10">
        <v>310</v>
      </c>
      <c r="BE765" t="s" s="10">
        <v>356</v>
      </c>
      <c r="BF765" s="11"/>
      <c r="BG765" s="11"/>
      <c r="BH765" s="11"/>
      <c r="BI765" s="11"/>
      <c r="BJ765" s="11"/>
      <c r="BK765" s="11"/>
      <c r="BL765" s="11"/>
      <c r="BM765" s="11"/>
      <c r="BN765" s="11"/>
      <c r="BO765" s="12"/>
      <c r="BP765" s="8"/>
    </row>
    <row r="766" ht="9" customHeight="1" hidden="1">
      <c r="A766" t="s" s="13">
        <v>2978</v>
      </c>
      <c r="B766" s="14"/>
      <c r="C766" t="str" s="14" cm="1">
        <f t="array" ref="C766">_xlfn.IFERROR((VLOOKUP(A766,#REF!,2,FALSE)),"")</f>
      </c>
      <c r="D766" s="14"/>
      <c r="E766" t="s" s="15">
        <v>1997</v>
      </c>
      <c r="F766" s="14"/>
      <c r="G766" t="s" s="15">
        <v>2979</v>
      </c>
      <c r="H766" t="s" s="15">
        <v>1999</v>
      </c>
      <c r="I766" t="s" s="15">
        <v>73</v>
      </c>
      <c r="J766" t="s" s="15">
        <v>74</v>
      </c>
      <c r="K766" t="s" s="15">
        <v>140</v>
      </c>
      <c r="L766" t="s" s="15">
        <v>76</v>
      </c>
      <c r="M766" t="s" s="15">
        <v>2979</v>
      </c>
      <c r="N766" t="s" s="15">
        <v>2979</v>
      </c>
      <c r="O766" t="s" s="15">
        <v>71</v>
      </c>
      <c r="P766" t="s" s="15">
        <v>469</v>
      </c>
      <c r="Q766" t="s" s="15">
        <v>69</v>
      </c>
      <c r="R766" t="s" s="15">
        <v>71</v>
      </c>
      <c r="S766" s="14"/>
      <c r="T766" s="14"/>
      <c r="U766" s="14"/>
      <c r="V766" t="s" s="15">
        <v>69</v>
      </c>
      <c r="W766" s="14"/>
      <c r="X766" t="s" s="15">
        <v>69</v>
      </c>
      <c r="Y766" s="14"/>
      <c r="Z766" t="s" s="15">
        <v>76</v>
      </c>
      <c r="AA766" s="14"/>
      <c r="AB766" t="s" s="15">
        <v>76</v>
      </c>
      <c r="AC766" t="s" s="15">
        <v>2978</v>
      </c>
      <c r="AD766" t="s" s="15">
        <v>2980</v>
      </c>
      <c r="AE766" s="14"/>
      <c r="AF766" s="14"/>
      <c r="AG766" t="s" s="15">
        <v>299</v>
      </c>
      <c r="AH766" t="s" s="15">
        <v>106</v>
      </c>
      <c r="AI766" t="s" s="15">
        <v>76</v>
      </c>
      <c r="AJ766" t="s" s="15">
        <v>76</v>
      </c>
      <c r="AK766" t="s" s="15">
        <v>79</v>
      </c>
      <c r="AL766" t="s" s="15">
        <v>293</v>
      </c>
      <c r="AM766" t="s" s="15">
        <v>196</v>
      </c>
      <c r="AN766" t="s" s="15">
        <v>128</v>
      </c>
      <c r="AO766" s="17">
        <v>4</v>
      </c>
      <c r="AP766" s="17">
        <v>16384</v>
      </c>
      <c r="AQ766" s="17">
        <v>221334</v>
      </c>
      <c r="AR766" s="17">
        <v>221334</v>
      </c>
      <c r="AS766" t="s" s="15">
        <v>2981</v>
      </c>
      <c r="AT766" t="s" s="15">
        <v>301</v>
      </c>
      <c r="AU766" s="14"/>
      <c r="AV766" s="14"/>
      <c r="AW766" s="14"/>
      <c r="AX766" s="14"/>
      <c r="AY766" s="14"/>
      <c r="AZ766" s="14"/>
      <c r="BA766" s="14"/>
      <c r="BB766" s="14"/>
      <c r="BC766" s="14"/>
      <c r="BD766" t="s" s="15">
        <v>310</v>
      </c>
      <c r="BE766" t="s" s="15">
        <v>394</v>
      </c>
      <c r="BF766" s="14"/>
      <c r="BG766" s="14"/>
      <c r="BH766" s="14"/>
      <c r="BI766" s="14"/>
      <c r="BJ766" s="14"/>
      <c r="BK766" s="14"/>
      <c r="BL766" s="14"/>
      <c r="BM766" s="14"/>
      <c r="BN766" s="14"/>
      <c r="BO766" s="16"/>
      <c r="BP766" s="8"/>
    </row>
    <row r="767" ht="9" customHeight="1" hidden="1">
      <c r="A767" t="s" s="9">
        <v>2982</v>
      </c>
      <c r="B767" s="11"/>
      <c r="C767" t="str" s="11" cm="1">
        <f t="array" ref="C767">_xlfn.IFERROR((VLOOKUP(A767,#REF!,2,FALSE)),"")</f>
      </c>
      <c r="D767" s="11"/>
      <c r="E767" t="s" s="10">
        <v>2974</v>
      </c>
      <c r="F767" s="11"/>
      <c r="G767" t="s" s="10">
        <v>2983</v>
      </c>
      <c r="H767" t="s" s="10">
        <v>2984</v>
      </c>
      <c r="I767" t="s" s="10">
        <v>82</v>
      </c>
      <c r="J767" t="s" s="10">
        <v>82</v>
      </c>
      <c r="K767" t="s" s="10">
        <v>82</v>
      </c>
      <c r="L767" t="s" s="10">
        <v>76</v>
      </c>
      <c r="M767" t="s" s="10">
        <v>77</v>
      </c>
      <c r="N767" s="11"/>
      <c r="O767" s="11"/>
      <c r="P767" s="11"/>
      <c r="Q767" t="s" s="10">
        <v>69</v>
      </c>
      <c r="R767" t="s" s="10">
        <v>83</v>
      </c>
      <c r="S767" s="11"/>
      <c r="T767" s="11"/>
      <c r="U767" s="11"/>
      <c r="V767" t="s" s="10">
        <v>78</v>
      </c>
      <c r="W767" s="11"/>
      <c r="X767" t="s" s="10">
        <v>78</v>
      </c>
      <c r="Y767" s="11"/>
      <c r="Z767" t="s" s="10">
        <v>76</v>
      </c>
      <c r="AA767" s="11"/>
      <c r="AB767" t="s" s="10">
        <v>76</v>
      </c>
      <c r="AC767" t="s" s="10">
        <v>2982</v>
      </c>
      <c r="AD767" t="s" s="10">
        <v>2985</v>
      </c>
      <c r="AE767" s="11"/>
      <c r="AF767" s="11"/>
      <c r="AG767" s="11"/>
      <c r="AH767" s="11"/>
      <c r="AI767" t="s" s="10">
        <v>76</v>
      </c>
      <c r="AJ767" t="s" s="10">
        <v>76</v>
      </c>
      <c r="AK767" t="s" s="10">
        <v>79</v>
      </c>
      <c r="AL767" s="11"/>
      <c r="AM767" s="11"/>
      <c r="AN767" s="11"/>
      <c r="AO767" s="11"/>
      <c r="AP767" s="11"/>
      <c r="AQ767" s="11"/>
      <c r="AR767" s="11"/>
      <c r="AS767" t="s" s="10">
        <v>2986</v>
      </c>
      <c r="AT767" s="11"/>
      <c r="AU767" s="11"/>
      <c r="AV767" s="11"/>
      <c r="AW767" s="11"/>
      <c r="AX767" s="11"/>
      <c r="AY767" s="11"/>
      <c r="AZ767" s="11"/>
      <c r="BA767" s="11"/>
      <c r="BB767" s="11"/>
      <c r="BC767" s="11"/>
      <c r="BD767" t="s" s="10">
        <v>366</v>
      </c>
      <c r="BE767" t="s" s="10">
        <v>394</v>
      </c>
      <c r="BF767" s="11"/>
      <c r="BG767" s="11"/>
      <c r="BH767" s="11"/>
      <c r="BI767" s="11"/>
      <c r="BJ767" s="11"/>
      <c r="BK767" s="11"/>
      <c r="BL767" s="11"/>
      <c r="BM767" s="11"/>
      <c r="BN767" s="11"/>
      <c r="BO767" s="12"/>
      <c r="BP767" s="8"/>
    </row>
    <row r="768" ht="9" customHeight="1" hidden="1">
      <c r="A768" t="s" s="13">
        <v>2987</v>
      </c>
      <c r="B768" s="14"/>
      <c r="C768" t="str" s="14" cm="1">
        <f t="array" ref="C768">_xlfn.IFERROR((VLOOKUP(A768,#REF!,2,FALSE)),"")</f>
      </c>
      <c r="D768" t="s" s="15">
        <v>70</v>
      </c>
      <c r="E768" t="s" s="15">
        <v>2988</v>
      </c>
      <c r="F768" s="14"/>
      <c r="G768" t="s" s="15">
        <v>2989</v>
      </c>
      <c r="H768" t="s" s="15">
        <v>2989</v>
      </c>
      <c r="I768" t="s" s="15">
        <v>82</v>
      </c>
      <c r="J768" t="s" s="15">
        <v>82</v>
      </c>
      <c r="K768" t="s" s="15">
        <v>82</v>
      </c>
      <c r="L768" t="s" s="15">
        <v>76</v>
      </c>
      <c r="M768" t="s" s="15">
        <v>77</v>
      </c>
      <c r="N768" s="14"/>
      <c r="O768" s="14"/>
      <c r="P768" s="14"/>
      <c r="Q768" t="s" s="15">
        <v>69</v>
      </c>
      <c r="R768" t="s" s="15">
        <v>83</v>
      </c>
      <c r="S768" s="14"/>
      <c r="T768" s="14"/>
      <c r="U768" s="14"/>
      <c r="V768" t="s" s="15">
        <v>78</v>
      </c>
      <c r="W768" s="14"/>
      <c r="X768" t="s" s="15">
        <v>78</v>
      </c>
      <c r="Y768" s="14"/>
      <c r="Z768" t="s" s="15">
        <v>76</v>
      </c>
      <c r="AA768" s="14"/>
      <c r="AB768" t="s" s="15">
        <v>76</v>
      </c>
      <c r="AC768" t="s" s="15">
        <v>2987</v>
      </c>
      <c r="AD768" t="s" s="15">
        <v>2990</v>
      </c>
      <c r="AE768" s="14"/>
      <c r="AF768" s="14"/>
      <c r="AG768" t="s" s="15">
        <v>453</v>
      </c>
      <c r="AH768" t="s" s="15">
        <v>106</v>
      </c>
      <c r="AI768" t="s" s="15">
        <v>76</v>
      </c>
      <c r="AJ768" t="s" s="15">
        <v>76</v>
      </c>
      <c r="AK768" t="s" s="15">
        <v>79</v>
      </c>
      <c r="AL768" s="14"/>
      <c r="AM768" s="14"/>
      <c r="AN768" s="14"/>
      <c r="AO768" s="14"/>
      <c r="AP768" s="14"/>
      <c r="AQ768" s="14"/>
      <c r="AR768" s="14"/>
      <c r="AS768" t="s" s="15">
        <v>2991</v>
      </c>
      <c r="AT768" s="14"/>
      <c r="AU768" s="14"/>
      <c r="AV768" s="14"/>
      <c r="AW768" s="14"/>
      <c r="AX768" s="14"/>
      <c r="AY768" s="14"/>
      <c r="AZ768" s="14"/>
      <c r="BA768" s="14"/>
      <c r="BB768" s="14"/>
      <c r="BC768" s="14"/>
      <c r="BD768" t="s" s="15">
        <v>310</v>
      </c>
      <c r="BE768" t="s" s="15">
        <v>356</v>
      </c>
      <c r="BF768" s="14"/>
      <c r="BG768" s="14"/>
      <c r="BH768" s="14"/>
      <c r="BI768" s="14"/>
      <c r="BJ768" s="14"/>
      <c r="BK768" s="14"/>
      <c r="BL768" s="14"/>
      <c r="BM768" s="14"/>
      <c r="BN768" s="14"/>
      <c r="BO768" s="16"/>
      <c r="BP768" s="8"/>
    </row>
    <row r="769" ht="9" customHeight="1" hidden="1">
      <c r="A769" t="s" s="9">
        <v>2992</v>
      </c>
      <c r="B769" s="11"/>
      <c r="C769" t="str" s="11" cm="1">
        <f t="array" ref="C769">_xlfn.IFERROR((VLOOKUP(A769,#REF!,2,FALSE)),"")</f>
      </c>
      <c r="D769" s="11"/>
      <c r="E769" t="s" s="10">
        <v>2974</v>
      </c>
      <c r="F769" s="11"/>
      <c r="G769" t="s" s="10">
        <v>2983</v>
      </c>
      <c r="H769" t="s" s="10">
        <v>2984</v>
      </c>
      <c r="I769" t="s" s="10">
        <v>82</v>
      </c>
      <c r="J769" t="s" s="10">
        <v>82</v>
      </c>
      <c r="K769" t="s" s="10">
        <v>82</v>
      </c>
      <c r="L769" t="s" s="10">
        <v>76</v>
      </c>
      <c r="M769" t="s" s="10">
        <v>77</v>
      </c>
      <c r="N769" s="11"/>
      <c r="O769" s="11"/>
      <c r="P769" s="11"/>
      <c r="Q769" t="s" s="10">
        <v>69</v>
      </c>
      <c r="R769" t="s" s="10">
        <v>83</v>
      </c>
      <c r="S769" s="11"/>
      <c r="T769" s="11"/>
      <c r="U769" s="11"/>
      <c r="V769" t="s" s="10">
        <v>78</v>
      </c>
      <c r="W769" s="11"/>
      <c r="X769" t="s" s="10">
        <v>78</v>
      </c>
      <c r="Y769" s="11"/>
      <c r="Z769" t="s" s="10">
        <v>76</v>
      </c>
      <c r="AA769" s="11"/>
      <c r="AB769" t="s" s="10">
        <v>76</v>
      </c>
      <c r="AC769" t="s" s="10">
        <v>2992</v>
      </c>
      <c r="AD769" t="s" s="10">
        <v>2993</v>
      </c>
      <c r="AE769" s="11"/>
      <c r="AF769" s="11"/>
      <c r="AG769" s="11"/>
      <c r="AH769" s="11"/>
      <c r="AI769" t="s" s="10">
        <v>76</v>
      </c>
      <c r="AJ769" t="s" s="10">
        <v>76</v>
      </c>
      <c r="AK769" t="s" s="10">
        <v>79</v>
      </c>
      <c r="AL769" s="11"/>
      <c r="AM769" s="11"/>
      <c r="AN769" s="11"/>
      <c r="AO769" s="11"/>
      <c r="AP769" s="11"/>
      <c r="AQ769" s="11"/>
      <c r="AR769" s="11"/>
      <c r="AS769" t="s" s="10">
        <v>2993</v>
      </c>
      <c r="AT769" s="11"/>
      <c r="AU769" s="11"/>
      <c r="AV769" s="11"/>
      <c r="AW769" s="11"/>
      <c r="AX769" s="11"/>
      <c r="AY769" s="11"/>
      <c r="AZ769" s="11"/>
      <c r="BA769" s="11"/>
      <c r="BB769" s="11"/>
      <c r="BC769" s="11"/>
      <c r="BD769" s="11"/>
      <c r="BE769" s="11"/>
      <c r="BF769" s="11"/>
      <c r="BG769" s="11"/>
      <c r="BH769" s="11"/>
      <c r="BI769" s="11"/>
      <c r="BJ769" s="11"/>
      <c r="BK769" s="11"/>
      <c r="BL769" s="11"/>
      <c r="BM769" s="11"/>
      <c r="BN769" s="11"/>
      <c r="BO769" s="12"/>
      <c r="BP769" s="8"/>
    </row>
    <row r="770" ht="9" customHeight="1" hidden="1">
      <c r="A770" t="s" s="13">
        <v>2994</v>
      </c>
      <c r="B770" s="14"/>
      <c r="C770" t="str" s="14" cm="1">
        <f t="array" ref="C770">_xlfn.IFERROR((VLOOKUP(A770,#REF!,2,FALSE)),"")</f>
      </c>
      <c r="D770" s="14"/>
      <c r="E770" t="s" s="15">
        <v>2974</v>
      </c>
      <c r="F770" s="14"/>
      <c r="G770" t="s" s="15">
        <v>2983</v>
      </c>
      <c r="H770" t="s" s="15">
        <v>2984</v>
      </c>
      <c r="I770" t="s" s="15">
        <v>82</v>
      </c>
      <c r="J770" t="s" s="15">
        <v>82</v>
      </c>
      <c r="K770" t="s" s="15">
        <v>82</v>
      </c>
      <c r="L770" t="s" s="15">
        <v>76</v>
      </c>
      <c r="M770" t="s" s="15">
        <v>77</v>
      </c>
      <c r="N770" s="14"/>
      <c r="O770" s="14"/>
      <c r="P770" s="14"/>
      <c r="Q770" t="s" s="15">
        <v>69</v>
      </c>
      <c r="R770" t="s" s="15">
        <v>83</v>
      </c>
      <c r="S770" s="14"/>
      <c r="T770" s="14"/>
      <c r="U770" s="14"/>
      <c r="V770" t="s" s="15">
        <v>78</v>
      </c>
      <c r="W770" s="14"/>
      <c r="X770" t="s" s="15">
        <v>78</v>
      </c>
      <c r="Y770" s="14"/>
      <c r="Z770" t="s" s="15">
        <v>76</v>
      </c>
      <c r="AA770" s="14"/>
      <c r="AB770" t="s" s="15">
        <v>76</v>
      </c>
      <c r="AC770" t="s" s="15">
        <v>2994</v>
      </c>
      <c r="AD770" t="s" s="15">
        <v>2995</v>
      </c>
      <c r="AE770" s="14"/>
      <c r="AF770" s="14"/>
      <c r="AG770" s="14"/>
      <c r="AH770" s="14"/>
      <c r="AI770" t="s" s="15">
        <v>76</v>
      </c>
      <c r="AJ770" t="s" s="15">
        <v>76</v>
      </c>
      <c r="AK770" t="s" s="15">
        <v>79</v>
      </c>
      <c r="AL770" s="14"/>
      <c r="AM770" s="14"/>
      <c r="AN770" s="14"/>
      <c r="AO770" s="14"/>
      <c r="AP770" s="14"/>
      <c r="AQ770" s="14"/>
      <c r="AR770" s="14"/>
      <c r="AS770" t="s" s="15">
        <v>2995</v>
      </c>
      <c r="AT770" s="14"/>
      <c r="AU770" s="14"/>
      <c r="AV770" s="14"/>
      <c r="AW770" s="14"/>
      <c r="AX770" s="14"/>
      <c r="AY770" s="14"/>
      <c r="AZ770" s="14"/>
      <c r="BA770" s="14"/>
      <c r="BB770" s="14"/>
      <c r="BC770" s="14"/>
      <c r="BD770" s="14"/>
      <c r="BE770" s="14"/>
      <c r="BF770" s="14"/>
      <c r="BG770" s="14"/>
      <c r="BH770" s="14"/>
      <c r="BI770" s="14"/>
      <c r="BJ770" s="14"/>
      <c r="BK770" s="14"/>
      <c r="BL770" s="14"/>
      <c r="BM770" s="14"/>
      <c r="BN770" s="14"/>
      <c r="BO770" s="16"/>
      <c r="BP770" s="8"/>
    </row>
    <row r="771" ht="9" customHeight="1" hidden="1">
      <c r="A771" t="s" s="9">
        <v>2996</v>
      </c>
      <c r="B771" s="11"/>
      <c r="C771" t="str" s="11" cm="1">
        <f t="array" ref="C771">_xlfn.IFERROR((VLOOKUP(A771,#REF!,2,FALSE)),"")</f>
      </c>
      <c r="D771" s="11"/>
      <c r="E771" t="s" s="10">
        <v>2974</v>
      </c>
      <c r="F771" s="11"/>
      <c r="G771" t="s" s="10">
        <v>2983</v>
      </c>
      <c r="H771" t="s" s="10">
        <v>2984</v>
      </c>
      <c r="I771" t="s" s="10">
        <v>82</v>
      </c>
      <c r="J771" t="s" s="10">
        <v>82</v>
      </c>
      <c r="K771" t="s" s="10">
        <v>82</v>
      </c>
      <c r="L771" t="s" s="10">
        <v>76</v>
      </c>
      <c r="M771" t="s" s="10">
        <v>77</v>
      </c>
      <c r="N771" s="11"/>
      <c r="O771" s="11"/>
      <c r="P771" s="11"/>
      <c r="Q771" t="s" s="10">
        <v>69</v>
      </c>
      <c r="R771" t="s" s="10">
        <v>83</v>
      </c>
      <c r="S771" s="11"/>
      <c r="T771" s="11"/>
      <c r="U771" s="11"/>
      <c r="V771" t="s" s="10">
        <v>78</v>
      </c>
      <c r="W771" s="11"/>
      <c r="X771" t="s" s="10">
        <v>78</v>
      </c>
      <c r="Y771" s="11"/>
      <c r="Z771" t="s" s="10">
        <v>76</v>
      </c>
      <c r="AA771" s="11"/>
      <c r="AB771" t="s" s="10">
        <v>76</v>
      </c>
      <c r="AC771" t="s" s="10">
        <v>2996</v>
      </c>
      <c r="AD771" t="s" s="10">
        <v>2997</v>
      </c>
      <c r="AE771" s="11"/>
      <c r="AF771" s="11"/>
      <c r="AG771" s="11"/>
      <c r="AH771" s="11"/>
      <c r="AI771" t="s" s="10">
        <v>76</v>
      </c>
      <c r="AJ771" t="s" s="10">
        <v>76</v>
      </c>
      <c r="AK771" t="s" s="10">
        <v>79</v>
      </c>
      <c r="AL771" s="11"/>
      <c r="AM771" s="11"/>
      <c r="AN771" s="11"/>
      <c r="AO771" s="11"/>
      <c r="AP771" s="11"/>
      <c r="AQ771" s="11"/>
      <c r="AR771" s="11"/>
      <c r="AS771" t="s" s="10">
        <v>2997</v>
      </c>
      <c r="AT771" s="11"/>
      <c r="AU771" s="11"/>
      <c r="AV771" s="11"/>
      <c r="AW771" s="11"/>
      <c r="AX771" s="11"/>
      <c r="AY771" s="11"/>
      <c r="AZ771" s="11"/>
      <c r="BA771" s="11"/>
      <c r="BB771" s="11"/>
      <c r="BC771" s="11"/>
      <c r="BD771" s="11"/>
      <c r="BE771" s="11"/>
      <c r="BF771" s="11"/>
      <c r="BG771" s="11"/>
      <c r="BH771" s="11"/>
      <c r="BI771" s="11"/>
      <c r="BJ771" s="11"/>
      <c r="BK771" s="11"/>
      <c r="BL771" s="11"/>
      <c r="BM771" s="11"/>
      <c r="BN771" s="11"/>
      <c r="BO771" s="12"/>
      <c r="BP771" s="8"/>
    </row>
    <row r="772" ht="9" customHeight="1" hidden="1">
      <c r="A772" t="s" s="13">
        <v>2998</v>
      </c>
      <c r="B772" s="14"/>
      <c r="C772" t="str" s="14" cm="1">
        <f t="array" ref="C772">_xlfn.IFERROR((VLOOKUP(A772,#REF!,2,FALSE)),"")</f>
      </c>
      <c r="D772" s="14"/>
      <c r="E772" t="s" s="15">
        <v>2974</v>
      </c>
      <c r="F772" s="14"/>
      <c r="G772" t="s" s="15">
        <v>2983</v>
      </c>
      <c r="H772" t="s" s="15">
        <v>2984</v>
      </c>
      <c r="I772" t="s" s="15">
        <v>82</v>
      </c>
      <c r="J772" t="s" s="15">
        <v>82</v>
      </c>
      <c r="K772" t="s" s="15">
        <v>82</v>
      </c>
      <c r="L772" t="s" s="15">
        <v>76</v>
      </c>
      <c r="M772" t="s" s="15">
        <v>77</v>
      </c>
      <c r="N772" s="14"/>
      <c r="O772" s="14"/>
      <c r="P772" s="14"/>
      <c r="Q772" t="s" s="15">
        <v>69</v>
      </c>
      <c r="R772" t="s" s="15">
        <v>83</v>
      </c>
      <c r="S772" s="14"/>
      <c r="T772" s="14"/>
      <c r="U772" s="14"/>
      <c r="V772" t="s" s="15">
        <v>78</v>
      </c>
      <c r="W772" s="14"/>
      <c r="X772" t="s" s="15">
        <v>78</v>
      </c>
      <c r="Y772" s="14"/>
      <c r="Z772" t="s" s="15">
        <v>76</v>
      </c>
      <c r="AA772" s="14"/>
      <c r="AB772" t="s" s="15">
        <v>76</v>
      </c>
      <c r="AC772" t="s" s="15">
        <v>2998</v>
      </c>
      <c r="AD772" t="s" s="15">
        <v>2999</v>
      </c>
      <c r="AE772" s="14"/>
      <c r="AF772" s="14"/>
      <c r="AG772" s="14"/>
      <c r="AH772" s="14"/>
      <c r="AI772" t="s" s="15">
        <v>76</v>
      </c>
      <c r="AJ772" t="s" s="15">
        <v>76</v>
      </c>
      <c r="AK772" t="s" s="15">
        <v>79</v>
      </c>
      <c r="AL772" s="14"/>
      <c r="AM772" s="14"/>
      <c r="AN772" s="14"/>
      <c r="AO772" s="14"/>
      <c r="AP772" s="14"/>
      <c r="AQ772" s="14"/>
      <c r="AR772" s="14"/>
      <c r="AS772" t="s" s="15">
        <v>2999</v>
      </c>
      <c r="AT772" s="14"/>
      <c r="AU772" s="14"/>
      <c r="AV772" s="14"/>
      <c r="AW772" s="14"/>
      <c r="AX772" s="14"/>
      <c r="AY772" s="14"/>
      <c r="AZ772" s="14"/>
      <c r="BA772" s="14"/>
      <c r="BB772" s="14"/>
      <c r="BC772" s="14"/>
      <c r="BD772" s="14"/>
      <c r="BE772" s="14"/>
      <c r="BF772" s="14"/>
      <c r="BG772" s="14"/>
      <c r="BH772" s="14"/>
      <c r="BI772" s="14"/>
      <c r="BJ772" s="14"/>
      <c r="BK772" s="14"/>
      <c r="BL772" s="14"/>
      <c r="BM772" s="14"/>
      <c r="BN772" s="14"/>
      <c r="BO772" s="16"/>
      <c r="BP772" s="8"/>
    </row>
    <row r="773" ht="9" customHeight="1" hidden="1">
      <c r="A773" t="s" s="9">
        <v>3000</v>
      </c>
      <c r="B773" s="11"/>
      <c r="C773" t="str" s="11" cm="1">
        <f t="array" ref="C773">_xlfn.IFERROR((VLOOKUP(A773,#REF!,2,FALSE)),"")</f>
      </c>
      <c r="D773" s="11"/>
      <c r="E773" s="11"/>
      <c r="F773" s="11"/>
      <c r="G773" t="s" s="10">
        <v>3001</v>
      </c>
      <c r="H773" t="s" s="10">
        <v>3001</v>
      </c>
      <c r="I773" t="s" s="10">
        <v>82</v>
      </c>
      <c r="J773" t="s" s="10">
        <v>82</v>
      </c>
      <c r="K773" t="s" s="10">
        <v>82</v>
      </c>
      <c r="L773" t="s" s="10">
        <v>76</v>
      </c>
      <c r="M773" t="s" s="10">
        <v>77</v>
      </c>
      <c r="N773" s="11"/>
      <c r="O773" s="11"/>
      <c r="P773" s="11"/>
      <c r="Q773" t="s" s="10">
        <v>69</v>
      </c>
      <c r="R773" t="s" s="10">
        <v>83</v>
      </c>
      <c r="S773" s="11"/>
      <c r="T773" s="11"/>
      <c r="U773" s="11"/>
      <c r="V773" t="s" s="10">
        <v>78</v>
      </c>
      <c r="W773" s="11"/>
      <c r="X773" t="s" s="10">
        <v>78</v>
      </c>
      <c r="Y773" s="11"/>
      <c r="Z773" t="s" s="10">
        <v>76</v>
      </c>
      <c r="AA773" s="11"/>
      <c r="AB773" t="s" s="10">
        <v>76</v>
      </c>
      <c r="AC773" t="s" s="10">
        <v>3000</v>
      </c>
      <c r="AD773" s="11"/>
      <c r="AE773" s="11"/>
      <c r="AF773" s="11"/>
      <c r="AG773" t="s" s="10">
        <v>299</v>
      </c>
      <c r="AH773" t="s" s="10">
        <v>106</v>
      </c>
      <c r="AI773" t="s" s="10">
        <v>76</v>
      </c>
      <c r="AJ773" t="s" s="10">
        <v>76</v>
      </c>
      <c r="AK773" t="s" s="10">
        <v>79</v>
      </c>
      <c r="AL773" s="11"/>
      <c r="AM773" s="11"/>
      <c r="AN773" s="11"/>
      <c r="AO773" s="11"/>
      <c r="AP773" s="11"/>
      <c r="AQ773" s="11"/>
      <c r="AR773" s="11"/>
      <c r="AS773" t="s" s="10">
        <v>3002</v>
      </c>
      <c r="AT773" t="s" s="10">
        <v>301</v>
      </c>
      <c r="AU773" s="11"/>
      <c r="AV773" s="11"/>
      <c r="AW773" s="11"/>
      <c r="AX773" s="11"/>
      <c r="AY773" s="11"/>
      <c r="AZ773" s="11"/>
      <c r="BA773" s="11"/>
      <c r="BB773" s="11"/>
      <c r="BC773" s="11"/>
      <c r="BD773" s="11"/>
      <c r="BE773" s="11"/>
      <c r="BF773" s="11"/>
      <c r="BG773" s="11"/>
      <c r="BH773" s="11"/>
      <c r="BI773" s="11"/>
      <c r="BJ773" s="11"/>
      <c r="BK773" s="11"/>
      <c r="BL773" s="11"/>
      <c r="BM773" s="11"/>
      <c r="BN773" s="11"/>
      <c r="BO773" s="12"/>
      <c r="BP773" s="8"/>
    </row>
    <row r="774" ht="15" customHeight="1" hidden="1">
      <c r="A774" t="s" s="13">
        <v>3003</v>
      </c>
      <c r="B774" s="14"/>
      <c r="C774" t="str" s="14" cm="1">
        <f t="array" ref="C774">_xlfn.IFERROR((VLOOKUP(A774,#REF!,2,FALSE)),"")</f>
      </c>
      <c r="D774" s="14"/>
      <c r="E774" s="14"/>
      <c r="F774" s="14"/>
      <c r="G774" t="s" s="15">
        <v>3004</v>
      </c>
      <c r="H774" t="s" s="15">
        <v>714</v>
      </c>
      <c r="I774" t="s" s="15">
        <v>111</v>
      </c>
      <c r="J774" t="s" s="15">
        <v>122</v>
      </c>
      <c r="K774" t="s" s="15">
        <v>140</v>
      </c>
      <c r="L774" t="s" s="15">
        <v>76</v>
      </c>
      <c r="M774" t="s" s="15">
        <v>3005</v>
      </c>
      <c r="N774" t="s" s="15">
        <v>3005</v>
      </c>
      <c r="O774" s="14"/>
      <c r="P774" t="s" s="15">
        <v>122</v>
      </c>
      <c r="Q774" t="s" s="15">
        <v>69</v>
      </c>
      <c r="R774" t="s" s="15">
        <v>83</v>
      </c>
      <c r="S774" s="14"/>
      <c r="T774" s="14"/>
      <c r="U774" s="14"/>
      <c r="V774" t="s" s="15">
        <v>69</v>
      </c>
      <c r="W774" s="14"/>
      <c r="X774" t="s" s="15">
        <v>69</v>
      </c>
      <c r="Y774" s="14"/>
      <c r="Z774" t="s" s="15">
        <v>76</v>
      </c>
      <c r="AA774" s="14"/>
      <c r="AB774" t="s" s="15">
        <v>76</v>
      </c>
      <c r="AC774" t="s" s="15">
        <v>3003</v>
      </c>
      <c r="AD774" t="s" s="15">
        <v>3006</v>
      </c>
      <c r="AE774" s="14"/>
      <c r="AF774" s="14"/>
      <c r="AG774" t="s" s="15">
        <v>299</v>
      </c>
      <c r="AH774" t="s" s="15">
        <v>114</v>
      </c>
      <c r="AI774" t="s" s="15">
        <v>717</v>
      </c>
      <c r="AJ774" s="14"/>
      <c r="AK774" t="s" s="15">
        <v>83</v>
      </c>
      <c r="AL774" t="s" s="15">
        <v>293</v>
      </c>
      <c r="AM774" t="s" s="15">
        <v>294</v>
      </c>
      <c r="AN774" t="s" s="15">
        <v>128</v>
      </c>
      <c r="AO774" s="17">
        <v>16</v>
      </c>
      <c r="AP774" s="17">
        <v>262144</v>
      </c>
      <c r="AQ774" s="17">
        <v>17394353</v>
      </c>
      <c r="AR774" s="17">
        <v>17394353</v>
      </c>
      <c r="AS774" t="s" s="15">
        <v>3007</v>
      </c>
      <c r="AT774" t="s" s="15">
        <v>301</v>
      </c>
      <c r="AU774" s="14"/>
      <c r="AV774" s="14"/>
      <c r="AW774" s="14"/>
      <c r="AX774" s="14"/>
      <c r="AY774" s="14"/>
      <c r="AZ774" s="14"/>
      <c r="BA774" s="14"/>
      <c r="BB774" s="14"/>
      <c r="BC774" s="14"/>
      <c r="BD774" t="s" s="15">
        <v>428</v>
      </c>
      <c r="BE774" t="s" s="15">
        <v>3008</v>
      </c>
      <c r="BF774" s="17">
        <v>16</v>
      </c>
      <c r="BG774" s="17">
        <v>256</v>
      </c>
      <c r="BH774" s="14"/>
      <c r="BI774" s="14"/>
      <c r="BJ774" s="14"/>
      <c r="BK774" s="14"/>
      <c r="BL774" s="14"/>
      <c r="BM774" s="14"/>
      <c r="BN774" t="s" s="15">
        <v>78</v>
      </c>
      <c r="BO774" s="16"/>
      <c r="BP774" s="8"/>
    </row>
    <row r="775" ht="15" customHeight="1" hidden="1">
      <c r="A775" t="s" s="9">
        <v>3009</v>
      </c>
      <c r="B775" s="11"/>
      <c r="C775" t="str" s="11" cm="1">
        <f t="array" ref="C775">_xlfn.IFERROR((VLOOKUP(A775,#REF!,2,FALSE)),"")</f>
      </c>
      <c r="D775" s="11"/>
      <c r="E775" s="11"/>
      <c r="F775" s="11"/>
      <c r="G775" t="s" s="10">
        <v>3010</v>
      </c>
      <c r="H775" s="11"/>
      <c r="I775" t="s" s="10">
        <v>82</v>
      </c>
      <c r="J775" t="s" s="10">
        <v>82</v>
      </c>
      <c r="K775" t="s" s="10">
        <v>82</v>
      </c>
      <c r="L775" t="s" s="10">
        <v>76</v>
      </c>
      <c r="M775" t="s" s="10">
        <v>77</v>
      </c>
      <c r="N775" s="11"/>
      <c r="O775" s="11"/>
      <c r="P775" s="11"/>
      <c r="Q775" t="s" s="10">
        <v>69</v>
      </c>
      <c r="R775" t="s" s="10">
        <v>83</v>
      </c>
      <c r="S775" s="11"/>
      <c r="T775" s="11"/>
      <c r="U775" s="11"/>
      <c r="V775" t="s" s="10">
        <v>78</v>
      </c>
      <c r="W775" s="11"/>
      <c r="X775" t="s" s="10">
        <v>78</v>
      </c>
      <c r="Y775" s="11"/>
      <c r="Z775" t="s" s="10">
        <v>76</v>
      </c>
      <c r="AA775" s="11"/>
      <c r="AB775" t="s" s="10">
        <v>76</v>
      </c>
      <c r="AC775" t="s" s="10">
        <v>3009</v>
      </c>
      <c r="AD775" s="11"/>
      <c r="AE775" s="11"/>
      <c r="AF775" s="11"/>
      <c r="AG775" t="s" s="10">
        <v>299</v>
      </c>
      <c r="AH775" t="s" s="10">
        <v>114</v>
      </c>
      <c r="AI775" t="s" s="10">
        <v>440</v>
      </c>
      <c r="AJ775" s="11"/>
      <c r="AK775" t="s" s="10">
        <v>83</v>
      </c>
      <c r="AL775" s="11"/>
      <c r="AM775" s="11"/>
      <c r="AN775" s="11"/>
      <c r="AO775" s="11"/>
      <c r="AP775" s="11"/>
      <c r="AQ775" s="11"/>
      <c r="AR775" s="11"/>
      <c r="AS775" t="s" s="10">
        <v>3011</v>
      </c>
      <c r="AT775" t="s" s="10">
        <v>301</v>
      </c>
      <c r="AU775" s="11"/>
      <c r="AV775" s="11"/>
      <c r="AW775" s="11"/>
      <c r="AX775" s="11"/>
      <c r="AY775" s="11"/>
      <c r="AZ775" s="11"/>
      <c r="BA775" s="11"/>
      <c r="BB775" s="11"/>
      <c r="BC775" s="11"/>
      <c r="BD775" t="s" s="10">
        <v>118</v>
      </c>
      <c r="BE775" s="11"/>
      <c r="BF775" s="11"/>
      <c r="BG775" s="11"/>
      <c r="BH775" s="11"/>
      <c r="BI775" s="11"/>
      <c r="BJ775" s="11"/>
      <c r="BK775" s="11"/>
      <c r="BL775" s="11"/>
      <c r="BM775" s="11"/>
      <c r="BN775" s="11"/>
      <c r="BO775" s="12"/>
      <c r="BP775" s="8"/>
    </row>
    <row r="776" ht="9" customHeight="1" hidden="1">
      <c r="A776" t="s" s="13">
        <v>3012</v>
      </c>
      <c r="B776" s="14"/>
      <c r="C776" t="str" s="14" cm="1">
        <f t="array" ref="C776">_xlfn.IFERROR((VLOOKUP(A776,#REF!,2,FALSE)),"")</f>
      </c>
      <c r="D776" s="14"/>
      <c r="E776" t="s" s="15">
        <v>687</v>
      </c>
      <c r="F776" s="14"/>
      <c r="G776" t="s" s="15">
        <v>3013</v>
      </c>
      <c r="H776" t="s" s="15">
        <v>3014</v>
      </c>
      <c r="I776" t="s" s="15">
        <v>82</v>
      </c>
      <c r="J776" t="s" s="15">
        <v>82</v>
      </c>
      <c r="K776" t="s" s="15">
        <v>82</v>
      </c>
      <c r="L776" t="s" s="15">
        <v>76</v>
      </c>
      <c r="M776" t="s" s="15">
        <v>3013</v>
      </c>
      <c r="N776" s="14"/>
      <c r="O776" s="14"/>
      <c r="P776" t="s" s="15">
        <v>122</v>
      </c>
      <c r="Q776" t="s" s="15">
        <v>69</v>
      </c>
      <c r="R776" t="s" s="15">
        <v>83</v>
      </c>
      <c r="S776" s="14"/>
      <c r="T776" s="14"/>
      <c r="U776" s="14"/>
      <c r="V776" t="s" s="15">
        <v>78</v>
      </c>
      <c r="W776" s="14"/>
      <c r="X776" t="s" s="15">
        <v>78</v>
      </c>
      <c r="Y776" s="14"/>
      <c r="Z776" t="s" s="15">
        <v>76</v>
      </c>
      <c r="AA776" s="14"/>
      <c r="AB776" t="s" s="15">
        <v>76</v>
      </c>
      <c r="AC776" t="s" s="15">
        <v>3012</v>
      </c>
      <c r="AD776" s="14"/>
      <c r="AE776" s="14"/>
      <c r="AF776" s="14"/>
      <c r="AG776" t="s" s="15">
        <v>299</v>
      </c>
      <c r="AH776" t="s" s="15">
        <v>114</v>
      </c>
      <c r="AI776" t="s" s="15">
        <v>604</v>
      </c>
      <c r="AJ776" s="14"/>
      <c r="AK776" t="s" s="15">
        <v>83</v>
      </c>
      <c r="AL776" s="14"/>
      <c r="AM776" s="14"/>
      <c r="AN776" s="14"/>
      <c r="AO776" s="14"/>
      <c r="AP776" s="14"/>
      <c r="AQ776" s="14"/>
      <c r="AR776" s="14"/>
      <c r="AS776" t="s" s="15">
        <v>3015</v>
      </c>
      <c r="AT776" t="s" s="15">
        <v>301</v>
      </c>
      <c r="AU776" s="14"/>
      <c r="AV776" s="14"/>
      <c r="AW776" s="14"/>
      <c r="AX776" s="14"/>
      <c r="AY776" s="14"/>
      <c r="AZ776" s="14"/>
      <c r="BA776" s="14"/>
      <c r="BB776" s="14"/>
      <c r="BC776" s="14"/>
      <c r="BD776" t="s" s="15">
        <v>118</v>
      </c>
      <c r="BE776" s="14"/>
      <c r="BF776" s="14"/>
      <c r="BG776" s="14"/>
      <c r="BH776" s="14"/>
      <c r="BI776" s="14"/>
      <c r="BJ776" s="14"/>
      <c r="BK776" s="14"/>
      <c r="BL776" s="14"/>
      <c r="BM776" s="14"/>
      <c r="BN776" s="14"/>
      <c r="BO776" s="16"/>
      <c r="BP776" s="8"/>
    </row>
    <row r="777" ht="9" customHeight="1" hidden="1">
      <c r="A777" t="s" s="9">
        <v>3016</v>
      </c>
      <c r="B777" s="11"/>
      <c r="C777" t="str" s="11" cm="1">
        <f t="array" ref="C777">_xlfn.IFERROR((VLOOKUP(A777,#REF!,2,FALSE)),"")</f>
      </c>
      <c r="D777" s="11"/>
      <c r="E777" t="s" s="10">
        <v>2258</v>
      </c>
      <c r="F777" s="11"/>
      <c r="G777" t="s" s="10">
        <v>3017</v>
      </c>
      <c r="H777" t="s" s="10">
        <v>2260</v>
      </c>
      <c r="I777" t="s" s="10">
        <v>111</v>
      </c>
      <c r="J777" t="s" s="10">
        <v>322</v>
      </c>
      <c r="K777" s="11"/>
      <c r="L777" t="s" s="10">
        <v>83</v>
      </c>
      <c r="M777" s="11"/>
      <c r="N777" s="11"/>
      <c r="O777" t="s" s="10">
        <v>322</v>
      </c>
      <c r="P777" s="11"/>
      <c r="Q777" s="11"/>
      <c r="R777" t="s" s="10">
        <v>76</v>
      </c>
      <c r="S777" s="11"/>
      <c r="T777" s="11"/>
      <c r="U777" s="11"/>
      <c r="V777" s="11"/>
      <c r="W777" s="11"/>
      <c r="X777" s="11"/>
      <c r="Y777" s="11"/>
      <c r="Z777" t="s" s="10">
        <v>83</v>
      </c>
      <c r="AA777" s="11"/>
      <c r="AB777" t="s" s="10">
        <v>83</v>
      </c>
      <c r="AC777" s="11"/>
      <c r="AD777" s="11"/>
      <c r="AE777" s="11"/>
      <c r="AF777" s="11"/>
      <c r="AG777" t="s" s="10">
        <v>299</v>
      </c>
      <c r="AH777" t="s" s="10">
        <v>83</v>
      </c>
      <c r="AI777" t="s" s="10">
        <v>83</v>
      </c>
      <c r="AJ777" t="s" s="10">
        <v>83</v>
      </c>
      <c r="AK777" t="s" s="10">
        <v>83</v>
      </c>
      <c r="AL777" t="s" s="10">
        <v>293</v>
      </c>
      <c r="AM777" t="s" s="10">
        <v>294</v>
      </c>
      <c r="AN777" t="s" s="10">
        <v>2261</v>
      </c>
      <c r="AO777" s="11"/>
      <c r="AP777" s="11"/>
      <c r="AQ777" s="11"/>
      <c r="AR777" s="11"/>
      <c r="AS777" t="s" s="10">
        <v>3018</v>
      </c>
      <c r="AT777" s="11"/>
      <c r="AU777" s="11"/>
      <c r="AV777" s="11"/>
      <c r="AW777" s="11"/>
      <c r="AX777" s="11"/>
      <c r="AY777" s="11"/>
      <c r="AZ777" s="11"/>
      <c r="BA777" s="11"/>
      <c r="BB777" s="11"/>
      <c r="BC777" s="11"/>
      <c r="BD777" s="11"/>
      <c r="BE777" s="11"/>
      <c r="BF777" s="11"/>
      <c r="BG777" s="11"/>
      <c r="BH777" s="11"/>
      <c r="BI777" s="11"/>
      <c r="BJ777" s="11"/>
      <c r="BK777" s="11"/>
      <c r="BL777" s="11"/>
      <c r="BM777" s="11"/>
      <c r="BN777" t="s" s="10">
        <v>69</v>
      </c>
      <c r="BO777" s="12"/>
      <c r="BP777" s="8"/>
    </row>
    <row r="778" ht="13.55" customHeight="1">
      <c r="A778" t="s" s="13">
        <v>3019</v>
      </c>
      <c r="B778" s="14"/>
      <c r="C778" t="str" s="14" cm="1">
        <f t="array" ref="C778">_xlfn.IFERROR((VLOOKUP(A778,#REF!,2,FALSE)),"")</f>
      </c>
      <c r="D778" s="14"/>
      <c r="E778" s="14"/>
      <c r="F778" s="14"/>
      <c r="G778" t="s" s="15">
        <v>3020</v>
      </c>
      <c r="H778" t="s" s="15">
        <v>1332</v>
      </c>
      <c r="I778" t="s" s="15">
        <v>111</v>
      </c>
      <c r="J778" t="s" s="15">
        <v>122</v>
      </c>
      <c r="K778" t="s" s="15">
        <v>113</v>
      </c>
      <c r="L778" t="s" s="15">
        <v>1333</v>
      </c>
      <c r="M778" t="s" s="15">
        <v>3020</v>
      </c>
      <c r="N778" t="s" s="15">
        <v>3020</v>
      </c>
      <c r="O778" s="14"/>
      <c r="P778" t="s" s="15">
        <v>122</v>
      </c>
      <c r="Q778" t="s" s="15">
        <v>69</v>
      </c>
      <c r="R778" t="s" s="15">
        <v>83</v>
      </c>
      <c r="S778" t="s" s="15">
        <v>69</v>
      </c>
      <c r="T778" s="14"/>
      <c r="U778" s="14"/>
      <c r="V778" t="s" s="15">
        <v>69</v>
      </c>
      <c r="W778" s="14"/>
      <c r="X778" t="s" s="15">
        <v>69</v>
      </c>
      <c r="Y778" s="14"/>
      <c r="Z778" t="s" s="15">
        <v>1334</v>
      </c>
      <c r="AA778" s="14"/>
      <c r="AB778" t="s" s="15">
        <v>1335</v>
      </c>
      <c r="AC778" t="s" s="15">
        <v>3019</v>
      </c>
      <c r="AD778" s="14"/>
      <c r="AE778" s="14"/>
      <c r="AF778" t="s" s="15">
        <v>1332</v>
      </c>
      <c r="AG778" t="s" s="15">
        <v>299</v>
      </c>
      <c r="AH778" t="s" s="15">
        <v>114</v>
      </c>
      <c r="AI778" t="s" s="15">
        <v>332</v>
      </c>
      <c r="AJ778" t="s" s="15">
        <v>523</v>
      </c>
      <c r="AK778" t="s" s="15">
        <v>83</v>
      </c>
      <c r="AL778" t="s" s="15">
        <v>293</v>
      </c>
      <c r="AM778" t="s" s="15">
        <v>294</v>
      </c>
      <c r="AN778" t="s" s="15">
        <v>128</v>
      </c>
      <c r="AO778" s="17">
        <v>12</v>
      </c>
      <c r="AP778" s="17">
        <v>32768</v>
      </c>
      <c r="AQ778" s="17">
        <v>805752</v>
      </c>
      <c r="AR778" s="17">
        <v>805752</v>
      </c>
      <c r="AS778" t="s" s="15">
        <v>3021</v>
      </c>
      <c r="AT778" s="14"/>
      <c r="AU778" s="14"/>
      <c r="AV778" s="14"/>
      <c r="AW778" s="14"/>
      <c r="AX778" s="14"/>
      <c r="AY778" s="14"/>
      <c r="AZ778" s="14"/>
      <c r="BA778" s="14"/>
      <c r="BB778" s="14"/>
      <c r="BC778" s="14"/>
      <c r="BD778" t="s" s="15">
        <v>310</v>
      </c>
      <c r="BE778" t="s" s="15">
        <v>2296</v>
      </c>
      <c r="BF778" s="17">
        <v>16</v>
      </c>
      <c r="BG778" s="17">
        <v>32</v>
      </c>
      <c r="BH778" s="14"/>
      <c r="BI778" s="14"/>
      <c r="BJ778" s="14"/>
      <c r="BK778" s="14"/>
      <c r="BL778" s="14"/>
      <c r="BM778" s="14"/>
      <c r="BN778" t="s" s="15">
        <v>69</v>
      </c>
      <c r="BO778" s="16"/>
      <c r="BP778" s="8"/>
    </row>
    <row r="779" ht="9" customHeight="1" hidden="1">
      <c r="A779" t="s" s="9">
        <v>3022</v>
      </c>
      <c r="B779" s="11"/>
      <c r="C779" t="str" s="11" cm="1">
        <f t="array" ref="C779">_xlfn.IFERROR((VLOOKUP(A779,#REF!,2,FALSE)),"")</f>
      </c>
      <c r="D779" s="11"/>
      <c r="E779" s="11"/>
      <c r="F779" s="11"/>
      <c r="G779" t="s" s="10">
        <v>3023</v>
      </c>
      <c r="H779" t="s" s="10">
        <v>714</v>
      </c>
      <c r="I779" t="s" s="10">
        <v>111</v>
      </c>
      <c r="J779" t="s" s="10">
        <v>122</v>
      </c>
      <c r="K779" t="s" s="10">
        <v>140</v>
      </c>
      <c r="L779" t="s" s="10">
        <v>76</v>
      </c>
      <c r="M779" t="s" s="10">
        <v>3024</v>
      </c>
      <c r="N779" t="s" s="10">
        <v>3025</v>
      </c>
      <c r="O779" s="11"/>
      <c r="P779" t="s" s="10">
        <v>122</v>
      </c>
      <c r="Q779" t="s" s="10">
        <v>69</v>
      </c>
      <c r="R779" t="s" s="10">
        <v>83</v>
      </c>
      <c r="S779" s="11"/>
      <c r="T779" s="11"/>
      <c r="U779" s="11"/>
      <c r="V779" t="s" s="10">
        <v>69</v>
      </c>
      <c r="W779" s="11"/>
      <c r="X779" t="s" s="10">
        <v>69</v>
      </c>
      <c r="Y779" s="11"/>
      <c r="Z779" t="s" s="10">
        <v>76</v>
      </c>
      <c r="AA779" s="11"/>
      <c r="AB779" t="s" s="10">
        <v>76</v>
      </c>
      <c r="AC779" t="s" s="10">
        <v>3022</v>
      </c>
      <c r="AD779" t="s" s="10">
        <v>3026</v>
      </c>
      <c r="AE779" s="11"/>
      <c r="AF779" s="11"/>
      <c r="AG779" t="s" s="10">
        <v>299</v>
      </c>
      <c r="AH779" t="s" s="10">
        <v>114</v>
      </c>
      <c r="AI779" t="s" s="10">
        <v>717</v>
      </c>
      <c r="AJ779" s="11"/>
      <c r="AK779" t="s" s="10">
        <v>83</v>
      </c>
      <c r="AL779" t="s" s="10">
        <v>293</v>
      </c>
      <c r="AM779" t="s" s="10">
        <v>294</v>
      </c>
      <c r="AN779" t="s" s="10">
        <v>187</v>
      </c>
      <c r="AO779" s="18">
        <v>8</v>
      </c>
      <c r="AP779" s="18">
        <v>32768</v>
      </c>
      <c r="AQ779" s="18">
        <v>16604362</v>
      </c>
      <c r="AR779" s="18">
        <v>16456397</v>
      </c>
      <c r="AS779" t="s" s="10">
        <v>3027</v>
      </c>
      <c r="AT779" t="s" s="10">
        <v>301</v>
      </c>
      <c r="AU779" s="11"/>
      <c r="AV779" s="11"/>
      <c r="AW779" s="11"/>
      <c r="AX779" s="11"/>
      <c r="AY779" s="11"/>
      <c r="AZ779" s="11"/>
      <c r="BA779" s="11"/>
      <c r="BB779" s="11"/>
      <c r="BC779" s="11"/>
      <c r="BD779" t="s" s="10">
        <v>366</v>
      </c>
      <c r="BE779" t="s" s="10">
        <v>367</v>
      </c>
      <c r="BF779" s="18">
        <v>8</v>
      </c>
      <c r="BG779" s="18">
        <v>32</v>
      </c>
      <c r="BH779" s="11"/>
      <c r="BI779" s="11"/>
      <c r="BJ779" s="11"/>
      <c r="BK779" s="11"/>
      <c r="BL779" s="11"/>
      <c r="BM779" s="11"/>
      <c r="BN779" t="s" s="10">
        <v>78</v>
      </c>
      <c r="BO779" s="12"/>
      <c r="BP779" s="8"/>
    </row>
    <row r="780" ht="9" customHeight="1" hidden="1">
      <c r="A780" t="s" s="13">
        <v>3028</v>
      </c>
      <c r="B780" s="14"/>
      <c r="C780" t="str" s="14" cm="1">
        <f t="array" ref="C780">_xlfn.IFERROR((VLOOKUP(A780,#REF!,2,FALSE)),"")</f>
      </c>
      <c r="D780" s="14"/>
      <c r="E780" t="s" s="15">
        <v>687</v>
      </c>
      <c r="F780" s="14"/>
      <c r="G780" t="s" s="15">
        <v>2936</v>
      </c>
      <c r="H780" t="s" s="15">
        <v>2936</v>
      </c>
      <c r="I780" t="s" s="15">
        <v>82</v>
      </c>
      <c r="J780" t="s" s="15">
        <v>82</v>
      </c>
      <c r="K780" t="s" s="15">
        <v>82</v>
      </c>
      <c r="L780" t="s" s="15">
        <v>76</v>
      </c>
      <c r="M780" t="s" s="15">
        <v>2936</v>
      </c>
      <c r="N780" s="14"/>
      <c r="O780" s="14"/>
      <c r="P780" t="s" s="15">
        <v>122</v>
      </c>
      <c r="Q780" t="s" s="15">
        <v>69</v>
      </c>
      <c r="R780" t="s" s="15">
        <v>83</v>
      </c>
      <c r="S780" s="14"/>
      <c r="T780" s="14"/>
      <c r="U780" s="14"/>
      <c r="V780" t="s" s="15">
        <v>78</v>
      </c>
      <c r="W780" s="14"/>
      <c r="X780" t="s" s="15">
        <v>78</v>
      </c>
      <c r="Y780" s="14"/>
      <c r="Z780" t="s" s="15">
        <v>76</v>
      </c>
      <c r="AA780" s="14"/>
      <c r="AB780" t="s" s="15">
        <v>76</v>
      </c>
      <c r="AC780" t="s" s="15">
        <v>3028</v>
      </c>
      <c r="AD780" s="14"/>
      <c r="AE780" s="14"/>
      <c r="AF780" s="14"/>
      <c r="AG780" t="s" s="15">
        <v>299</v>
      </c>
      <c r="AH780" t="s" s="15">
        <v>114</v>
      </c>
      <c r="AI780" t="s" s="15">
        <v>604</v>
      </c>
      <c r="AJ780" s="14"/>
      <c r="AK780" t="s" s="15">
        <v>83</v>
      </c>
      <c r="AL780" s="14"/>
      <c r="AM780" s="14"/>
      <c r="AN780" s="14"/>
      <c r="AO780" s="14"/>
      <c r="AP780" s="14"/>
      <c r="AQ780" s="14"/>
      <c r="AR780" s="14"/>
      <c r="AS780" t="s" s="15">
        <v>3029</v>
      </c>
      <c r="AT780" t="s" s="15">
        <v>301</v>
      </c>
      <c r="AU780" s="14"/>
      <c r="AV780" s="14"/>
      <c r="AW780" s="14"/>
      <c r="AX780" s="14"/>
      <c r="AY780" s="14"/>
      <c r="AZ780" s="14"/>
      <c r="BA780" s="14"/>
      <c r="BB780" s="14"/>
      <c r="BC780" s="14"/>
      <c r="BD780" t="s" s="15">
        <v>118</v>
      </c>
      <c r="BE780" s="14"/>
      <c r="BF780" s="14"/>
      <c r="BG780" s="14"/>
      <c r="BH780" s="14"/>
      <c r="BI780" s="14"/>
      <c r="BJ780" s="14"/>
      <c r="BK780" s="14"/>
      <c r="BL780" s="14"/>
      <c r="BM780" s="14"/>
      <c r="BN780" s="14"/>
      <c r="BO780" s="16"/>
      <c r="BP780" s="8"/>
    </row>
    <row r="781" ht="9" customHeight="1" hidden="1">
      <c r="A781" t="s" s="9">
        <v>3030</v>
      </c>
      <c r="B781" s="11"/>
      <c r="C781" t="str" s="11" cm="1">
        <f t="array" ref="C781">_xlfn.IFERROR((VLOOKUP(A781,#REF!,2,FALSE)),"")</f>
      </c>
      <c r="D781" s="11"/>
      <c r="E781" s="11"/>
      <c r="F781" s="11"/>
      <c r="G781" t="s" s="10">
        <v>3031</v>
      </c>
      <c r="H781" t="s" s="10">
        <v>3032</v>
      </c>
      <c r="I781" t="s" s="10">
        <v>82</v>
      </c>
      <c r="J781" t="s" s="10">
        <v>82</v>
      </c>
      <c r="K781" t="s" s="10">
        <v>82</v>
      </c>
      <c r="L781" t="s" s="10">
        <v>76</v>
      </c>
      <c r="M781" t="s" s="10">
        <v>77</v>
      </c>
      <c r="N781" s="11"/>
      <c r="O781" s="11"/>
      <c r="P781" s="11"/>
      <c r="Q781" t="s" s="10">
        <v>69</v>
      </c>
      <c r="R781" t="s" s="10">
        <v>83</v>
      </c>
      <c r="S781" s="11"/>
      <c r="T781" s="11"/>
      <c r="U781" s="11"/>
      <c r="V781" t="s" s="10">
        <v>78</v>
      </c>
      <c r="W781" s="11"/>
      <c r="X781" t="s" s="10">
        <v>78</v>
      </c>
      <c r="Y781" s="11"/>
      <c r="Z781" t="s" s="10">
        <v>205</v>
      </c>
      <c r="AA781" s="11"/>
      <c r="AB781" t="s" s="10">
        <v>76</v>
      </c>
      <c r="AC781" t="s" s="10">
        <v>3030</v>
      </c>
      <c r="AD781" s="11"/>
      <c r="AE781" s="11"/>
      <c r="AF781" s="11"/>
      <c r="AG781" s="11"/>
      <c r="AH781" s="11"/>
      <c r="AI781" t="s" s="10">
        <v>76</v>
      </c>
      <c r="AJ781" t="s" s="10">
        <v>76</v>
      </c>
      <c r="AK781" t="s" s="10">
        <v>79</v>
      </c>
      <c r="AL781" s="11"/>
      <c r="AM781" s="11"/>
      <c r="AN781" s="11"/>
      <c r="AO781" s="11"/>
      <c r="AP781" s="11"/>
      <c r="AQ781" s="11"/>
      <c r="AR781" s="11"/>
      <c r="AS781" t="s" s="10">
        <v>3033</v>
      </c>
      <c r="AT781" s="11"/>
      <c r="AU781" s="11"/>
      <c r="AV781" s="11"/>
      <c r="AW781" s="11"/>
      <c r="AX781" s="11"/>
      <c r="AY781" s="11"/>
      <c r="AZ781" s="11"/>
      <c r="BA781" s="11"/>
      <c r="BB781" s="11"/>
      <c r="BC781" s="11"/>
      <c r="BD781" s="11"/>
      <c r="BE781" s="11"/>
      <c r="BF781" s="11"/>
      <c r="BG781" s="11"/>
      <c r="BH781" s="11"/>
      <c r="BI781" s="11"/>
      <c r="BJ781" s="11"/>
      <c r="BK781" s="11"/>
      <c r="BL781" s="11"/>
      <c r="BM781" s="11"/>
      <c r="BN781" s="11"/>
      <c r="BO781" s="12"/>
      <c r="BP781" s="8"/>
    </row>
    <row r="782" ht="9" customHeight="1" hidden="1">
      <c r="A782" t="s" s="13">
        <v>3034</v>
      </c>
      <c r="B782" s="14"/>
      <c r="C782" t="str" s="14" cm="1">
        <f t="array" ref="C782">_xlfn.IFERROR((VLOOKUP(A782,#REF!,2,FALSE)),"")</f>
      </c>
      <c r="D782" s="14"/>
      <c r="E782" t="s" s="15">
        <v>3035</v>
      </c>
      <c r="F782" s="14"/>
      <c r="G782" t="s" s="15">
        <v>3036</v>
      </c>
      <c r="H782" t="s" s="15">
        <v>404</v>
      </c>
      <c r="I782" t="s" s="15">
        <v>111</v>
      </c>
      <c r="J782" t="s" s="15">
        <v>469</v>
      </c>
      <c r="K782" t="s" s="15">
        <v>140</v>
      </c>
      <c r="L782" t="s" s="15">
        <v>76</v>
      </c>
      <c r="M782" t="s" s="15">
        <v>3037</v>
      </c>
      <c r="N782" t="s" s="15">
        <v>3037</v>
      </c>
      <c r="O782" s="14"/>
      <c r="P782" t="s" s="15">
        <v>469</v>
      </c>
      <c r="Q782" t="s" s="15">
        <v>78</v>
      </c>
      <c r="R782" t="s" s="15">
        <v>83</v>
      </c>
      <c r="S782" s="14"/>
      <c r="T782" s="14"/>
      <c r="U782" s="14"/>
      <c r="V782" t="s" s="15">
        <v>78</v>
      </c>
      <c r="W782" s="14"/>
      <c r="X782" t="s" s="15">
        <v>69</v>
      </c>
      <c r="Y782" s="14"/>
      <c r="Z782" t="s" s="15">
        <v>76</v>
      </c>
      <c r="AA782" s="14"/>
      <c r="AB782" t="s" s="15">
        <v>324</v>
      </c>
      <c r="AC782" s="14"/>
      <c r="AD782" s="14"/>
      <c r="AE782" s="14"/>
      <c r="AF782" t="s" s="15">
        <v>404</v>
      </c>
      <c r="AG782" t="s" s="15">
        <v>299</v>
      </c>
      <c r="AH782" t="s" s="15">
        <v>106</v>
      </c>
      <c r="AI782" t="s" s="15">
        <v>332</v>
      </c>
      <c r="AJ782" t="s" s="15">
        <v>405</v>
      </c>
      <c r="AK782" t="s" s="15">
        <v>83</v>
      </c>
      <c r="AL782" t="s" s="15">
        <v>293</v>
      </c>
      <c r="AM782" t="s" s="15">
        <v>294</v>
      </c>
      <c r="AN782" s="14"/>
      <c r="AO782" s="17">
        <v>4</v>
      </c>
      <c r="AP782" s="17">
        <v>16384</v>
      </c>
      <c r="AQ782" s="17">
        <v>118889</v>
      </c>
      <c r="AR782" s="17">
        <v>118889</v>
      </c>
      <c r="AS782" t="s" s="15">
        <v>3038</v>
      </c>
      <c r="AT782" t="s" s="15">
        <v>301</v>
      </c>
      <c r="AU782" s="14"/>
      <c r="AV782" s="14"/>
      <c r="AW782" s="14"/>
      <c r="AX782" s="14"/>
      <c r="AY782" s="14"/>
      <c r="AZ782" s="14"/>
      <c r="BA782" s="14"/>
      <c r="BB782" s="14"/>
      <c r="BC782" s="14"/>
      <c r="BD782" s="14"/>
      <c r="BE782" s="14"/>
      <c r="BF782" s="14"/>
      <c r="BG782" s="14"/>
      <c r="BH782" s="14"/>
      <c r="BI782" s="14"/>
      <c r="BJ782" s="14"/>
      <c r="BK782" s="14"/>
      <c r="BL782" s="14"/>
      <c r="BM782" s="14"/>
      <c r="BN782" t="s" s="15">
        <v>78</v>
      </c>
      <c r="BO782" s="16"/>
      <c r="BP782" s="8"/>
    </row>
    <row r="783" ht="9" customHeight="1" hidden="1">
      <c r="A783" t="s" s="9">
        <v>3039</v>
      </c>
      <c r="B783" s="11"/>
      <c r="C783" t="str" s="11" cm="1">
        <f t="array" ref="C783">_xlfn.IFERROR((VLOOKUP(A783,#REF!,2,FALSE)),"")</f>
      </c>
      <c r="D783" s="11"/>
      <c r="E783" t="s" s="10">
        <v>3035</v>
      </c>
      <c r="F783" s="11"/>
      <c r="G783" t="s" s="10">
        <v>3040</v>
      </c>
      <c r="H783" t="s" s="10">
        <v>404</v>
      </c>
      <c r="I783" t="s" s="10">
        <v>111</v>
      </c>
      <c r="J783" t="s" s="10">
        <v>469</v>
      </c>
      <c r="K783" t="s" s="10">
        <v>140</v>
      </c>
      <c r="L783" t="s" s="10">
        <v>76</v>
      </c>
      <c r="M783" t="s" s="10">
        <v>3041</v>
      </c>
      <c r="N783" t="s" s="10">
        <v>3041</v>
      </c>
      <c r="O783" s="11"/>
      <c r="P783" t="s" s="10">
        <v>469</v>
      </c>
      <c r="Q783" t="s" s="10">
        <v>78</v>
      </c>
      <c r="R783" t="s" s="10">
        <v>83</v>
      </c>
      <c r="S783" s="11"/>
      <c r="T783" s="11"/>
      <c r="U783" s="11"/>
      <c r="V783" t="s" s="10">
        <v>78</v>
      </c>
      <c r="W783" s="11"/>
      <c r="X783" t="s" s="10">
        <v>69</v>
      </c>
      <c r="Y783" s="11"/>
      <c r="Z783" t="s" s="10">
        <v>76</v>
      </c>
      <c r="AA783" s="11"/>
      <c r="AB783" t="s" s="10">
        <v>324</v>
      </c>
      <c r="AC783" s="11"/>
      <c r="AD783" s="11"/>
      <c r="AE783" s="11"/>
      <c r="AF783" t="s" s="10">
        <v>404</v>
      </c>
      <c r="AG783" t="s" s="10">
        <v>299</v>
      </c>
      <c r="AH783" t="s" s="10">
        <v>106</v>
      </c>
      <c r="AI783" t="s" s="10">
        <v>332</v>
      </c>
      <c r="AJ783" t="s" s="10">
        <v>405</v>
      </c>
      <c r="AK783" t="s" s="10">
        <v>83</v>
      </c>
      <c r="AL783" t="s" s="10">
        <v>293</v>
      </c>
      <c r="AM783" t="s" s="10">
        <v>294</v>
      </c>
      <c r="AN783" s="11"/>
      <c r="AO783" s="18">
        <v>4</v>
      </c>
      <c r="AP783" s="18">
        <v>16384</v>
      </c>
      <c r="AQ783" s="18">
        <v>118900</v>
      </c>
      <c r="AR783" s="18">
        <v>118900</v>
      </c>
      <c r="AS783" t="s" s="10">
        <v>3042</v>
      </c>
      <c r="AT783" t="s" s="10">
        <v>301</v>
      </c>
      <c r="AU783" s="11"/>
      <c r="AV783" s="11"/>
      <c r="AW783" s="11"/>
      <c r="AX783" s="11"/>
      <c r="AY783" s="11"/>
      <c r="AZ783" s="11"/>
      <c r="BA783" s="11"/>
      <c r="BB783" s="11"/>
      <c r="BC783" s="11"/>
      <c r="BD783" s="11"/>
      <c r="BE783" s="11"/>
      <c r="BF783" s="11"/>
      <c r="BG783" s="11"/>
      <c r="BH783" s="11"/>
      <c r="BI783" s="11"/>
      <c r="BJ783" s="11"/>
      <c r="BK783" s="11"/>
      <c r="BL783" s="11"/>
      <c r="BM783" s="11"/>
      <c r="BN783" t="s" s="10">
        <v>78</v>
      </c>
      <c r="BO783" s="12"/>
      <c r="BP783" s="8"/>
    </row>
    <row r="784" ht="9" customHeight="1" hidden="1">
      <c r="A784" t="s" s="13">
        <v>3043</v>
      </c>
      <c r="B784" s="14"/>
      <c r="C784" t="str" s="14" cm="1">
        <f t="array" ref="C784">_xlfn.IFERROR((VLOOKUP(A784,#REF!,2,FALSE)),"")</f>
      </c>
      <c r="D784" s="14"/>
      <c r="E784" t="s" s="15">
        <v>2258</v>
      </c>
      <c r="F784" s="14"/>
      <c r="G784" t="s" s="15">
        <v>3044</v>
      </c>
      <c r="H784" t="s" s="15">
        <v>2260</v>
      </c>
      <c r="I784" t="s" s="15">
        <v>111</v>
      </c>
      <c r="J784" t="s" s="15">
        <v>122</v>
      </c>
      <c r="K784" s="14"/>
      <c r="L784" t="s" s="15">
        <v>83</v>
      </c>
      <c r="M784" s="14"/>
      <c r="N784" s="14"/>
      <c r="O784" t="s" s="15">
        <v>286</v>
      </c>
      <c r="P784" s="14"/>
      <c r="Q784" s="14"/>
      <c r="R784" t="s" s="15">
        <v>76</v>
      </c>
      <c r="S784" s="14"/>
      <c r="T784" s="14"/>
      <c r="U784" s="14"/>
      <c r="V784" s="14"/>
      <c r="W784" s="14"/>
      <c r="X784" s="14"/>
      <c r="Y784" s="14"/>
      <c r="Z784" t="s" s="15">
        <v>83</v>
      </c>
      <c r="AA784" s="14"/>
      <c r="AB784" t="s" s="15">
        <v>83</v>
      </c>
      <c r="AC784" s="14"/>
      <c r="AD784" s="14"/>
      <c r="AE784" s="14"/>
      <c r="AF784" s="14"/>
      <c r="AG784" t="s" s="15">
        <v>299</v>
      </c>
      <c r="AH784" t="s" s="15">
        <v>83</v>
      </c>
      <c r="AI784" t="s" s="15">
        <v>83</v>
      </c>
      <c r="AJ784" t="s" s="15">
        <v>83</v>
      </c>
      <c r="AK784" t="s" s="15">
        <v>83</v>
      </c>
      <c r="AL784" t="s" s="15">
        <v>293</v>
      </c>
      <c r="AM784" t="s" s="15">
        <v>294</v>
      </c>
      <c r="AN784" t="s" s="15">
        <v>2261</v>
      </c>
      <c r="AO784" s="14"/>
      <c r="AP784" s="14"/>
      <c r="AQ784" s="14"/>
      <c r="AR784" s="14"/>
      <c r="AS784" t="s" s="15">
        <v>3045</v>
      </c>
      <c r="AT784" s="14"/>
      <c r="AU784" s="14"/>
      <c r="AV784" s="14"/>
      <c r="AW784" s="14"/>
      <c r="AX784" s="14"/>
      <c r="AY784" s="14"/>
      <c r="AZ784" s="14"/>
      <c r="BA784" s="14"/>
      <c r="BB784" s="14"/>
      <c r="BC784" s="14"/>
      <c r="BD784" s="14"/>
      <c r="BE784" s="14"/>
      <c r="BF784" s="14"/>
      <c r="BG784" s="14"/>
      <c r="BH784" s="14"/>
      <c r="BI784" s="14"/>
      <c r="BJ784" s="14"/>
      <c r="BK784" s="14"/>
      <c r="BL784" s="14"/>
      <c r="BM784" s="14"/>
      <c r="BN784" t="s" s="15">
        <v>69</v>
      </c>
      <c r="BO784" s="16"/>
      <c r="BP784" s="8"/>
    </row>
    <row r="785" ht="9" customHeight="1" hidden="1">
      <c r="A785" t="s" s="9">
        <v>3046</v>
      </c>
      <c r="B785" s="11"/>
      <c r="C785" t="str" s="11" cm="1">
        <f t="array" ref="C785">_xlfn.IFERROR((VLOOKUP(A785,#REF!,2,FALSE)),"")</f>
      </c>
      <c r="D785" s="11"/>
      <c r="E785" t="s" s="10">
        <v>3047</v>
      </c>
      <c r="F785" s="11"/>
      <c r="G785" t="s" s="10">
        <v>3048</v>
      </c>
      <c r="H785" t="s" s="10">
        <v>3049</v>
      </c>
      <c r="I785" t="s" s="10">
        <v>111</v>
      </c>
      <c r="J785" t="s" s="10">
        <v>322</v>
      </c>
      <c r="K785" t="s" s="10">
        <v>140</v>
      </c>
      <c r="L785" t="s" s="10">
        <v>76</v>
      </c>
      <c r="M785" t="s" s="10">
        <v>3050</v>
      </c>
      <c r="N785" t="s" s="10">
        <v>3050</v>
      </c>
      <c r="O785" s="11"/>
      <c r="P785" t="s" s="10">
        <v>322</v>
      </c>
      <c r="Q785" t="s" s="10">
        <v>69</v>
      </c>
      <c r="R785" t="s" s="10">
        <v>83</v>
      </c>
      <c r="S785" s="11"/>
      <c r="T785" s="11"/>
      <c r="U785" s="11"/>
      <c r="V785" t="s" s="10">
        <v>69</v>
      </c>
      <c r="W785" s="11"/>
      <c r="X785" t="s" s="10">
        <v>69</v>
      </c>
      <c r="Y785" s="11"/>
      <c r="Z785" t="s" s="10">
        <v>76</v>
      </c>
      <c r="AA785" s="11"/>
      <c r="AB785" t="s" s="10">
        <v>76</v>
      </c>
      <c r="AC785" t="s" s="10">
        <v>3046</v>
      </c>
      <c r="AD785" t="s" s="10">
        <v>3051</v>
      </c>
      <c r="AE785" s="11"/>
      <c r="AF785" s="11"/>
      <c r="AG785" s="11"/>
      <c r="AH785" t="s" s="10">
        <v>114</v>
      </c>
      <c r="AI785" t="s" s="10">
        <v>76</v>
      </c>
      <c r="AJ785" t="s" s="10">
        <v>76</v>
      </c>
      <c r="AK785" t="s" s="10">
        <v>79</v>
      </c>
      <c r="AL785" t="s" s="10">
        <v>293</v>
      </c>
      <c r="AM785" t="s" s="10">
        <v>294</v>
      </c>
      <c r="AN785" t="s" s="10">
        <v>187</v>
      </c>
      <c r="AO785" s="18">
        <v>2</v>
      </c>
      <c r="AP785" s="18">
        <v>16384</v>
      </c>
      <c r="AQ785" s="18">
        <v>221340</v>
      </c>
      <c r="AR785" s="18">
        <v>221340</v>
      </c>
      <c r="AS785" t="s" s="10">
        <v>3052</v>
      </c>
      <c r="AT785" s="11"/>
      <c r="AU785" s="11"/>
      <c r="AV785" s="11"/>
      <c r="AW785" s="11"/>
      <c r="AX785" s="11"/>
      <c r="AY785" s="11"/>
      <c r="AZ785" s="11"/>
      <c r="BA785" s="11"/>
      <c r="BB785" s="11"/>
      <c r="BC785" s="11"/>
      <c r="BD785" t="s" s="10">
        <v>428</v>
      </c>
      <c r="BE785" t="s" s="10">
        <v>481</v>
      </c>
      <c r="BF785" s="18">
        <v>2</v>
      </c>
      <c r="BG785" s="18">
        <v>16</v>
      </c>
      <c r="BH785" s="11"/>
      <c r="BI785" s="11"/>
      <c r="BJ785" s="11"/>
      <c r="BK785" s="11"/>
      <c r="BL785" s="11"/>
      <c r="BM785" s="11"/>
      <c r="BN785" t="s" s="10">
        <v>78</v>
      </c>
      <c r="BO785" s="12"/>
      <c r="BP785" s="8"/>
    </row>
    <row r="786" ht="9" customHeight="1" hidden="1">
      <c r="A786" t="s" s="13">
        <v>3053</v>
      </c>
      <c r="B786" s="14"/>
      <c r="C786" t="str" s="14" cm="1">
        <f t="array" ref="C786">_xlfn.IFERROR((VLOOKUP(A786,#REF!,2,FALSE)),"")</f>
      </c>
      <c r="D786" s="14"/>
      <c r="E786" t="s" s="15">
        <v>3047</v>
      </c>
      <c r="F786" s="14"/>
      <c r="G786" t="s" s="15">
        <v>3054</v>
      </c>
      <c r="H786" t="s" s="15">
        <v>3049</v>
      </c>
      <c r="I786" t="s" s="15">
        <v>111</v>
      </c>
      <c r="J786" t="s" s="15">
        <v>122</v>
      </c>
      <c r="K786" t="s" s="15">
        <v>140</v>
      </c>
      <c r="L786" t="s" s="15">
        <v>76</v>
      </c>
      <c r="M786" t="s" s="15">
        <v>3055</v>
      </c>
      <c r="N786" t="s" s="15">
        <v>3055</v>
      </c>
      <c r="O786" s="14"/>
      <c r="P786" t="s" s="15">
        <v>122</v>
      </c>
      <c r="Q786" t="s" s="15">
        <v>69</v>
      </c>
      <c r="R786" t="s" s="15">
        <v>83</v>
      </c>
      <c r="S786" s="14"/>
      <c r="T786" s="14"/>
      <c r="U786" s="14"/>
      <c r="V786" t="s" s="15">
        <v>69</v>
      </c>
      <c r="W786" s="14"/>
      <c r="X786" t="s" s="15">
        <v>69</v>
      </c>
      <c r="Y786" s="14"/>
      <c r="Z786" t="s" s="15">
        <v>76</v>
      </c>
      <c r="AA786" s="14"/>
      <c r="AB786" t="s" s="15">
        <v>76</v>
      </c>
      <c r="AC786" t="s" s="15">
        <v>3053</v>
      </c>
      <c r="AD786" t="s" s="15">
        <v>3056</v>
      </c>
      <c r="AE786" s="14"/>
      <c r="AF786" s="14"/>
      <c r="AG786" t="s" s="15">
        <v>299</v>
      </c>
      <c r="AH786" t="s" s="15">
        <v>114</v>
      </c>
      <c r="AI786" t="s" s="15">
        <v>76</v>
      </c>
      <c r="AJ786" t="s" s="15">
        <v>76</v>
      </c>
      <c r="AK786" t="s" s="15">
        <v>79</v>
      </c>
      <c r="AL786" t="s" s="15">
        <v>293</v>
      </c>
      <c r="AM786" t="s" s="15">
        <v>294</v>
      </c>
      <c r="AN786" t="s" s="15">
        <v>187</v>
      </c>
      <c r="AO786" s="17">
        <v>4</v>
      </c>
      <c r="AP786" s="17">
        <v>32768</v>
      </c>
      <c r="AQ786" s="17">
        <v>237957</v>
      </c>
      <c r="AR786" s="17">
        <v>237957</v>
      </c>
      <c r="AS786" t="s" s="15">
        <v>3057</v>
      </c>
      <c r="AT786" t="s" s="15">
        <v>301</v>
      </c>
      <c r="AU786" s="14"/>
      <c r="AV786" s="14"/>
      <c r="AW786" s="14"/>
      <c r="AX786" s="14"/>
      <c r="AY786" s="14"/>
      <c r="AZ786" s="14"/>
      <c r="BA786" s="14"/>
      <c r="BB786" s="14"/>
      <c r="BC786" s="14"/>
      <c r="BD786" t="s" s="15">
        <v>428</v>
      </c>
      <c r="BE786" t="s" s="15">
        <v>1482</v>
      </c>
      <c r="BF786" s="17">
        <v>4</v>
      </c>
      <c r="BG786" s="17">
        <v>32</v>
      </c>
      <c r="BH786" s="14"/>
      <c r="BI786" s="14"/>
      <c r="BJ786" s="14"/>
      <c r="BK786" s="14"/>
      <c r="BL786" s="14"/>
      <c r="BM786" s="14"/>
      <c r="BN786" t="s" s="15">
        <v>78</v>
      </c>
      <c r="BO786" s="16"/>
      <c r="BP786" s="8"/>
    </row>
    <row r="787" ht="9" customHeight="1" hidden="1">
      <c r="A787" t="s" s="9">
        <v>3058</v>
      </c>
      <c r="B787" s="11"/>
      <c r="C787" t="str" s="11" cm="1">
        <f t="array" ref="C787">_xlfn.IFERROR((VLOOKUP(A787,#REF!,2,FALSE)),"")</f>
      </c>
      <c r="D787" s="11"/>
      <c r="E787" t="s" s="10">
        <v>3047</v>
      </c>
      <c r="F787" s="11"/>
      <c r="G787" t="s" s="10">
        <v>3059</v>
      </c>
      <c r="H787" t="s" s="10">
        <v>3049</v>
      </c>
      <c r="I787" t="s" s="10">
        <v>111</v>
      </c>
      <c r="J787" t="s" s="10">
        <v>517</v>
      </c>
      <c r="K787" t="s" s="10">
        <v>140</v>
      </c>
      <c r="L787" t="s" s="10">
        <v>76</v>
      </c>
      <c r="M787" t="s" s="10">
        <v>3060</v>
      </c>
      <c r="N787" t="s" s="10">
        <v>3060</v>
      </c>
      <c r="O787" s="11"/>
      <c r="P787" t="s" s="10">
        <v>517</v>
      </c>
      <c r="Q787" t="s" s="10">
        <v>69</v>
      </c>
      <c r="R787" t="s" s="10">
        <v>83</v>
      </c>
      <c r="S787" s="11"/>
      <c r="T787" s="11"/>
      <c r="U787" s="11"/>
      <c r="V787" t="s" s="10">
        <v>69</v>
      </c>
      <c r="W787" s="11"/>
      <c r="X787" t="s" s="10">
        <v>69</v>
      </c>
      <c r="Y787" s="11"/>
      <c r="Z787" t="s" s="10">
        <v>76</v>
      </c>
      <c r="AA787" s="11"/>
      <c r="AB787" t="s" s="10">
        <v>76</v>
      </c>
      <c r="AC787" t="s" s="10">
        <v>3058</v>
      </c>
      <c r="AD787" t="s" s="10">
        <v>3061</v>
      </c>
      <c r="AE787" s="11"/>
      <c r="AF787" s="11"/>
      <c r="AG787" s="11"/>
      <c r="AH787" t="s" s="10">
        <v>114</v>
      </c>
      <c r="AI787" t="s" s="10">
        <v>76</v>
      </c>
      <c r="AJ787" t="s" s="10">
        <v>76</v>
      </c>
      <c r="AK787" t="s" s="10">
        <v>79</v>
      </c>
      <c r="AL787" t="s" s="10">
        <v>293</v>
      </c>
      <c r="AM787" t="s" s="10">
        <v>294</v>
      </c>
      <c r="AN787" t="s" s="10">
        <v>187</v>
      </c>
      <c r="AO787" s="18">
        <v>2</v>
      </c>
      <c r="AP787" s="18">
        <v>16384</v>
      </c>
      <c r="AQ787" s="18">
        <v>221279</v>
      </c>
      <c r="AR787" s="18">
        <v>221279</v>
      </c>
      <c r="AS787" t="s" s="10">
        <v>3062</v>
      </c>
      <c r="AT787" s="11"/>
      <c r="AU787" s="11"/>
      <c r="AV787" s="11"/>
      <c r="AW787" s="11"/>
      <c r="AX787" s="11"/>
      <c r="AY787" s="11"/>
      <c r="AZ787" s="11"/>
      <c r="BA787" s="11"/>
      <c r="BB787" s="11"/>
      <c r="BC787" s="11"/>
      <c r="BD787" t="s" s="10">
        <v>428</v>
      </c>
      <c r="BE787" t="s" s="10">
        <v>481</v>
      </c>
      <c r="BF787" s="18">
        <v>2</v>
      </c>
      <c r="BG787" s="18">
        <v>16</v>
      </c>
      <c r="BH787" s="11"/>
      <c r="BI787" s="11"/>
      <c r="BJ787" s="11"/>
      <c r="BK787" s="11"/>
      <c r="BL787" s="11"/>
      <c r="BM787" s="11"/>
      <c r="BN787" t="s" s="10">
        <v>78</v>
      </c>
      <c r="BO787" s="12"/>
      <c r="BP787" s="8"/>
    </row>
    <row r="788" ht="9" customHeight="1" hidden="1">
      <c r="A788" t="s" s="13">
        <v>3063</v>
      </c>
      <c r="B788" s="14"/>
      <c r="C788" t="str" s="14" cm="1">
        <f t="array" ref="C788">_xlfn.IFERROR((VLOOKUP(A788,#REF!,2,FALSE)),"")</f>
      </c>
      <c r="D788" t="s" s="15">
        <v>70</v>
      </c>
      <c r="E788" t="s" s="15">
        <v>108</v>
      </c>
      <c r="F788" s="14"/>
      <c r="G788" t="s" s="15">
        <v>3064</v>
      </c>
      <c r="H788" t="s" s="15">
        <v>3065</v>
      </c>
      <c r="I788" t="s" s="15">
        <v>111</v>
      </c>
      <c r="J788" t="s" s="15">
        <v>122</v>
      </c>
      <c r="K788" t="s" s="15">
        <v>140</v>
      </c>
      <c r="L788" t="s" s="15">
        <v>76</v>
      </c>
      <c r="M788" t="s" s="15">
        <v>3064</v>
      </c>
      <c r="N788" t="s" s="15">
        <v>3064</v>
      </c>
      <c r="O788" s="14"/>
      <c r="P788" t="s" s="15">
        <v>122</v>
      </c>
      <c r="Q788" t="s" s="15">
        <v>78</v>
      </c>
      <c r="R788" t="s" s="15">
        <v>323</v>
      </c>
      <c r="S788" s="14"/>
      <c r="T788" s="14"/>
      <c r="U788" s="14"/>
      <c r="V788" t="s" s="15">
        <v>69</v>
      </c>
      <c r="W788" s="14"/>
      <c r="X788" t="s" s="15">
        <v>69</v>
      </c>
      <c r="Y788" s="14"/>
      <c r="Z788" t="s" s="15">
        <v>76</v>
      </c>
      <c r="AA788" s="14"/>
      <c r="AB788" t="s" s="15">
        <v>76</v>
      </c>
      <c r="AC788" s="14"/>
      <c r="AD788" s="14"/>
      <c r="AE788" s="14"/>
      <c r="AF788" s="14"/>
      <c r="AG788" s="14"/>
      <c r="AH788" t="s" s="15">
        <v>114</v>
      </c>
      <c r="AI788" t="s" s="15">
        <v>76</v>
      </c>
      <c r="AJ788" t="s" s="15">
        <v>76</v>
      </c>
      <c r="AK788" t="s" s="15">
        <v>79</v>
      </c>
      <c r="AL788" s="14"/>
      <c r="AM788" s="14"/>
      <c r="AN788" t="s" s="15">
        <v>3066</v>
      </c>
      <c r="AO788" s="14"/>
      <c r="AP788" s="14"/>
      <c r="AQ788" s="14"/>
      <c r="AR788" s="14"/>
      <c r="AS788" t="s" s="15">
        <v>3067</v>
      </c>
      <c r="AT788" s="14"/>
      <c r="AU788" s="14"/>
      <c r="AV788" s="14"/>
      <c r="AW788" s="14"/>
      <c r="AX788" s="14"/>
      <c r="AY788" s="14"/>
      <c r="AZ788" s="14"/>
      <c r="BA788" s="14"/>
      <c r="BB788" s="14"/>
      <c r="BC788" s="14"/>
      <c r="BD788" t="s" s="15">
        <v>118</v>
      </c>
      <c r="BE788" s="14"/>
      <c r="BF788" s="14"/>
      <c r="BG788" s="14"/>
      <c r="BH788" s="14"/>
      <c r="BI788" s="14"/>
      <c r="BJ788" s="14"/>
      <c r="BK788" s="14"/>
      <c r="BL788" s="14"/>
      <c r="BM788" s="14"/>
      <c r="BN788" t="s" s="15">
        <v>78</v>
      </c>
      <c r="BO788" s="16"/>
      <c r="BP788" s="8"/>
    </row>
    <row r="789" ht="9" customHeight="1" hidden="1">
      <c r="A789" t="s" s="9">
        <v>3068</v>
      </c>
      <c r="B789" t="s" s="10">
        <v>69</v>
      </c>
      <c r="C789" t="str" s="11" cm="1">
        <f t="array" ref="C789">_xlfn.IFERROR((VLOOKUP(A789,#REF!,2,FALSE)),"")</f>
      </c>
      <c r="D789" t="s" s="10">
        <v>70</v>
      </c>
      <c r="E789" t="s" s="10">
        <v>108</v>
      </c>
      <c r="F789" s="11"/>
      <c r="G789" t="s" s="10">
        <v>3069</v>
      </c>
      <c r="H789" t="s" s="10">
        <v>3065</v>
      </c>
      <c r="I789" t="s" s="10">
        <v>111</v>
      </c>
      <c r="J789" t="s" s="10">
        <v>322</v>
      </c>
      <c r="K789" t="s" s="10">
        <v>140</v>
      </c>
      <c r="L789" t="s" s="10">
        <v>76</v>
      </c>
      <c r="M789" t="s" s="10">
        <v>3069</v>
      </c>
      <c r="N789" t="s" s="10">
        <v>3069</v>
      </c>
      <c r="O789" s="11"/>
      <c r="P789" t="s" s="10">
        <v>322</v>
      </c>
      <c r="Q789" t="s" s="10">
        <v>78</v>
      </c>
      <c r="R789" t="s" s="10">
        <v>123</v>
      </c>
      <c r="S789" s="11"/>
      <c r="T789" s="11"/>
      <c r="U789" s="11"/>
      <c r="V789" t="s" s="10">
        <v>69</v>
      </c>
      <c r="W789" s="11"/>
      <c r="X789" t="s" s="10">
        <v>69</v>
      </c>
      <c r="Y789" s="11"/>
      <c r="Z789" t="s" s="10">
        <v>76</v>
      </c>
      <c r="AA789" s="11"/>
      <c r="AB789" t="s" s="10">
        <v>76</v>
      </c>
      <c r="AC789" s="11"/>
      <c r="AD789" s="11"/>
      <c r="AE789" s="11"/>
      <c r="AF789" s="11"/>
      <c r="AG789" s="11"/>
      <c r="AH789" t="s" s="10">
        <v>114</v>
      </c>
      <c r="AI789" t="s" s="10">
        <v>76</v>
      </c>
      <c r="AJ789" t="s" s="10">
        <v>76</v>
      </c>
      <c r="AK789" t="s" s="10">
        <v>79</v>
      </c>
      <c r="AL789" s="11"/>
      <c r="AM789" s="11"/>
      <c r="AN789" t="s" s="10">
        <v>3066</v>
      </c>
      <c r="AO789" s="11"/>
      <c r="AP789" s="11"/>
      <c r="AQ789" s="11"/>
      <c r="AR789" s="11"/>
      <c r="AS789" t="s" s="10">
        <v>3070</v>
      </c>
      <c r="AT789" s="11"/>
      <c r="AU789" s="11"/>
      <c r="AV789" s="11"/>
      <c r="AW789" s="11"/>
      <c r="AX789" s="11"/>
      <c r="AY789" s="11"/>
      <c r="AZ789" s="11"/>
      <c r="BA789" s="11"/>
      <c r="BB789" s="11"/>
      <c r="BC789" s="11"/>
      <c r="BD789" t="s" s="10">
        <v>118</v>
      </c>
      <c r="BE789" s="11"/>
      <c r="BF789" s="11"/>
      <c r="BG789" s="11"/>
      <c r="BH789" s="11"/>
      <c r="BI789" s="11"/>
      <c r="BJ789" s="11"/>
      <c r="BK789" s="11"/>
      <c r="BL789" s="11"/>
      <c r="BM789" s="11"/>
      <c r="BN789" t="s" s="10">
        <v>78</v>
      </c>
      <c r="BO789" s="12"/>
      <c r="BP789" s="8"/>
    </row>
    <row r="790" ht="15" customHeight="1">
      <c r="A790" t="s" s="13">
        <v>3071</v>
      </c>
      <c r="B790" s="14"/>
      <c r="C790" t="str" s="14" cm="1">
        <f t="array" ref="C790">_xlfn.IFERROR((VLOOKUP(A790,#REF!,2,FALSE)),"")</f>
      </c>
      <c r="D790" s="14"/>
      <c r="E790" t="s" s="15">
        <v>3072</v>
      </c>
      <c r="F790" t="s" s="15">
        <v>76</v>
      </c>
      <c r="G790" t="s" s="15">
        <v>3073</v>
      </c>
      <c r="H790" t="s" s="15">
        <v>1183</v>
      </c>
      <c r="I790" t="s" s="15">
        <v>111</v>
      </c>
      <c r="J790" t="s" s="15">
        <v>112</v>
      </c>
      <c r="K790" t="s" s="15">
        <v>140</v>
      </c>
      <c r="L790" t="s" s="15">
        <v>518</v>
      </c>
      <c r="M790" t="s" s="15">
        <v>3073</v>
      </c>
      <c r="N790" t="s" s="15">
        <v>3073</v>
      </c>
      <c r="O790" t="s" s="15">
        <v>1162</v>
      </c>
      <c r="P790" t="s" s="15">
        <v>469</v>
      </c>
      <c r="Q790" t="s" s="15">
        <v>78</v>
      </c>
      <c r="R790" t="s" s="15">
        <v>83</v>
      </c>
      <c r="S790" s="14"/>
      <c r="T790" s="14"/>
      <c r="U790" s="14"/>
      <c r="V790" t="s" s="15">
        <v>69</v>
      </c>
      <c r="W790" s="14"/>
      <c r="X790" t="s" s="15">
        <v>69</v>
      </c>
      <c r="Y790" s="14"/>
      <c r="Z790" t="s" s="15">
        <v>205</v>
      </c>
      <c r="AA790" s="14"/>
      <c r="AB790" t="s" s="15">
        <v>1184</v>
      </c>
      <c r="AC790" s="14"/>
      <c r="AD790" s="14"/>
      <c r="AE790" s="14"/>
      <c r="AF790" s="14"/>
      <c r="AG790" t="s" s="15">
        <v>299</v>
      </c>
      <c r="AH790" t="s" s="15">
        <v>114</v>
      </c>
      <c r="AI790" t="s" s="15">
        <v>290</v>
      </c>
      <c r="AJ790" t="s" s="15">
        <v>827</v>
      </c>
      <c r="AK790" t="s" s="15">
        <v>1195</v>
      </c>
      <c r="AL790" t="s" s="15">
        <v>293</v>
      </c>
      <c r="AM790" t="s" s="15">
        <v>294</v>
      </c>
      <c r="AN790" t="s" s="15">
        <v>3074</v>
      </c>
      <c r="AO790" s="17">
        <v>4</v>
      </c>
      <c r="AP790" s="17">
        <v>4096</v>
      </c>
      <c r="AQ790" s="17">
        <v>285790</v>
      </c>
      <c r="AR790" s="17">
        <v>217560</v>
      </c>
      <c r="AS790" t="s" s="15">
        <v>3075</v>
      </c>
      <c r="AT790" t="s" s="15">
        <v>301</v>
      </c>
      <c r="AU790" s="14"/>
      <c r="AV790" s="14"/>
      <c r="AW790" t="s" s="15">
        <v>83</v>
      </c>
      <c r="AX790" t="s" s="15">
        <v>83</v>
      </c>
      <c r="AY790" t="s" s="15">
        <v>309</v>
      </c>
      <c r="AZ790" t="s" s="15">
        <v>83</v>
      </c>
      <c r="BA790" t="s" s="15">
        <v>76</v>
      </c>
      <c r="BB790" t="s" s="15">
        <v>76</v>
      </c>
      <c r="BC790" t="s" s="15">
        <v>76</v>
      </c>
      <c r="BD790" t="s" s="15">
        <v>310</v>
      </c>
      <c r="BE790" t="s" s="15">
        <v>356</v>
      </c>
      <c r="BF790" s="17">
        <v>4</v>
      </c>
      <c r="BG790" s="17">
        <v>8</v>
      </c>
      <c r="BH790" t="s" s="15">
        <v>83</v>
      </c>
      <c r="BI790" t="s" s="15">
        <v>83</v>
      </c>
      <c r="BJ790" t="s" s="15">
        <v>83</v>
      </c>
      <c r="BK790" t="s" s="15">
        <v>83</v>
      </c>
      <c r="BL790" t="s" s="15">
        <v>83</v>
      </c>
      <c r="BM790" t="s" s="15">
        <v>312</v>
      </c>
      <c r="BN790" t="s" s="15">
        <v>69</v>
      </c>
      <c r="BO790" t="s" s="21">
        <v>76</v>
      </c>
      <c r="BP790" s="8"/>
    </row>
    <row r="791" ht="13.55" customHeight="1">
      <c r="A791" t="s" s="9">
        <v>3076</v>
      </c>
      <c r="B791" s="11"/>
      <c r="C791" t="str" s="11" cm="1">
        <f t="array" ref="C791">_xlfn.IFERROR((VLOOKUP(A791,#REF!,2,FALSE)),"")</f>
      </c>
      <c r="D791" t="s" s="10">
        <v>70</v>
      </c>
      <c r="E791" t="s" s="10">
        <v>1181</v>
      </c>
      <c r="F791" s="11"/>
      <c r="G791" t="s" s="10">
        <v>3077</v>
      </c>
      <c r="H791" t="s" s="10">
        <v>1183</v>
      </c>
      <c r="I791" t="s" s="10">
        <v>111</v>
      </c>
      <c r="J791" t="s" s="10">
        <v>122</v>
      </c>
      <c r="K791" t="s" s="10">
        <v>140</v>
      </c>
      <c r="L791" t="s" s="10">
        <v>518</v>
      </c>
      <c r="M791" t="s" s="10">
        <v>3078</v>
      </c>
      <c r="N791" t="s" s="10">
        <v>3077</v>
      </c>
      <c r="O791" s="11"/>
      <c r="P791" t="s" s="10">
        <v>122</v>
      </c>
      <c r="Q791" t="s" s="10">
        <v>69</v>
      </c>
      <c r="R791" t="s" s="10">
        <v>83</v>
      </c>
      <c r="S791" s="11"/>
      <c r="T791" s="11"/>
      <c r="U791" s="11"/>
      <c r="V791" t="s" s="10">
        <v>69</v>
      </c>
      <c r="W791" s="11"/>
      <c r="X791" t="s" s="10">
        <v>78</v>
      </c>
      <c r="Y791" s="11"/>
      <c r="Z791" t="s" s="10">
        <v>205</v>
      </c>
      <c r="AA791" s="11"/>
      <c r="AB791" t="s" s="10">
        <v>1184</v>
      </c>
      <c r="AC791" s="11"/>
      <c r="AD791" s="11"/>
      <c r="AE791" s="11"/>
      <c r="AF791" s="11"/>
      <c r="AG791" t="s" s="10">
        <v>299</v>
      </c>
      <c r="AH791" t="s" s="10">
        <v>114</v>
      </c>
      <c r="AI791" t="s" s="10">
        <v>440</v>
      </c>
      <c r="AJ791" s="11"/>
      <c r="AK791" t="s" s="10">
        <v>83</v>
      </c>
      <c r="AL791" t="s" s="10">
        <v>293</v>
      </c>
      <c r="AM791" t="s" s="10">
        <v>294</v>
      </c>
      <c r="AN791" t="s" s="10">
        <v>1893</v>
      </c>
      <c r="AO791" s="18">
        <v>4</v>
      </c>
      <c r="AP791" s="18">
        <v>16384</v>
      </c>
      <c r="AQ791" s="18">
        <v>298133</v>
      </c>
      <c r="AR791" s="18">
        <v>236240</v>
      </c>
      <c r="AS791" t="s" s="10">
        <v>3079</v>
      </c>
      <c r="AT791" t="s" s="10">
        <v>301</v>
      </c>
      <c r="AU791" s="11"/>
      <c r="AV791" s="11"/>
      <c r="AW791" s="11"/>
      <c r="AX791" s="11"/>
      <c r="AY791" s="11"/>
      <c r="AZ791" s="11"/>
      <c r="BA791" s="11"/>
      <c r="BB791" s="11"/>
      <c r="BC791" s="11"/>
      <c r="BD791" t="s" s="10">
        <v>366</v>
      </c>
      <c r="BE791" t="s" s="10">
        <v>394</v>
      </c>
      <c r="BF791" s="18">
        <v>4</v>
      </c>
      <c r="BG791" s="18">
        <v>16</v>
      </c>
      <c r="BH791" s="11"/>
      <c r="BI791" s="11"/>
      <c r="BJ791" s="11"/>
      <c r="BK791" s="11"/>
      <c r="BL791" s="11"/>
      <c r="BM791" s="11"/>
      <c r="BN791" t="s" s="10">
        <v>69</v>
      </c>
      <c r="BO791" s="12"/>
      <c r="BP791" s="8"/>
    </row>
    <row r="792" ht="13.55" customHeight="1">
      <c r="A792" t="s" s="13">
        <v>3080</v>
      </c>
      <c r="B792" s="14"/>
      <c r="C792" t="str" s="14" cm="1">
        <f t="array" ref="C792">_xlfn.IFERROR((VLOOKUP(A792,#REF!,2,FALSE)),"")</f>
      </c>
      <c r="D792" s="14"/>
      <c r="E792" s="14"/>
      <c r="F792" s="14"/>
      <c r="G792" t="s" s="15">
        <v>3081</v>
      </c>
      <c r="H792" t="s" s="15">
        <v>1183</v>
      </c>
      <c r="I792" t="s" s="15">
        <v>111</v>
      </c>
      <c r="J792" t="s" s="15">
        <v>122</v>
      </c>
      <c r="K792" t="s" s="15">
        <v>140</v>
      </c>
      <c r="L792" t="s" s="15">
        <v>518</v>
      </c>
      <c r="M792" t="s" s="15">
        <v>3081</v>
      </c>
      <c r="N792" s="14"/>
      <c r="O792" s="14"/>
      <c r="P792" t="s" s="15">
        <v>122</v>
      </c>
      <c r="Q792" t="s" s="15">
        <v>78</v>
      </c>
      <c r="R792" t="s" s="15">
        <v>83</v>
      </c>
      <c r="S792" s="14"/>
      <c r="T792" s="14"/>
      <c r="U792" s="14"/>
      <c r="V792" t="s" s="15">
        <v>69</v>
      </c>
      <c r="W792" s="14"/>
      <c r="X792" t="s" s="15">
        <v>78</v>
      </c>
      <c r="Y792" s="14"/>
      <c r="Z792" t="s" s="15">
        <v>205</v>
      </c>
      <c r="AA792" s="14"/>
      <c r="AB792" t="s" s="15">
        <v>1184</v>
      </c>
      <c r="AC792" s="14"/>
      <c r="AD792" s="14"/>
      <c r="AE792" s="14"/>
      <c r="AF792" s="14"/>
      <c r="AG792" t="s" s="15">
        <v>299</v>
      </c>
      <c r="AH792" t="s" s="15">
        <v>114</v>
      </c>
      <c r="AI792" t="s" s="15">
        <v>440</v>
      </c>
      <c r="AJ792" s="14"/>
      <c r="AK792" t="s" s="15">
        <v>83</v>
      </c>
      <c r="AL792" t="s" s="15">
        <v>293</v>
      </c>
      <c r="AM792" t="s" s="15">
        <v>294</v>
      </c>
      <c r="AN792" t="s" s="15">
        <v>3082</v>
      </c>
      <c r="AO792" s="17">
        <v>4</v>
      </c>
      <c r="AP792" s="17">
        <v>16384</v>
      </c>
      <c r="AQ792" s="17">
        <v>298134</v>
      </c>
      <c r="AR792" s="17">
        <v>235884</v>
      </c>
      <c r="AS792" t="s" s="15">
        <v>3083</v>
      </c>
      <c r="AT792" t="s" s="15">
        <v>301</v>
      </c>
      <c r="AU792" s="14"/>
      <c r="AV792" s="14"/>
      <c r="AW792" s="14"/>
      <c r="AX792" s="14"/>
      <c r="AY792" s="14"/>
      <c r="AZ792" s="14"/>
      <c r="BA792" s="14"/>
      <c r="BB792" s="14"/>
      <c r="BC792" s="14"/>
      <c r="BD792" t="s" s="15">
        <v>366</v>
      </c>
      <c r="BE792" t="s" s="15">
        <v>394</v>
      </c>
      <c r="BF792" s="17">
        <v>4</v>
      </c>
      <c r="BG792" s="17">
        <v>16</v>
      </c>
      <c r="BH792" s="14"/>
      <c r="BI792" s="14"/>
      <c r="BJ792" s="14"/>
      <c r="BK792" s="14"/>
      <c r="BL792" s="14"/>
      <c r="BM792" s="14"/>
      <c r="BN792" t="s" s="15">
        <v>69</v>
      </c>
      <c r="BO792" s="16"/>
      <c r="BP792" s="8"/>
    </row>
    <row r="793" ht="15" customHeight="1" hidden="1">
      <c r="A793" t="s" s="9">
        <v>3084</v>
      </c>
      <c r="B793" s="11"/>
      <c r="C793" t="str" s="11" cm="1">
        <f t="array" ref="C793">_xlfn.IFERROR((VLOOKUP(A793,#REF!,2,FALSE)),"")</f>
      </c>
      <c r="D793" s="11"/>
      <c r="E793" t="s" s="10">
        <v>3085</v>
      </c>
      <c r="F793" s="11"/>
      <c r="G793" t="s" s="10">
        <v>3086</v>
      </c>
      <c r="H793" t="s" s="10">
        <v>524</v>
      </c>
      <c r="I793" t="s" s="10">
        <v>111</v>
      </c>
      <c r="J793" t="s" s="10">
        <v>322</v>
      </c>
      <c r="K793" t="s" s="10">
        <v>140</v>
      </c>
      <c r="L793" t="s" s="10">
        <v>518</v>
      </c>
      <c r="M793" s="11"/>
      <c r="N793" s="11"/>
      <c r="O793" t="s" s="10">
        <v>322</v>
      </c>
      <c r="P793" s="11"/>
      <c r="Q793" s="11"/>
      <c r="R793" t="s" s="10">
        <v>83</v>
      </c>
      <c r="S793" s="11"/>
      <c r="T793" s="11"/>
      <c r="U793" s="11"/>
      <c r="V793" s="11"/>
      <c r="W793" s="11"/>
      <c r="X793" s="11"/>
      <c r="Y793" s="11"/>
      <c r="Z793" t="s" s="10">
        <v>552</v>
      </c>
      <c r="AA793" s="11"/>
      <c r="AB793" t="s" s="10">
        <v>1551</v>
      </c>
      <c r="AC793" s="11"/>
      <c r="AD793" s="11"/>
      <c r="AE793" s="11"/>
      <c r="AF793" s="11"/>
      <c r="AG793" t="s" s="10">
        <v>299</v>
      </c>
      <c r="AH793" t="s" s="10">
        <v>83</v>
      </c>
      <c r="AI793" t="s" s="10">
        <v>83</v>
      </c>
      <c r="AJ793" t="s" s="10">
        <v>83</v>
      </c>
      <c r="AK793" t="s" s="10">
        <v>83</v>
      </c>
      <c r="AL793" t="s" s="10">
        <v>293</v>
      </c>
      <c r="AM793" t="s" s="10">
        <v>294</v>
      </c>
      <c r="AN793" t="s" s="10">
        <v>2704</v>
      </c>
      <c r="AO793" s="11"/>
      <c r="AP793" s="11"/>
      <c r="AQ793" s="11"/>
      <c r="AR793" s="11"/>
      <c r="AS793" t="s" s="10">
        <v>3087</v>
      </c>
      <c r="AT793" s="11"/>
      <c r="AU793" s="11"/>
      <c r="AV793" s="11"/>
      <c r="AW793" s="11"/>
      <c r="AX793" s="11"/>
      <c r="AY793" s="11"/>
      <c r="AZ793" s="11"/>
      <c r="BA793" s="11"/>
      <c r="BB793" s="11"/>
      <c r="BC793" s="11"/>
      <c r="BD793" t="s" s="10">
        <v>310</v>
      </c>
      <c r="BE793" t="s" s="25">
        <v>419</v>
      </c>
      <c r="BF793" s="23"/>
      <c r="BG793" s="23"/>
      <c r="BH793" s="11"/>
      <c r="BI793" s="11"/>
      <c r="BJ793" s="11"/>
      <c r="BK793" s="11"/>
      <c r="BL793" s="11"/>
      <c r="BM793" s="11"/>
      <c r="BN793" t="s" s="10">
        <v>78</v>
      </c>
      <c r="BO793" s="12"/>
      <c r="BP793" s="8"/>
    </row>
    <row r="794" ht="13.55" customHeight="1">
      <c r="A794" t="s" s="13">
        <v>3088</v>
      </c>
      <c r="B794" s="14"/>
      <c r="C794" t="str" s="14" cm="1">
        <f t="array" ref="C794">_xlfn.IFERROR((VLOOKUP(A794,#REF!,2,FALSE)),"")</f>
      </c>
      <c r="D794" s="14"/>
      <c r="E794" s="14"/>
      <c r="F794" s="14"/>
      <c r="G794" t="s" s="15">
        <v>3089</v>
      </c>
      <c r="H794" t="s" s="15">
        <v>3089</v>
      </c>
      <c r="I794" t="s" s="15">
        <v>111</v>
      </c>
      <c r="J794" t="s" s="15">
        <v>122</v>
      </c>
      <c r="K794" t="s" s="15">
        <v>140</v>
      </c>
      <c r="L794" t="s" s="15">
        <v>76</v>
      </c>
      <c r="M794" t="s" s="15">
        <v>3089</v>
      </c>
      <c r="N794" t="s" s="15">
        <v>3089</v>
      </c>
      <c r="O794" s="14"/>
      <c r="P794" t="s" s="15">
        <v>122</v>
      </c>
      <c r="Q794" t="s" s="15">
        <v>69</v>
      </c>
      <c r="R794" t="s" s="15">
        <v>83</v>
      </c>
      <c r="S794" s="14"/>
      <c r="T794" s="14"/>
      <c r="U794" s="14"/>
      <c r="V794" t="s" s="15">
        <v>69</v>
      </c>
      <c r="W794" s="14"/>
      <c r="X794" t="s" s="15">
        <v>69</v>
      </c>
      <c r="Y794" s="14"/>
      <c r="Z794" t="s" s="15">
        <v>76</v>
      </c>
      <c r="AA794" s="14"/>
      <c r="AB794" t="s" s="15">
        <v>76</v>
      </c>
      <c r="AC794" t="s" s="15">
        <v>3088</v>
      </c>
      <c r="AD794" t="s" s="15">
        <v>3090</v>
      </c>
      <c r="AE794" s="14"/>
      <c r="AF794" t="s" s="15">
        <v>76</v>
      </c>
      <c r="AG794" t="s" s="15">
        <v>299</v>
      </c>
      <c r="AH794" t="s" s="15">
        <v>114</v>
      </c>
      <c r="AI794" t="s" s="15">
        <v>332</v>
      </c>
      <c r="AJ794" t="s" s="15">
        <v>798</v>
      </c>
      <c r="AK794" t="s" s="15">
        <v>292</v>
      </c>
      <c r="AL794" t="s" s="15">
        <v>293</v>
      </c>
      <c r="AM794" t="s" s="15">
        <v>294</v>
      </c>
      <c r="AN794" t="s" s="15">
        <v>128</v>
      </c>
      <c r="AO794" s="17">
        <v>4</v>
      </c>
      <c r="AP794" s="17">
        <v>8192</v>
      </c>
      <c r="AQ794" s="17">
        <v>131189</v>
      </c>
      <c r="AR794" s="17">
        <v>131189</v>
      </c>
      <c r="AS794" t="s" s="15">
        <v>3091</v>
      </c>
      <c r="AT794" t="s" s="15">
        <v>301</v>
      </c>
      <c r="AU794" s="14"/>
      <c r="AV794" s="14"/>
      <c r="AW794" s="14"/>
      <c r="AX794" s="14"/>
      <c r="AY794" s="14"/>
      <c r="AZ794" s="14"/>
      <c r="BA794" s="14"/>
      <c r="BB794" s="14"/>
      <c r="BC794" s="14"/>
      <c r="BD794" t="s" s="15">
        <v>310</v>
      </c>
      <c r="BE794" t="s" s="15">
        <v>356</v>
      </c>
      <c r="BF794" s="17">
        <v>4</v>
      </c>
      <c r="BG794" s="17">
        <v>8</v>
      </c>
      <c r="BH794" s="14"/>
      <c r="BI794" s="14"/>
      <c r="BJ794" s="14"/>
      <c r="BK794" s="14"/>
      <c r="BL794" s="14"/>
      <c r="BM794" s="14"/>
      <c r="BN794" t="s" s="15">
        <v>69</v>
      </c>
      <c r="BO794" s="16"/>
      <c r="BP794" s="8"/>
    </row>
    <row r="795" ht="9" customHeight="1" hidden="1">
      <c r="A795" t="s" s="9">
        <v>3092</v>
      </c>
      <c r="B795" s="11"/>
      <c r="C795" t="str" s="11" cm="1">
        <f t="array" ref="C795">_xlfn.IFERROR((VLOOKUP(A795,#REF!,2,FALSE)),"")</f>
      </c>
      <c r="D795" s="11"/>
      <c r="E795" s="11"/>
      <c r="F795" s="11"/>
      <c r="G795" t="s" s="10">
        <v>3093</v>
      </c>
      <c r="H795" t="s" s="10">
        <v>3094</v>
      </c>
      <c r="I795" t="s" s="10">
        <v>111</v>
      </c>
      <c r="J795" t="s" s="10">
        <v>122</v>
      </c>
      <c r="K795" t="s" s="10">
        <v>3095</v>
      </c>
      <c r="L795" t="s" s="10">
        <v>76</v>
      </c>
      <c r="M795" t="s" s="10">
        <v>3094</v>
      </c>
      <c r="N795" t="s" s="10">
        <v>3093</v>
      </c>
      <c r="O795" s="11"/>
      <c r="P795" t="s" s="10">
        <v>122</v>
      </c>
      <c r="Q795" t="s" s="10">
        <v>69</v>
      </c>
      <c r="R795" t="s" s="10">
        <v>83</v>
      </c>
      <c r="S795" s="11"/>
      <c r="T795" s="11"/>
      <c r="U795" s="11"/>
      <c r="V795" t="s" s="10">
        <v>69</v>
      </c>
      <c r="W795" s="11"/>
      <c r="X795" t="s" s="10">
        <v>69</v>
      </c>
      <c r="Y795" s="11"/>
      <c r="Z795" t="s" s="10">
        <v>76</v>
      </c>
      <c r="AA795" s="11"/>
      <c r="AB795" t="s" s="10">
        <v>76</v>
      </c>
      <c r="AC795" t="s" s="10">
        <v>3092</v>
      </c>
      <c r="AD795" t="s" s="10">
        <v>3096</v>
      </c>
      <c r="AE795" s="11"/>
      <c r="AF795" s="11"/>
      <c r="AG795" s="11"/>
      <c r="AH795" t="s" s="10">
        <v>106</v>
      </c>
      <c r="AI795" t="s" s="10">
        <v>76</v>
      </c>
      <c r="AJ795" t="s" s="10">
        <v>76</v>
      </c>
      <c r="AK795" t="s" s="10">
        <v>79</v>
      </c>
      <c r="AL795" t="s" s="10">
        <v>293</v>
      </c>
      <c r="AM795" t="s" s="10">
        <v>294</v>
      </c>
      <c r="AN795" t="s" s="10">
        <v>187</v>
      </c>
      <c r="AO795" s="18">
        <v>4</v>
      </c>
      <c r="AP795" s="18">
        <v>8192</v>
      </c>
      <c r="AQ795" s="18">
        <v>213092</v>
      </c>
      <c r="AR795" s="18">
        <v>146482</v>
      </c>
      <c r="AS795" t="s" s="10">
        <v>3097</v>
      </c>
      <c r="AT795" s="11"/>
      <c r="AU795" s="11"/>
      <c r="AV795" s="11"/>
      <c r="AW795" s="11"/>
      <c r="AX795" s="11"/>
      <c r="AY795" s="11"/>
      <c r="AZ795" s="11"/>
      <c r="BA795" s="11"/>
      <c r="BB795" s="11"/>
      <c r="BC795" s="11"/>
      <c r="BD795" t="s" s="10">
        <v>428</v>
      </c>
      <c r="BE795" t="s" s="10">
        <v>481</v>
      </c>
      <c r="BF795" s="11"/>
      <c r="BG795" s="11"/>
      <c r="BH795" s="11"/>
      <c r="BI795" s="11"/>
      <c r="BJ795" s="11"/>
      <c r="BK795" s="11"/>
      <c r="BL795" s="11"/>
      <c r="BM795" s="11"/>
      <c r="BN795" t="s" s="10">
        <v>69</v>
      </c>
      <c r="BO795" s="12"/>
      <c r="BP795" s="8"/>
    </row>
    <row r="796" ht="13.55" customHeight="1">
      <c r="A796" t="s" s="13">
        <v>3098</v>
      </c>
      <c r="B796" s="14"/>
      <c r="C796" t="str" s="14" cm="1">
        <f t="array" ref="C796">_xlfn.IFERROR((VLOOKUP(A796,#REF!,2,FALSE)),"")</f>
      </c>
      <c r="D796" s="14"/>
      <c r="E796" t="s" s="15">
        <v>3099</v>
      </c>
      <c r="F796" s="14"/>
      <c r="G796" t="s" s="15">
        <v>3100</v>
      </c>
      <c r="H796" t="s" s="15">
        <v>3100</v>
      </c>
      <c r="I796" t="s" s="15">
        <v>111</v>
      </c>
      <c r="J796" t="s" s="15">
        <v>122</v>
      </c>
      <c r="K796" t="s" s="15">
        <v>113</v>
      </c>
      <c r="L796" t="s" s="15">
        <v>76</v>
      </c>
      <c r="M796" t="s" s="15">
        <v>3101</v>
      </c>
      <c r="N796" t="s" s="15">
        <v>3101</v>
      </c>
      <c r="O796" s="14"/>
      <c r="P796" t="s" s="15">
        <v>122</v>
      </c>
      <c r="Q796" t="s" s="15">
        <v>69</v>
      </c>
      <c r="R796" t="s" s="15">
        <v>123</v>
      </c>
      <c r="S796" s="14"/>
      <c r="T796" s="14"/>
      <c r="U796" s="14"/>
      <c r="V796" t="s" s="15">
        <v>69</v>
      </c>
      <c r="W796" s="14"/>
      <c r="X796" t="s" s="15">
        <v>69</v>
      </c>
      <c r="Y796" s="14"/>
      <c r="Z796" t="s" s="15">
        <v>76</v>
      </c>
      <c r="AA796" s="14"/>
      <c r="AB796" t="s" s="15">
        <v>76</v>
      </c>
      <c r="AC796" t="s" s="15">
        <v>3098</v>
      </c>
      <c r="AD796" t="s" s="15">
        <v>3102</v>
      </c>
      <c r="AE796" s="14"/>
      <c r="AF796" t="s" s="15">
        <v>76</v>
      </c>
      <c r="AG796" t="s" s="15">
        <v>299</v>
      </c>
      <c r="AH796" t="s" s="15">
        <v>114</v>
      </c>
      <c r="AI796" t="s" s="15">
        <v>332</v>
      </c>
      <c r="AJ796" t="s" s="15">
        <v>798</v>
      </c>
      <c r="AK796" t="s" s="15">
        <v>83</v>
      </c>
      <c r="AL796" t="s" s="15">
        <v>293</v>
      </c>
      <c r="AM796" t="s" s="15">
        <v>294</v>
      </c>
      <c r="AN796" t="s" s="15">
        <v>116</v>
      </c>
      <c r="AO796" s="17">
        <v>8</v>
      </c>
      <c r="AP796" s="17">
        <v>8192</v>
      </c>
      <c r="AQ796" s="17">
        <v>315499</v>
      </c>
      <c r="AR796" s="17">
        <v>315499</v>
      </c>
      <c r="AS796" t="s" s="15">
        <v>3103</v>
      </c>
      <c r="AT796" t="s" s="15">
        <v>301</v>
      </c>
      <c r="AU796" s="14"/>
      <c r="AV796" s="14"/>
      <c r="AW796" s="14"/>
      <c r="AX796" s="14"/>
      <c r="AY796" s="14"/>
      <c r="AZ796" s="14"/>
      <c r="BA796" s="14"/>
      <c r="BB796" s="14"/>
      <c r="BC796" s="14"/>
      <c r="BD796" t="s" s="15">
        <v>310</v>
      </c>
      <c r="BE796" t="s" s="15">
        <v>311</v>
      </c>
      <c r="BF796" s="17">
        <v>8</v>
      </c>
      <c r="BG796" s="17">
        <v>16</v>
      </c>
      <c r="BH796" s="14"/>
      <c r="BI796" s="14"/>
      <c r="BJ796" s="14"/>
      <c r="BK796" s="14"/>
      <c r="BL796" s="14"/>
      <c r="BM796" s="14"/>
      <c r="BN796" t="s" s="15">
        <v>69</v>
      </c>
      <c r="BO796" s="16"/>
      <c r="BP796" s="8"/>
    </row>
    <row r="797" ht="9" customHeight="1" hidden="1">
      <c r="A797" t="s" s="9">
        <v>3104</v>
      </c>
      <c r="B797" s="11"/>
      <c r="C797" t="str" s="11" cm="1">
        <f t="array" ref="C797">_xlfn.IFERROR((VLOOKUP(A797,#REF!,2,FALSE)),"")</f>
      </c>
      <c r="D797" s="11"/>
      <c r="E797" s="11"/>
      <c r="F797" s="11"/>
      <c r="G797" t="s" s="10">
        <v>3105</v>
      </c>
      <c r="H797" t="s" s="10">
        <v>3106</v>
      </c>
      <c r="I797" t="s" s="10">
        <v>111</v>
      </c>
      <c r="J797" t="s" s="10">
        <v>122</v>
      </c>
      <c r="K797" t="s" s="10">
        <v>113</v>
      </c>
      <c r="L797" t="s" s="10">
        <v>76</v>
      </c>
      <c r="M797" t="s" s="10">
        <v>3105</v>
      </c>
      <c r="N797" t="s" s="10">
        <v>3105</v>
      </c>
      <c r="O797" s="11"/>
      <c r="P797" t="s" s="10">
        <v>122</v>
      </c>
      <c r="Q797" t="s" s="10">
        <v>69</v>
      </c>
      <c r="R797" t="s" s="10">
        <v>123</v>
      </c>
      <c r="S797" s="11"/>
      <c r="T797" s="11"/>
      <c r="U797" s="11"/>
      <c r="V797" t="s" s="10">
        <v>69</v>
      </c>
      <c r="W797" s="11"/>
      <c r="X797" t="s" s="10">
        <v>69</v>
      </c>
      <c r="Y797" s="11"/>
      <c r="Z797" t="s" s="10">
        <v>76</v>
      </c>
      <c r="AA797" s="11"/>
      <c r="AB797" t="s" s="10">
        <v>76</v>
      </c>
      <c r="AC797" t="s" s="10">
        <v>3104</v>
      </c>
      <c r="AD797" t="s" s="10">
        <v>3107</v>
      </c>
      <c r="AE797" s="11"/>
      <c r="AF797" s="11"/>
      <c r="AG797" t="s" s="10">
        <v>299</v>
      </c>
      <c r="AH797" t="s" s="10">
        <v>106</v>
      </c>
      <c r="AI797" t="s" s="10">
        <v>76</v>
      </c>
      <c r="AJ797" t="s" s="10">
        <v>76</v>
      </c>
      <c r="AK797" t="s" s="10">
        <v>79</v>
      </c>
      <c r="AL797" t="s" s="10">
        <v>293</v>
      </c>
      <c r="AM797" t="s" s="10">
        <v>294</v>
      </c>
      <c r="AN797" t="s" s="10">
        <v>116</v>
      </c>
      <c r="AO797" s="18">
        <v>4</v>
      </c>
      <c r="AP797" s="18">
        <v>8192</v>
      </c>
      <c r="AQ797" s="18">
        <v>161923</v>
      </c>
      <c r="AR797" s="18">
        <v>161923</v>
      </c>
      <c r="AS797" t="s" s="10">
        <v>3108</v>
      </c>
      <c r="AT797" t="s" s="10">
        <v>301</v>
      </c>
      <c r="AU797" s="11"/>
      <c r="AV797" s="11"/>
      <c r="AW797" s="11"/>
      <c r="AX797" s="11"/>
      <c r="AY797" s="11"/>
      <c r="AZ797" s="11"/>
      <c r="BA797" s="11"/>
      <c r="BB797" s="11"/>
      <c r="BC797" s="11"/>
      <c r="BD797" t="s" s="10">
        <v>310</v>
      </c>
      <c r="BE797" t="s" s="10">
        <v>356</v>
      </c>
      <c r="BF797" s="11"/>
      <c r="BG797" s="11"/>
      <c r="BH797" s="11"/>
      <c r="BI797" s="11"/>
      <c r="BJ797" s="11"/>
      <c r="BK797" s="11"/>
      <c r="BL797" s="11"/>
      <c r="BM797" s="11"/>
      <c r="BN797" t="s" s="10">
        <v>69</v>
      </c>
      <c r="BO797" s="12"/>
      <c r="BP797" s="8"/>
    </row>
    <row r="798" ht="9" customHeight="1" hidden="1">
      <c r="A798" t="s" s="13">
        <v>3109</v>
      </c>
      <c r="B798" s="14"/>
      <c r="C798" t="str" s="14" cm="1">
        <f t="array" ref="C798">_xlfn.IFERROR((VLOOKUP(A798,#REF!,2,FALSE)),"")</f>
      </c>
      <c r="D798" s="14"/>
      <c r="E798" s="14"/>
      <c r="F798" s="14"/>
      <c r="G798" t="s" s="15">
        <v>3110</v>
      </c>
      <c r="H798" t="s" s="15">
        <v>3110</v>
      </c>
      <c r="I798" t="s" s="15">
        <v>111</v>
      </c>
      <c r="J798" t="s" s="15">
        <v>122</v>
      </c>
      <c r="K798" t="s" s="15">
        <v>113</v>
      </c>
      <c r="L798" t="s" s="15">
        <v>76</v>
      </c>
      <c r="M798" t="s" s="15">
        <v>3110</v>
      </c>
      <c r="N798" t="s" s="15">
        <v>3110</v>
      </c>
      <c r="O798" s="14"/>
      <c r="P798" t="s" s="15">
        <v>122</v>
      </c>
      <c r="Q798" t="s" s="15">
        <v>69</v>
      </c>
      <c r="R798" t="s" s="15">
        <v>123</v>
      </c>
      <c r="S798" s="14"/>
      <c r="T798" s="14"/>
      <c r="U798" s="14"/>
      <c r="V798" t="s" s="15">
        <v>69</v>
      </c>
      <c r="W798" s="14"/>
      <c r="X798" t="s" s="15">
        <v>69</v>
      </c>
      <c r="Y798" s="14"/>
      <c r="Z798" t="s" s="15">
        <v>76</v>
      </c>
      <c r="AA798" s="14"/>
      <c r="AB798" t="s" s="15">
        <v>76</v>
      </c>
      <c r="AC798" t="s" s="15">
        <v>3109</v>
      </c>
      <c r="AD798" t="s" s="15">
        <v>3111</v>
      </c>
      <c r="AE798" s="14"/>
      <c r="AF798" s="14"/>
      <c r="AG798" t="s" s="15">
        <v>299</v>
      </c>
      <c r="AH798" t="s" s="15">
        <v>106</v>
      </c>
      <c r="AI798" t="s" s="15">
        <v>76</v>
      </c>
      <c r="AJ798" t="s" s="15">
        <v>76</v>
      </c>
      <c r="AK798" t="s" s="15">
        <v>79</v>
      </c>
      <c r="AL798" t="s" s="15">
        <v>293</v>
      </c>
      <c r="AM798" t="s" s="15">
        <v>294</v>
      </c>
      <c r="AN798" t="s" s="15">
        <v>116</v>
      </c>
      <c r="AO798" s="17">
        <v>4</v>
      </c>
      <c r="AP798" s="17">
        <v>8192</v>
      </c>
      <c r="AQ798" s="17">
        <v>161935</v>
      </c>
      <c r="AR798" s="17">
        <v>161935</v>
      </c>
      <c r="AS798" t="s" s="15">
        <v>3112</v>
      </c>
      <c r="AT798" t="s" s="15">
        <v>301</v>
      </c>
      <c r="AU798" s="14"/>
      <c r="AV798" s="14"/>
      <c r="AW798" s="14"/>
      <c r="AX798" s="14"/>
      <c r="AY798" s="14"/>
      <c r="AZ798" s="14"/>
      <c r="BA798" s="14"/>
      <c r="BB798" s="14"/>
      <c r="BC798" s="14"/>
      <c r="BD798" t="s" s="15">
        <v>310</v>
      </c>
      <c r="BE798" t="s" s="15">
        <v>356</v>
      </c>
      <c r="BF798" s="14"/>
      <c r="BG798" s="14"/>
      <c r="BH798" s="14"/>
      <c r="BI798" s="14"/>
      <c r="BJ798" s="14"/>
      <c r="BK798" s="14"/>
      <c r="BL798" s="14"/>
      <c r="BM798" s="14"/>
      <c r="BN798" t="s" s="15">
        <v>69</v>
      </c>
      <c r="BO798" s="16"/>
      <c r="BP798" s="8"/>
    </row>
    <row r="799" ht="9" customHeight="1" hidden="1">
      <c r="A799" t="s" s="9">
        <v>3113</v>
      </c>
      <c r="B799" s="11"/>
      <c r="C799" t="str" s="11" cm="1">
        <f t="array" ref="C799">_xlfn.IFERROR((VLOOKUP(A799,#REF!,2,FALSE)),"")</f>
      </c>
      <c r="D799" s="11"/>
      <c r="E799" s="11"/>
      <c r="F799" s="11"/>
      <c r="G799" t="s" s="10">
        <v>3114</v>
      </c>
      <c r="H799" t="s" s="10">
        <v>3114</v>
      </c>
      <c r="I799" t="s" s="10">
        <v>111</v>
      </c>
      <c r="J799" t="s" s="10">
        <v>122</v>
      </c>
      <c r="K799" t="s" s="10">
        <v>113</v>
      </c>
      <c r="L799" t="s" s="10">
        <v>2097</v>
      </c>
      <c r="M799" t="s" s="10">
        <v>3114</v>
      </c>
      <c r="N799" t="s" s="10">
        <v>3114</v>
      </c>
      <c r="O799" s="11"/>
      <c r="P799" t="s" s="10">
        <v>122</v>
      </c>
      <c r="Q799" t="s" s="10">
        <v>69</v>
      </c>
      <c r="R799" t="s" s="10">
        <v>83</v>
      </c>
      <c r="S799" s="11"/>
      <c r="T799" s="11"/>
      <c r="U799" s="11"/>
      <c r="V799" t="s" s="10">
        <v>69</v>
      </c>
      <c r="W799" s="11"/>
      <c r="X799" t="s" s="10">
        <v>69</v>
      </c>
      <c r="Y799" s="11"/>
      <c r="Z799" t="s" s="10">
        <v>205</v>
      </c>
      <c r="AA799" s="11"/>
      <c r="AB799" t="s" s="10">
        <v>2098</v>
      </c>
      <c r="AC799" t="s" s="10">
        <v>3113</v>
      </c>
      <c r="AD799" s="11"/>
      <c r="AE799" s="11"/>
      <c r="AF799" s="11"/>
      <c r="AG799" t="s" s="10">
        <v>299</v>
      </c>
      <c r="AH799" t="s" s="10">
        <v>106</v>
      </c>
      <c r="AI799" t="s" s="10">
        <v>76</v>
      </c>
      <c r="AJ799" t="s" s="10">
        <v>76</v>
      </c>
      <c r="AK799" t="s" s="10">
        <v>79</v>
      </c>
      <c r="AL799" t="s" s="10">
        <v>293</v>
      </c>
      <c r="AM799" t="s" s="10">
        <v>294</v>
      </c>
      <c r="AN799" t="s" s="10">
        <v>128</v>
      </c>
      <c r="AO799" s="18">
        <v>4</v>
      </c>
      <c r="AP799" s="18">
        <v>8192</v>
      </c>
      <c r="AQ799" s="18">
        <v>196462</v>
      </c>
      <c r="AR799" s="18">
        <v>121987</v>
      </c>
      <c r="AS799" t="s" s="10">
        <v>3115</v>
      </c>
      <c r="AT799" s="11"/>
      <c r="AU799" s="11"/>
      <c r="AV799" s="11"/>
      <c r="AW799" s="11"/>
      <c r="AX799" s="11"/>
      <c r="AY799" s="11"/>
      <c r="AZ799" s="11"/>
      <c r="BA799" s="11"/>
      <c r="BB799" s="11"/>
      <c r="BC799" s="11"/>
      <c r="BD799" t="s" s="10">
        <v>310</v>
      </c>
      <c r="BE799" t="s" s="10">
        <v>356</v>
      </c>
      <c r="BF799" s="11"/>
      <c r="BG799" s="11"/>
      <c r="BH799" s="11"/>
      <c r="BI799" s="11"/>
      <c r="BJ799" s="11"/>
      <c r="BK799" s="11"/>
      <c r="BL799" s="11"/>
      <c r="BM799" s="11"/>
      <c r="BN799" t="s" s="10">
        <v>69</v>
      </c>
      <c r="BO799" s="12"/>
      <c r="BP799" s="8"/>
    </row>
    <row r="800" ht="9" customHeight="1" hidden="1">
      <c r="A800" t="s" s="13">
        <v>3116</v>
      </c>
      <c r="B800" s="14"/>
      <c r="C800" t="str" s="14" cm="1">
        <f t="array" ref="C800">_xlfn.IFERROR((VLOOKUP(A800,#REF!,2,FALSE)),"")</f>
      </c>
      <c r="D800" s="14"/>
      <c r="E800" s="14"/>
      <c r="F800" s="14"/>
      <c r="G800" t="s" s="15">
        <v>3117</v>
      </c>
      <c r="H800" t="s" s="15">
        <v>3117</v>
      </c>
      <c r="I800" t="s" s="15">
        <v>111</v>
      </c>
      <c r="J800" t="s" s="15">
        <v>122</v>
      </c>
      <c r="K800" t="s" s="15">
        <v>113</v>
      </c>
      <c r="L800" t="s" s="15">
        <v>2097</v>
      </c>
      <c r="M800" t="s" s="15">
        <v>3117</v>
      </c>
      <c r="N800" t="s" s="15">
        <v>3117</v>
      </c>
      <c r="O800" s="14"/>
      <c r="P800" t="s" s="15">
        <v>122</v>
      </c>
      <c r="Q800" t="s" s="15">
        <v>69</v>
      </c>
      <c r="R800" t="s" s="15">
        <v>83</v>
      </c>
      <c r="S800" s="14"/>
      <c r="T800" s="14"/>
      <c r="U800" s="14"/>
      <c r="V800" t="s" s="15">
        <v>69</v>
      </c>
      <c r="W800" s="14"/>
      <c r="X800" t="s" s="15">
        <v>69</v>
      </c>
      <c r="Y800" s="14"/>
      <c r="Z800" t="s" s="15">
        <v>205</v>
      </c>
      <c r="AA800" s="14"/>
      <c r="AB800" t="s" s="15">
        <v>2098</v>
      </c>
      <c r="AC800" t="s" s="15">
        <v>3116</v>
      </c>
      <c r="AD800" s="14"/>
      <c r="AE800" s="14"/>
      <c r="AF800" s="14"/>
      <c r="AG800" t="s" s="15">
        <v>299</v>
      </c>
      <c r="AH800" t="s" s="15">
        <v>106</v>
      </c>
      <c r="AI800" t="s" s="15">
        <v>76</v>
      </c>
      <c r="AJ800" t="s" s="15">
        <v>76</v>
      </c>
      <c r="AK800" t="s" s="15">
        <v>79</v>
      </c>
      <c r="AL800" t="s" s="15">
        <v>293</v>
      </c>
      <c r="AM800" t="s" s="15">
        <v>294</v>
      </c>
      <c r="AN800" t="s" s="15">
        <v>128</v>
      </c>
      <c r="AO800" s="17">
        <v>4</v>
      </c>
      <c r="AP800" s="17">
        <v>8192</v>
      </c>
      <c r="AQ800" s="17">
        <v>102422</v>
      </c>
      <c r="AR800" s="17">
        <v>57514</v>
      </c>
      <c r="AS800" t="s" s="15">
        <v>3118</v>
      </c>
      <c r="AT800" s="14"/>
      <c r="AU800" s="14"/>
      <c r="AV800" s="14"/>
      <c r="AW800" s="14"/>
      <c r="AX800" s="14"/>
      <c r="AY800" s="14"/>
      <c r="AZ800" s="14"/>
      <c r="BA800" s="14"/>
      <c r="BB800" s="14"/>
      <c r="BC800" s="14"/>
      <c r="BD800" t="s" s="15">
        <v>310</v>
      </c>
      <c r="BE800" t="s" s="15">
        <v>356</v>
      </c>
      <c r="BF800" s="14"/>
      <c r="BG800" s="14"/>
      <c r="BH800" s="14"/>
      <c r="BI800" s="14"/>
      <c r="BJ800" s="14"/>
      <c r="BK800" s="14"/>
      <c r="BL800" s="14"/>
      <c r="BM800" s="14"/>
      <c r="BN800" t="s" s="15">
        <v>69</v>
      </c>
      <c r="BO800" s="16"/>
      <c r="BP800" s="8"/>
    </row>
    <row r="801" ht="9" customHeight="1" hidden="1">
      <c r="A801" t="s" s="9">
        <v>3119</v>
      </c>
      <c r="B801" s="11"/>
      <c r="C801" t="str" s="11" cm="1">
        <f t="array" ref="C801">_xlfn.IFERROR((VLOOKUP(A801,#REF!,2,FALSE)),"")</f>
      </c>
      <c r="D801" s="11"/>
      <c r="E801" s="11"/>
      <c r="F801" s="11"/>
      <c r="G801" t="s" s="10">
        <v>3120</v>
      </c>
      <c r="H801" t="s" s="10">
        <v>3120</v>
      </c>
      <c r="I801" t="s" s="10">
        <v>111</v>
      </c>
      <c r="J801" t="s" s="10">
        <v>122</v>
      </c>
      <c r="K801" t="s" s="10">
        <v>113</v>
      </c>
      <c r="L801" t="s" s="10">
        <v>2097</v>
      </c>
      <c r="M801" t="s" s="10">
        <v>3120</v>
      </c>
      <c r="N801" t="s" s="10">
        <v>3120</v>
      </c>
      <c r="O801" s="11"/>
      <c r="P801" t="s" s="10">
        <v>122</v>
      </c>
      <c r="Q801" t="s" s="10">
        <v>69</v>
      </c>
      <c r="R801" t="s" s="10">
        <v>83</v>
      </c>
      <c r="S801" s="11"/>
      <c r="T801" s="11"/>
      <c r="U801" s="11"/>
      <c r="V801" t="s" s="10">
        <v>69</v>
      </c>
      <c r="W801" s="11"/>
      <c r="X801" t="s" s="10">
        <v>69</v>
      </c>
      <c r="Y801" s="11"/>
      <c r="Z801" t="s" s="10">
        <v>205</v>
      </c>
      <c r="AA801" s="11"/>
      <c r="AB801" t="s" s="10">
        <v>2098</v>
      </c>
      <c r="AC801" t="s" s="10">
        <v>3119</v>
      </c>
      <c r="AD801" s="11"/>
      <c r="AE801" s="11"/>
      <c r="AF801" s="11"/>
      <c r="AG801" t="s" s="10">
        <v>299</v>
      </c>
      <c r="AH801" t="s" s="10">
        <v>106</v>
      </c>
      <c r="AI801" t="s" s="10">
        <v>76</v>
      </c>
      <c r="AJ801" t="s" s="10">
        <v>76</v>
      </c>
      <c r="AK801" t="s" s="10">
        <v>79</v>
      </c>
      <c r="AL801" t="s" s="10">
        <v>293</v>
      </c>
      <c r="AM801" t="s" s="10">
        <v>294</v>
      </c>
      <c r="AN801" t="s" s="10">
        <v>128</v>
      </c>
      <c r="AO801" s="18">
        <v>4</v>
      </c>
      <c r="AP801" s="18">
        <v>8192</v>
      </c>
      <c r="AQ801" s="18">
        <v>102422</v>
      </c>
      <c r="AR801" s="18">
        <v>65130</v>
      </c>
      <c r="AS801" t="s" s="10">
        <v>3121</v>
      </c>
      <c r="AT801" s="11"/>
      <c r="AU801" s="11"/>
      <c r="AV801" s="11"/>
      <c r="AW801" s="11"/>
      <c r="AX801" s="11"/>
      <c r="AY801" s="11"/>
      <c r="AZ801" s="11"/>
      <c r="BA801" s="11"/>
      <c r="BB801" s="11"/>
      <c r="BC801" s="11"/>
      <c r="BD801" t="s" s="10">
        <v>366</v>
      </c>
      <c r="BE801" t="s" s="25">
        <v>489</v>
      </c>
      <c r="BF801" s="23"/>
      <c r="BG801" s="23"/>
      <c r="BH801" s="11"/>
      <c r="BI801" s="11"/>
      <c r="BJ801" s="11"/>
      <c r="BK801" s="11"/>
      <c r="BL801" s="11"/>
      <c r="BM801" s="11"/>
      <c r="BN801" t="s" s="10">
        <v>69</v>
      </c>
      <c r="BO801" s="12"/>
      <c r="BP801" s="8"/>
    </row>
    <row r="802" ht="9" customHeight="1" hidden="1">
      <c r="A802" t="s" s="13">
        <v>3122</v>
      </c>
      <c r="B802" s="14"/>
      <c r="C802" t="str" s="14" cm="1">
        <f t="array" ref="C802">_xlfn.IFERROR((VLOOKUP(A802,#REF!,2,FALSE)),"")</f>
      </c>
      <c r="D802" s="14"/>
      <c r="E802" s="14"/>
      <c r="F802" s="14"/>
      <c r="G802" t="s" s="15">
        <v>3123</v>
      </c>
      <c r="H802" t="s" s="15">
        <v>3123</v>
      </c>
      <c r="I802" t="s" s="15">
        <v>111</v>
      </c>
      <c r="J802" t="s" s="15">
        <v>122</v>
      </c>
      <c r="K802" t="s" s="15">
        <v>113</v>
      </c>
      <c r="L802" t="s" s="15">
        <v>2097</v>
      </c>
      <c r="M802" t="s" s="15">
        <v>3124</v>
      </c>
      <c r="N802" t="s" s="15">
        <v>3124</v>
      </c>
      <c r="O802" s="14"/>
      <c r="P802" t="s" s="15">
        <v>122</v>
      </c>
      <c r="Q802" t="s" s="15">
        <v>69</v>
      </c>
      <c r="R802" t="s" s="15">
        <v>83</v>
      </c>
      <c r="S802" s="14"/>
      <c r="T802" s="14"/>
      <c r="U802" s="14"/>
      <c r="V802" t="s" s="15">
        <v>69</v>
      </c>
      <c r="W802" s="14"/>
      <c r="X802" t="s" s="15">
        <v>69</v>
      </c>
      <c r="Y802" s="14"/>
      <c r="Z802" t="s" s="15">
        <v>205</v>
      </c>
      <c r="AA802" s="14"/>
      <c r="AB802" t="s" s="15">
        <v>2098</v>
      </c>
      <c r="AC802" t="s" s="15">
        <v>3122</v>
      </c>
      <c r="AD802" s="14"/>
      <c r="AE802" s="14"/>
      <c r="AF802" s="14"/>
      <c r="AG802" t="s" s="15">
        <v>299</v>
      </c>
      <c r="AH802" t="s" s="15">
        <v>106</v>
      </c>
      <c r="AI802" t="s" s="15">
        <v>76</v>
      </c>
      <c r="AJ802" t="s" s="15">
        <v>76</v>
      </c>
      <c r="AK802" t="s" s="15">
        <v>79</v>
      </c>
      <c r="AL802" t="s" s="15">
        <v>293</v>
      </c>
      <c r="AM802" t="s" s="15">
        <v>294</v>
      </c>
      <c r="AN802" t="s" s="15">
        <v>128</v>
      </c>
      <c r="AO802" s="17">
        <v>8</v>
      </c>
      <c r="AP802" s="17">
        <v>32768</v>
      </c>
      <c r="AQ802" s="17">
        <v>249656</v>
      </c>
      <c r="AR802" s="17">
        <v>185198</v>
      </c>
      <c r="AS802" t="s" s="15">
        <v>3125</v>
      </c>
      <c r="AT802" s="14"/>
      <c r="AU802" s="14"/>
      <c r="AV802" s="14"/>
      <c r="AW802" s="14"/>
      <c r="AX802" s="14"/>
      <c r="AY802" s="14"/>
      <c r="AZ802" s="14"/>
      <c r="BA802" s="14"/>
      <c r="BB802" s="14"/>
      <c r="BC802" s="14"/>
      <c r="BD802" t="s" s="15">
        <v>366</v>
      </c>
      <c r="BE802" t="s" s="15">
        <v>394</v>
      </c>
      <c r="BF802" s="14"/>
      <c r="BG802" s="14"/>
      <c r="BH802" s="14"/>
      <c r="BI802" s="14"/>
      <c r="BJ802" s="14"/>
      <c r="BK802" s="14"/>
      <c r="BL802" s="14"/>
      <c r="BM802" s="14"/>
      <c r="BN802" t="s" s="15">
        <v>78</v>
      </c>
      <c r="BO802" s="16"/>
      <c r="BP802" s="8"/>
    </row>
    <row r="803" ht="9" customHeight="1" hidden="1">
      <c r="A803" t="s" s="9">
        <v>3126</v>
      </c>
      <c r="B803" s="11"/>
      <c r="C803" t="str" s="11" cm="1">
        <f t="array" ref="C803">_xlfn.IFERROR((VLOOKUP(A803,#REF!,2,FALSE)),"")</f>
      </c>
      <c r="D803" s="11"/>
      <c r="E803" s="11"/>
      <c r="F803" s="11"/>
      <c r="G803" t="s" s="10">
        <v>3127</v>
      </c>
      <c r="H803" t="s" s="10">
        <v>3128</v>
      </c>
      <c r="I803" t="s" s="10">
        <v>111</v>
      </c>
      <c r="J803" t="s" s="10">
        <v>112</v>
      </c>
      <c r="K803" t="s" s="10">
        <v>210</v>
      </c>
      <c r="L803" t="s" s="10">
        <v>2097</v>
      </c>
      <c r="M803" t="s" s="10">
        <v>3127</v>
      </c>
      <c r="N803" t="s" s="10">
        <v>3127</v>
      </c>
      <c r="O803" s="11"/>
      <c r="P803" t="s" s="10">
        <v>112</v>
      </c>
      <c r="Q803" t="s" s="10">
        <v>69</v>
      </c>
      <c r="R803" t="s" s="10">
        <v>323</v>
      </c>
      <c r="S803" s="11"/>
      <c r="T803" s="11"/>
      <c r="U803" s="11"/>
      <c r="V803" t="s" s="10">
        <v>69</v>
      </c>
      <c r="W803" s="11"/>
      <c r="X803" t="s" s="10">
        <v>69</v>
      </c>
      <c r="Y803" s="11"/>
      <c r="Z803" t="s" s="10">
        <v>205</v>
      </c>
      <c r="AA803" s="11"/>
      <c r="AB803" t="s" s="10">
        <v>2098</v>
      </c>
      <c r="AC803" t="s" s="10">
        <v>3126</v>
      </c>
      <c r="AD803" s="11"/>
      <c r="AE803" s="11"/>
      <c r="AF803" s="11"/>
      <c r="AG803" t="s" s="10">
        <v>299</v>
      </c>
      <c r="AH803" t="s" s="10">
        <v>114</v>
      </c>
      <c r="AI803" t="s" s="10">
        <v>440</v>
      </c>
      <c r="AJ803" s="11"/>
      <c r="AK803" t="s" s="10">
        <v>83</v>
      </c>
      <c r="AL803" t="s" s="10">
        <v>293</v>
      </c>
      <c r="AM803" t="s" s="10">
        <v>294</v>
      </c>
      <c r="AN803" t="s" s="10">
        <v>116</v>
      </c>
      <c r="AO803" s="18">
        <v>8</v>
      </c>
      <c r="AP803" s="18">
        <v>32768</v>
      </c>
      <c r="AQ803" s="18">
        <v>251581</v>
      </c>
      <c r="AR803" s="18">
        <v>154544</v>
      </c>
      <c r="AS803" t="s" s="10">
        <v>3129</v>
      </c>
      <c r="AT803" s="11"/>
      <c r="AU803" s="11"/>
      <c r="AV803" s="11"/>
      <c r="AW803" s="11"/>
      <c r="AX803" s="11"/>
      <c r="AY803" s="11"/>
      <c r="AZ803" s="11"/>
      <c r="BA803" s="11"/>
      <c r="BB803" s="11"/>
      <c r="BC803" s="11"/>
      <c r="BD803" t="s" s="10">
        <v>366</v>
      </c>
      <c r="BE803" t="s" s="10">
        <v>367</v>
      </c>
      <c r="BF803" s="18">
        <v>8</v>
      </c>
      <c r="BG803" s="18">
        <v>32</v>
      </c>
      <c r="BH803" s="11"/>
      <c r="BI803" s="11"/>
      <c r="BJ803" s="11"/>
      <c r="BK803" s="11"/>
      <c r="BL803" s="11"/>
      <c r="BM803" s="11"/>
      <c r="BN803" t="s" s="10">
        <v>78</v>
      </c>
      <c r="BO803" s="12"/>
      <c r="BP803" s="8"/>
    </row>
    <row r="804" ht="9" customHeight="1" hidden="1">
      <c r="A804" t="s" s="13">
        <v>3130</v>
      </c>
      <c r="B804" s="14"/>
      <c r="C804" t="str" s="14" cm="1">
        <f t="array" ref="C804">_xlfn.IFERROR((VLOOKUP(A804,#REF!,2,FALSE)),"")</f>
      </c>
      <c r="D804" s="14"/>
      <c r="E804" s="14"/>
      <c r="F804" s="14"/>
      <c r="G804" t="s" s="15">
        <v>3131</v>
      </c>
      <c r="H804" t="s" s="15">
        <v>3128</v>
      </c>
      <c r="I804" t="s" s="15">
        <v>111</v>
      </c>
      <c r="J804" t="s" s="15">
        <v>112</v>
      </c>
      <c r="K804" t="s" s="15">
        <v>210</v>
      </c>
      <c r="L804" t="s" s="15">
        <v>2097</v>
      </c>
      <c r="M804" t="s" s="15">
        <v>3131</v>
      </c>
      <c r="N804" t="s" s="15">
        <v>3131</v>
      </c>
      <c r="O804" s="14"/>
      <c r="P804" t="s" s="15">
        <v>112</v>
      </c>
      <c r="Q804" t="s" s="15">
        <v>69</v>
      </c>
      <c r="R804" t="s" s="15">
        <v>323</v>
      </c>
      <c r="S804" s="14"/>
      <c r="T804" s="14"/>
      <c r="U804" s="14"/>
      <c r="V804" t="s" s="15">
        <v>69</v>
      </c>
      <c r="W804" s="14"/>
      <c r="X804" t="s" s="15">
        <v>69</v>
      </c>
      <c r="Y804" s="14"/>
      <c r="Z804" t="s" s="15">
        <v>205</v>
      </c>
      <c r="AA804" s="14"/>
      <c r="AB804" t="s" s="15">
        <v>2098</v>
      </c>
      <c r="AC804" t="s" s="15">
        <v>3130</v>
      </c>
      <c r="AD804" s="14"/>
      <c r="AE804" s="14"/>
      <c r="AF804" s="14"/>
      <c r="AG804" t="s" s="15">
        <v>299</v>
      </c>
      <c r="AH804" t="s" s="15">
        <v>114</v>
      </c>
      <c r="AI804" t="s" s="15">
        <v>440</v>
      </c>
      <c r="AJ804" s="14"/>
      <c r="AK804" t="s" s="15">
        <v>83</v>
      </c>
      <c r="AL804" t="s" s="15">
        <v>293</v>
      </c>
      <c r="AM804" t="s" s="15">
        <v>294</v>
      </c>
      <c r="AN804" t="s" s="15">
        <v>116</v>
      </c>
      <c r="AO804" s="17">
        <v>8</v>
      </c>
      <c r="AP804" s="17">
        <v>32768</v>
      </c>
      <c r="AQ804" s="17">
        <v>220473</v>
      </c>
      <c r="AR804" s="17">
        <v>142066</v>
      </c>
      <c r="AS804" t="s" s="15">
        <v>3132</v>
      </c>
      <c r="AT804" s="14"/>
      <c r="AU804" s="14"/>
      <c r="AV804" s="14"/>
      <c r="AW804" s="14"/>
      <c r="AX804" s="14"/>
      <c r="AY804" s="14"/>
      <c r="AZ804" s="14"/>
      <c r="BA804" s="14"/>
      <c r="BB804" s="14"/>
      <c r="BC804" s="14"/>
      <c r="BD804" t="s" s="15">
        <v>366</v>
      </c>
      <c r="BE804" t="s" s="15">
        <v>367</v>
      </c>
      <c r="BF804" s="17">
        <v>8</v>
      </c>
      <c r="BG804" s="17">
        <v>32</v>
      </c>
      <c r="BH804" s="14"/>
      <c r="BI804" s="14"/>
      <c r="BJ804" s="14"/>
      <c r="BK804" s="14"/>
      <c r="BL804" s="14"/>
      <c r="BM804" s="14"/>
      <c r="BN804" t="s" s="15">
        <v>78</v>
      </c>
      <c r="BO804" s="16"/>
      <c r="BP804" s="8"/>
    </row>
    <row r="805" ht="9" customHeight="1" hidden="1">
      <c r="A805" t="s" s="9">
        <v>3133</v>
      </c>
      <c r="B805" s="11"/>
      <c r="C805" t="str" s="11" cm="1">
        <f t="array" ref="C805">_xlfn.IFERROR((VLOOKUP(A805,#REF!,2,FALSE)),"")</f>
      </c>
      <c r="D805" s="11"/>
      <c r="E805" t="s" s="10">
        <v>3134</v>
      </c>
      <c r="F805" s="11"/>
      <c r="G805" t="s" s="10">
        <v>3135</v>
      </c>
      <c r="H805" t="s" s="10">
        <v>3135</v>
      </c>
      <c r="I805" t="s" s="10">
        <v>111</v>
      </c>
      <c r="J805" t="s" s="10">
        <v>122</v>
      </c>
      <c r="K805" t="s" s="10">
        <v>210</v>
      </c>
      <c r="L805" t="s" s="10">
        <v>2097</v>
      </c>
      <c r="M805" s="11"/>
      <c r="N805" s="11"/>
      <c r="O805" t="s" s="10">
        <v>469</v>
      </c>
      <c r="P805" s="11"/>
      <c r="Q805" s="11"/>
      <c r="R805" t="s" s="10">
        <v>83</v>
      </c>
      <c r="S805" s="11"/>
      <c r="T805" s="11"/>
      <c r="U805" s="11"/>
      <c r="V805" s="11"/>
      <c r="W805" s="11"/>
      <c r="X805" s="11"/>
      <c r="Y805" s="11"/>
      <c r="Z805" t="s" s="10">
        <v>205</v>
      </c>
      <c r="AA805" s="11"/>
      <c r="AB805" t="s" s="10">
        <v>2098</v>
      </c>
      <c r="AC805" s="11"/>
      <c r="AD805" s="11"/>
      <c r="AE805" s="11"/>
      <c r="AF805" s="11"/>
      <c r="AG805" t="s" s="10">
        <v>299</v>
      </c>
      <c r="AH805" t="s" s="10">
        <v>106</v>
      </c>
      <c r="AI805" t="s" s="10">
        <v>76</v>
      </c>
      <c r="AJ805" t="s" s="10">
        <v>76</v>
      </c>
      <c r="AK805" t="s" s="10">
        <v>79</v>
      </c>
      <c r="AL805" t="s" s="10">
        <v>293</v>
      </c>
      <c r="AM805" t="s" s="10">
        <v>294</v>
      </c>
      <c r="AN805" t="s" s="10">
        <v>3136</v>
      </c>
      <c r="AO805" s="11"/>
      <c r="AP805" s="11"/>
      <c r="AQ805" s="11"/>
      <c r="AR805" s="11"/>
      <c r="AS805" t="s" s="10">
        <v>3137</v>
      </c>
      <c r="AT805" s="11"/>
      <c r="AU805" s="11"/>
      <c r="AV805" s="11"/>
      <c r="AW805" s="11"/>
      <c r="AX805" s="11"/>
      <c r="AY805" s="11"/>
      <c r="AZ805" s="11"/>
      <c r="BA805" s="11"/>
      <c r="BB805" s="11"/>
      <c r="BC805" s="11"/>
      <c r="BD805" t="s" s="10">
        <v>310</v>
      </c>
      <c r="BE805" t="s" s="10">
        <v>356</v>
      </c>
      <c r="BF805" s="11"/>
      <c r="BG805" s="11"/>
      <c r="BH805" s="11"/>
      <c r="BI805" s="11"/>
      <c r="BJ805" s="11"/>
      <c r="BK805" s="11"/>
      <c r="BL805" s="11"/>
      <c r="BM805" s="11"/>
      <c r="BN805" t="s" s="10">
        <v>78</v>
      </c>
      <c r="BO805" s="12"/>
      <c r="BP805" s="8"/>
    </row>
    <row r="806" ht="9" customHeight="1" hidden="1">
      <c r="A806" t="s" s="13">
        <v>3138</v>
      </c>
      <c r="B806" s="14"/>
      <c r="C806" t="str" s="14" cm="1">
        <f t="array" ref="C806">_xlfn.IFERROR((VLOOKUP(A806,#REF!,2,FALSE)),"")</f>
      </c>
      <c r="D806" s="14"/>
      <c r="E806" t="s" s="15">
        <v>3139</v>
      </c>
      <c r="F806" s="14"/>
      <c r="G806" t="s" s="15">
        <v>3140</v>
      </c>
      <c r="H806" t="s" s="15">
        <v>3141</v>
      </c>
      <c r="I806" t="s" s="15">
        <v>73</v>
      </c>
      <c r="J806" t="s" s="15">
        <v>74</v>
      </c>
      <c r="K806" t="s" s="15">
        <v>210</v>
      </c>
      <c r="L806" t="s" s="15">
        <v>76</v>
      </c>
      <c r="M806" t="s" s="15">
        <v>3142</v>
      </c>
      <c r="N806" t="s" s="15">
        <v>3142</v>
      </c>
      <c r="O806" t="s" s="15">
        <v>71</v>
      </c>
      <c r="P806" t="s" s="15">
        <v>112</v>
      </c>
      <c r="Q806" t="s" s="15">
        <v>69</v>
      </c>
      <c r="R806" t="s" s="15">
        <v>323</v>
      </c>
      <c r="S806" s="14"/>
      <c r="T806" s="14"/>
      <c r="U806" s="14"/>
      <c r="V806" t="s" s="15">
        <v>69</v>
      </c>
      <c r="W806" t="s" s="15">
        <v>3138</v>
      </c>
      <c r="X806" t="s" s="15">
        <v>69</v>
      </c>
      <c r="Y806" s="14"/>
      <c r="Z806" t="s" s="15">
        <v>76</v>
      </c>
      <c r="AA806" s="14"/>
      <c r="AB806" t="s" s="15">
        <v>76</v>
      </c>
      <c r="AC806" t="s" s="15">
        <v>3138</v>
      </c>
      <c r="AD806" t="s" s="15">
        <v>3143</v>
      </c>
      <c r="AE806" s="14"/>
      <c r="AF806" s="14"/>
      <c r="AG806" t="s" s="15">
        <v>299</v>
      </c>
      <c r="AH806" t="s" s="15">
        <v>114</v>
      </c>
      <c r="AI806" t="s" s="15">
        <v>76</v>
      </c>
      <c r="AJ806" t="s" s="15">
        <v>76</v>
      </c>
      <c r="AK806" t="s" s="15">
        <v>79</v>
      </c>
      <c r="AL806" t="s" s="15">
        <v>293</v>
      </c>
      <c r="AM806" t="s" s="15">
        <v>294</v>
      </c>
      <c r="AN806" t="s" s="15">
        <v>264</v>
      </c>
      <c r="AO806" s="17">
        <v>2</v>
      </c>
      <c r="AP806" s="17">
        <v>4096</v>
      </c>
      <c r="AQ806" s="17">
        <v>362578</v>
      </c>
      <c r="AR806" s="17">
        <v>354816</v>
      </c>
      <c r="AS806" t="s" s="15">
        <v>3144</v>
      </c>
      <c r="AT806" t="s" s="15">
        <v>301</v>
      </c>
      <c r="AU806" s="14"/>
      <c r="AV806" s="14"/>
      <c r="AW806" s="14"/>
      <c r="AX806" s="14"/>
      <c r="AY806" s="14"/>
      <c r="AZ806" s="14"/>
      <c r="BA806" s="14"/>
      <c r="BB806" s="14"/>
      <c r="BC806" s="14"/>
      <c r="BD806" t="s" s="15">
        <v>310</v>
      </c>
      <c r="BE806" t="s" s="15">
        <v>419</v>
      </c>
      <c r="BF806" s="17">
        <v>2</v>
      </c>
      <c r="BG806" s="17">
        <v>4</v>
      </c>
      <c r="BH806" s="14"/>
      <c r="BI806" s="14"/>
      <c r="BJ806" s="14"/>
      <c r="BK806" s="14"/>
      <c r="BL806" s="14"/>
      <c r="BM806" s="14"/>
      <c r="BN806" s="14"/>
      <c r="BO806" s="16"/>
      <c r="BP806" s="8"/>
    </row>
    <row r="807" ht="9" customHeight="1" hidden="1">
      <c r="A807" t="s" s="9">
        <v>3145</v>
      </c>
      <c r="B807" t="s" s="10">
        <v>69</v>
      </c>
      <c r="C807" t="str" s="11" cm="1">
        <f t="array" ref="C807">_xlfn.IFERROR((VLOOKUP(A807,#REF!,2,FALSE)),"")</f>
      </c>
      <c r="D807" s="11"/>
      <c r="E807" s="11"/>
      <c r="F807" s="11"/>
      <c r="G807" t="s" s="10">
        <v>3146</v>
      </c>
      <c r="H807" t="s" s="10">
        <v>3147</v>
      </c>
      <c r="I807" t="s" s="10">
        <v>271</v>
      </c>
      <c r="J807" t="s" s="10">
        <v>74</v>
      </c>
      <c r="K807" t="s" s="10">
        <v>210</v>
      </c>
      <c r="L807" t="s" s="10">
        <v>76</v>
      </c>
      <c r="M807" t="s" s="10">
        <v>3146</v>
      </c>
      <c r="N807" t="s" s="10">
        <v>3146</v>
      </c>
      <c r="O807" s="11"/>
      <c r="P807" t="s" s="10">
        <v>74</v>
      </c>
      <c r="Q807" t="s" s="10">
        <v>78</v>
      </c>
      <c r="R807" t="s" s="10">
        <v>83</v>
      </c>
      <c r="S807" s="11"/>
      <c r="T807" s="11"/>
      <c r="U807" s="11"/>
      <c r="V807" t="s" s="10">
        <v>78</v>
      </c>
      <c r="W807" s="11"/>
      <c r="X807" t="s" s="10">
        <v>69</v>
      </c>
      <c r="Y807" s="11"/>
      <c r="Z807" t="s" s="10">
        <v>76</v>
      </c>
      <c r="AA807" s="11"/>
      <c r="AB807" t="s" s="10">
        <v>76</v>
      </c>
      <c r="AC807" s="11"/>
      <c r="AD807" s="11"/>
      <c r="AE807" s="11"/>
      <c r="AF807" s="11"/>
      <c r="AG807" s="11"/>
      <c r="AH807" s="11"/>
      <c r="AI807" t="s" s="10">
        <v>76</v>
      </c>
      <c r="AJ807" t="s" s="10">
        <v>76</v>
      </c>
      <c r="AK807" t="s" s="10">
        <v>79</v>
      </c>
      <c r="AL807" s="11"/>
      <c r="AM807" s="11"/>
      <c r="AN807" s="11"/>
      <c r="AO807" s="11"/>
      <c r="AP807" s="11"/>
      <c r="AQ807" s="11"/>
      <c r="AR807" s="11"/>
      <c r="AS807" s="11"/>
      <c r="AT807" s="11"/>
      <c r="AU807" s="11"/>
      <c r="AV807" s="11"/>
      <c r="AW807" s="11"/>
      <c r="AX807" s="11"/>
      <c r="AY807" s="11"/>
      <c r="AZ807" s="11"/>
      <c r="BA807" s="11"/>
      <c r="BB807" s="11"/>
      <c r="BC807" s="11"/>
      <c r="BD807" t="s" s="10">
        <v>310</v>
      </c>
      <c r="BE807" t="s" s="10">
        <v>356</v>
      </c>
      <c r="BF807" s="11"/>
      <c r="BG807" s="11"/>
      <c r="BH807" s="11"/>
      <c r="BI807" s="11"/>
      <c r="BJ807" s="11"/>
      <c r="BK807" s="11"/>
      <c r="BL807" s="11"/>
      <c r="BM807" s="11"/>
      <c r="BN807" t="s" s="10">
        <v>78</v>
      </c>
      <c r="BO807" s="12"/>
      <c r="BP807" s="8"/>
    </row>
    <row r="808" ht="9" customHeight="1" hidden="1">
      <c r="A808" t="s" s="13">
        <v>3148</v>
      </c>
      <c r="B808" t="s" s="15">
        <v>69</v>
      </c>
      <c r="C808" t="str" s="14" cm="1">
        <f t="array" ref="C808">_xlfn.IFERROR((VLOOKUP(A808,#REF!,2,FALSE)),"")</f>
      </c>
      <c r="D808" s="14"/>
      <c r="E808" s="14"/>
      <c r="F808" s="14"/>
      <c r="G808" t="s" s="15">
        <v>3149</v>
      </c>
      <c r="H808" t="s" s="15">
        <v>3150</v>
      </c>
      <c r="I808" t="s" s="15">
        <v>271</v>
      </c>
      <c r="J808" t="s" s="15">
        <v>74</v>
      </c>
      <c r="K808" t="s" s="15">
        <v>113</v>
      </c>
      <c r="L808" t="s" s="15">
        <v>76</v>
      </c>
      <c r="M808" t="s" s="15">
        <v>3149</v>
      </c>
      <c r="N808" t="s" s="15">
        <v>3149</v>
      </c>
      <c r="O808" s="14"/>
      <c r="P808" t="s" s="15">
        <v>74</v>
      </c>
      <c r="Q808" t="s" s="15">
        <v>78</v>
      </c>
      <c r="R808" t="s" s="15">
        <v>83</v>
      </c>
      <c r="S808" s="14"/>
      <c r="T808" s="14"/>
      <c r="U808" s="14"/>
      <c r="V808" t="s" s="15">
        <v>78</v>
      </c>
      <c r="W808" s="14"/>
      <c r="X808" t="s" s="15">
        <v>69</v>
      </c>
      <c r="Y808" s="14"/>
      <c r="Z808" t="s" s="15">
        <v>76</v>
      </c>
      <c r="AA808" s="14"/>
      <c r="AB808" t="s" s="15">
        <v>76</v>
      </c>
      <c r="AC808" s="14"/>
      <c r="AD808" s="14"/>
      <c r="AE808" s="14"/>
      <c r="AF808" s="14"/>
      <c r="AG808" s="14"/>
      <c r="AH808" s="14"/>
      <c r="AI808" t="s" s="15">
        <v>76</v>
      </c>
      <c r="AJ808" t="s" s="15">
        <v>76</v>
      </c>
      <c r="AK808" t="s" s="15">
        <v>79</v>
      </c>
      <c r="AL808" s="14"/>
      <c r="AM808" s="14"/>
      <c r="AN808" s="14"/>
      <c r="AO808" s="14"/>
      <c r="AP808" s="14"/>
      <c r="AQ808" s="14"/>
      <c r="AR808" s="14"/>
      <c r="AS808" s="14"/>
      <c r="AT808" s="14"/>
      <c r="AU808" s="14"/>
      <c r="AV808" s="14"/>
      <c r="AW808" s="14"/>
      <c r="AX808" s="14"/>
      <c r="AY808" s="14"/>
      <c r="AZ808" s="14"/>
      <c r="BA808" s="14"/>
      <c r="BB808" s="14"/>
      <c r="BC808" s="14"/>
      <c r="BD808" t="s" s="15">
        <v>310</v>
      </c>
      <c r="BE808" t="s" s="15">
        <v>356</v>
      </c>
      <c r="BF808" s="14"/>
      <c r="BG808" s="14"/>
      <c r="BH808" s="14"/>
      <c r="BI808" s="14"/>
      <c r="BJ808" s="14"/>
      <c r="BK808" s="14"/>
      <c r="BL808" s="14"/>
      <c r="BM808" s="14"/>
      <c r="BN808" t="s" s="15">
        <v>78</v>
      </c>
      <c r="BO808" s="16"/>
      <c r="BP808" s="8"/>
    </row>
    <row r="809" ht="9" customHeight="1" hidden="1">
      <c r="A809" t="s" s="9">
        <v>3151</v>
      </c>
      <c r="B809" t="s" s="10">
        <v>69</v>
      </c>
      <c r="C809" t="str" s="11" cm="1">
        <f t="array" ref="C809">_xlfn.IFERROR((VLOOKUP(A809,#REF!,2,FALSE)),"")</f>
      </c>
      <c r="D809" s="11"/>
      <c r="E809" t="s" s="10">
        <v>543</v>
      </c>
      <c r="F809" s="11"/>
      <c r="G809" t="s" s="10">
        <v>3152</v>
      </c>
      <c r="H809" t="s" s="10">
        <v>3150</v>
      </c>
      <c r="I809" t="s" s="10">
        <v>73</v>
      </c>
      <c r="J809" t="s" s="10">
        <v>74</v>
      </c>
      <c r="K809" t="s" s="10">
        <v>113</v>
      </c>
      <c r="L809" t="s" s="10">
        <v>76</v>
      </c>
      <c r="M809" t="s" s="10">
        <v>3152</v>
      </c>
      <c r="N809" t="s" s="10">
        <v>3152</v>
      </c>
      <c r="O809" t="s" s="10">
        <v>71</v>
      </c>
      <c r="P809" t="s" s="10">
        <v>74</v>
      </c>
      <c r="Q809" t="s" s="10">
        <v>78</v>
      </c>
      <c r="R809" t="s" s="10">
        <v>71</v>
      </c>
      <c r="S809" s="11"/>
      <c r="T809" s="11"/>
      <c r="U809" s="11"/>
      <c r="V809" t="s" s="10">
        <v>78</v>
      </c>
      <c r="W809" t="s" s="10">
        <v>3151</v>
      </c>
      <c r="X809" t="s" s="10">
        <v>69</v>
      </c>
      <c r="Y809" s="11"/>
      <c r="Z809" t="s" s="10">
        <v>76</v>
      </c>
      <c r="AA809" s="11"/>
      <c r="AB809" t="s" s="10">
        <v>76</v>
      </c>
      <c r="AC809" s="11"/>
      <c r="AD809" s="11"/>
      <c r="AE809" s="11"/>
      <c r="AF809" s="11"/>
      <c r="AG809" s="11"/>
      <c r="AH809" t="s" s="10">
        <v>114</v>
      </c>
      <c r="AI809" t="s" s="10">
        <v>76</v>
      </c>
      <c r="AJ809" t="s" s="10">
        <v>76</v>
      </c>
      <c r="AK809" t="s" s="10">
        <v>79</v>
      </c>
      <c r="AL809" s="11"/>
      <c r="AM809" s="11"/>
      <c r="AN809" s="11"/>
      <c r="AO809" s="11"/>
      <c r="AP809" s="11"/>
      <c r="AQ809" s="11"/>
      <c r="AR809" s="11"/>
      <c r="AS809" s="11"/>
      <c r="AT809" s="11"/>
      <c r="AU809" s="11"/>
      <c r="AV809" s="11"/>
      <c r="AW809" s="11"/>
      <c r="AX809" s="11"/>
      <c r="AY809" s="11"/>
      <c r="AZ809" s="11"/>
      <c r="BA809" s="11"/>
      <c r="BB809" s="11"/>
      <c r="BC809" s="11"/>
      <c r="BD809" t="s" s="10">
        <v>118</v>
      </c>
      <c r="BE809" s="23"/>
      <c r="BF809" s="23"/>
      <c r="BG809" s="23"/>
      <c r="BH809" s="11"/>
      <c r="BI809" s="11"/>
      <c r="BJ809" s="11"/>
      <c r="BK809" s="11"/>
      <c r="BL809" s="11"/>
      <c r="BM809" s="11"/>
      <c r="BN809" s="11"/>
      <c r="BO809" s="12"/>
      <c r="BP809" s="8"/>
    </row>
    <row r="810" ht="9" customHeight="1" hidden="1">
      <c r="A810" t="s" s="13">
        <v>3153</v>
      </c>
      <c r="B810" s="14"/>
      <c r="C810" t="str" s="14" cm="1">
        <f t="array" ref="C810">_xlfn.IFERROR((VLOOKUP(A810,#REF!,2,FALSE)),"")</f>
      </c>
      <c r="D810" t="s" s="15">
        <v>70</v>
      </c>
      <c r="E810" t="s" s="15">
        <v>71</v>
      </c>
      <c r="F810" s="14"/>
      <c r="G810" s="14"/>
      <c r="H810" s="14"/>
      <c r="I810" t="s" s="15">
        <v>73</v>
      </c>
      <c r="J810" t="s" s="15">
        <v>74</v>
      </c>
      <c r="K810" t="s" s="15">
        <v>105</v>
      </c>
      <c r="L810" t="s" s="15">
        <v>76</v>
      </c>
      <c r="M810" t="s" s="15">
        <v>3154</v>
      </c>
      <c r="N810" s="17">
        <v>0</v>
      </c>
      <c r="O810" t="s" s="15">
        <v>71</v>
      </c>
      <c r="P810" t="s" s="15">
        <v>74</v>
      </c>
      <c r="Q810" t="s" s="15">
        <v>78</v>
      </c>
      <c r="R810" t="s" s="15">
        <v>71</v>
      </c>
      <c r="S810" s="14"/>
      <c r="T810" s="14"/>
      <c r="U810" s="14"/>
      <c r="V810" t="s" s="15">
        <v>78</v>
      </c>
      <c r="W810" t="s" s="15">
        <v>3153</v>
      </c>
      <c r="X810" t="s" s="15">
        <v>78</v>
      </c>
      <c r="Y810" s="14"/>
      <c r="Z810" t="s" s="15">
        <v>76</v>
      </c>
      <c r="AA810" s="14"/>
      <c r="AB810" t="s" s="15">
        <v>76</v>
      </c>
      <c r="AC810" s="14"/>
      <c r="AD810" t="s" s="15">
        <v>1874</v>
      </c>
      <c r="AE810" s="14"/>
      <c r="AF810" s="14"/>
      <c r="AG810" s="14"/>
      <c r="AH810" s="14"/>
      <c r="AI810" t="s" s="15">
        <v>76</v>
      </c>
      <c r="AJ810" t="s" s="15">
        <v>76</v>
      </c>
      <c r="AK810" t="s" s="15">
        <v>79</v>
      </c>
      <c r="AL810" t="s" s="15">
        <v>293</v>
      </c>
      <c r="AM810" t="s" s="15">
        <v>294</v>
      </c>
      <c r="AN810" s="14"/>
      <c r="AO810" s="17">
        <v>1</v>
      </c>
      <c r="AP810" s="17">
        <v>4096</v>
      </c>
      <c r="AQ810" s="17">
        <v>20679</v>
      </c>
      <c r="AR810" s="17">
        <v>18638</v>
      </c>
      <c r="AS810" t="s" s="15">
        <v>1875</v>
      </c>
      <c r="AT810" s="14"/>
      <c r="AU810" s="14"/>
      <c r="AV810" s="14"/>
      <c r="AW810" s="14"/>
      <c r="AX810" s="14"/>
      <c r="AY810" s="14"/>
      <c r="AZ810" s="14"/>
      <c r="BA810" s="14"/>
      <c r="BB810" s="14"/>
      <c r="BC810" s="14"/>
      <c r="BD810" t="s" s="15">
        <v>366</v>
      </c>
      <c r="BE810" t="s" s="24">
        <v>489</v>
      </c>
      <c r="BF810" s="20"/>
      <c r="BG810" s="20"/>
      <c r="BH810" s="14"/>
      <c r="BI810" s="14"/>
      <c r="BJ810" s="14"/>
      <c r="BK810" s="14"/>
      <c r="BL810" s="14"/>
      <c r="BM810" s="14"/>
      <c r="BN810" s="14"/>
      <c r="BO810" s="16"/>
      <c r="BP810" s="8"/>
    </row>
    <row r="811" ht="9" customHeight="1" hidden="1">
      <c r="A811" t="s" s="9">
        <v>3155</v>
      </c>
      <c r="B811" s="11"/>
      <c r="C811" t="str" s="11" cm="1">
        <f t="array" ref="C811">_xlfn.IFERROR((VLOOKUP(A811,#REF!,2,FALSE)),"")</f>
      </c>
      <c r="D811" s="11"/>
      <c r="E811" t="s" s="10">
        <v>303</v>
      </c>
      <c r="F811" s="11"/>
      <c r="G811" t="s" s="10">
        <v>3156</v>
      </c>
      <c r="H811" t="s" s="10">
        <v>3157</v>
      </c>
      <c r="I811" t="s" s="10">
        <v>73</v>
      </c>
      <c r="J811" t="s" s="10">
        <v>74</v>
      </c>
      <c r="K811" t="s" s="10">
        <v>113</v>
      </c>
      <c r="L811" t="s" s="10">
        <v>76</v>
      </c>
      <c r="M811" t="s" s="10">
        <v>3156</v>
      </c>
      <c r="N811" t="s" s="10">
        <v>3156</v>
      </c>
      <c r="O811" t="s" s="10">
        <v>71</v>
      </c>
      <c r="P811" t="s" s="10">
        <v>74</v>
      </c>
      <c r="Q811" t="s" s="10">
        <v>78</v>
      </c>
      <c r="R811" t="s" s="10">
        <v>71</v>
      </c>
      <c r="S811" s="11"/>
      <c r="T811" s="11"/>
      <c r="U811" s="11"/>
      <c r="V811" t="s" s="10">
        <v>78</v>
      </c>
      <c r="W811" t="s" s="10">
        <v>3155</v>
      </c>
      <c r="X811" t="s" s="10">
        <v>69</v>
      </c>
      <c r="Y811" s="11"/>
      <c r="Z811" t="s" s="10">
        <v>76</v>
      </c>
      <c r="AA811" s="11"/>
      <c r="AB811" t="s" s="10">
        <v>76</v>
      </c>
      <c r="AC811" s="11"/>
      <c r="AD811" s="11"/>
      <c r="AE811" s="11"/>
      <c r="AF811" s="11"/>
      <c r="AG811" s="11"/>
      <c r="AH811" t="s" s="10">
        <v>106</v>
      </c>
      <c r="AI811" t="s" s="10">
        <v>76</v>
      </c>
      <c r="AJ811" t="s" s="10">
        <v>76</v>
      </c>
      <c r="AK811" t="s" s="10">
        <v>79</v>
      </c>
      <c r="AL811" s="11"/>
      <c r="AM811" s="11"/>
      <c r="AN811" s="11"/>
      <c r="AO811" s="11"/>
      <c r="AP811" s="11"/>
      <c r="AQ811" s="11"/>
      <c r="AR811" s="11"/>
      <c r="AS811" s="11"/>
      <c r="AT811" s="11"/>
      <c r="AU811" s="11"/>
      <c r="AV811" s="11"/>
      <c r="AW811" s="11"/>
      <c r="AX811" s="11"/>
      <c r="AY811" s="11"/>
      <c r="AZ811" s="11"/>
      <c r="BA811" s="11"/>
      <c r="BB811" s="11"/>
      <c r="BC811" s="11"/>
      <c r="BD811" t="s" s="10">
        <v>310</v>
      </c>
      <c r="BE811" t="s" s="10">
        <v>356</v>
      </c>
      <c r="BF811" s="11"/>
      <c r="BG811" s="11"/>
      <c r="BH811" s="11"/>
      <c r="BI811" s="11"/>
      <c r="BJ811" s="11"/>
      <c r="BK811" s="11"/>
      <c r="BL811" s="11"/>
      <c r="BM811" s="11"/>
      <c r="BN811" s="11"/>
      <c r="BO811" s="12"/>
      <c r="BP811" s="8"/>
    </row>
    <row r="812" ht="9" customHeight="1" hidden="1">
      <c r="A812" t="s" s="13">
        <v>3158</v>
      </c>
      <c r="B812" t="s" s="15">
        <v>69</v>
      </c>
      <c r="C812" t="str" s="14" cm="1">
        <f t="array" ref="C812">_xlfn.IFERROR((VLOOKUP(A812,#REF!,2,FALSE)),"")</f>
      </c>
      <c r="D812" s="14"/>
      <c r="E812" s="14"/>
      <c r="F812" s="14"/>
      <c r="G812" t="s" s="15">
        <v>3159</v>
      </c>
      <c r="H812" t="s" s="15">
        <v>3160</v>
      </c>
      <c r="I812" t="s" s="15">
        <v>73</v>
      </c>
      <c r="J812" t="s" s="15">
        <v>74</v>
      </c>
      <c r="K812" t="s" s="15">
        <v>113</v>
      </c>
      <c r="L812" t="s" s="15">
        <v>76</v>
      </c>
      <c r="M812" t="s" s="15">
        <v>3159</v>
      </c>
      <c r="N812" t="s" s="15">
        <v>3159</v>
      </c>
      <c r="O812" s="14"/>
      <c r="P812" t="s" s="15">
        <v>74</v>
      </c>
      <c r="Q812" t="s" s="15">
        <v>69</v>
      </c>
      <c r="R812" t="s" s="15">
        <v>83</v>
      </c>
      <c r="S812" s="14"/>
      <c r="T812" s="14"/>
      <c r="U812" s="14"/>
      <c r="V812" t="s" s="15">
        <v>78</v>
      </c>
      <c r="W812" t="s" s="15">
        <v>3158</v>
      </c>
      <c r="X812" t="s" s="15">
        <v>69</v>
      </c>
      <c r="Y812" s="14"/>
      <c r="Z812" t="s" s="15">
        <v>76</v>
      </c>
      <c r="AA812" s="14"/>
      <c r="AB812" t="s" s="15">
        <v>76</v>
      </c>
      <c r="AC812" s="14"/>
      <c r="AD812" s="14"/>
      <c r="AE812" s="14"/>
      <c r="AF812" s="14"/>
      <c r="AG812" s="14"/>
      <c r="AH812" t="s" s="15">
        <v>114</v>
      </c>
      <c r="AI812" t="s" s="15">
        <v>76</v>
      </c>
      <c r="AJ812" t="s" s="15">
        <v>76</v>
      </c>
      <c r="AK812" t="s" s="15">
        <v>79</v>
      </c>
      <c r="AL812" s="14"/>
      <c r="AM812" s="14"/>
      <c r="AN812" s="14"/>
      <c r="AO812" s="14"/>
      <c r="AP812" s="14"/>
      <c r="AQ812" s="14"/>
      <c r="AR812" s="14"/>
      <c r="AS812" t="s" s="15">
        <v>3161</v>
      </c>
      <c r="AT812" s="14"/>
      <c r="AU812" s="14"/>
      <c r="AV812" s="14"/>
      <c r="AW812" s="14"/>
      <c r="AX812" s="14"/>
      <c r="AY812" s="14"/>
      <c r="AZ812" s="14"/>
      <c r="BA812" s="14"/>
      <c r="BB812" s="14"/>
      <c r="BC812" s="14"/>
      <c r="BD812" t="s" s="15">
        <v>118</v>
      </c>
      <c r="BE812" s="14"/>
      <c r="BF812" s="14"/>
      <c r="BG812" s="14"/>
      <c r="BH812" s="14"/>
      <c r="BI812" s="14"/>
      <c r="BJ812" s="14"/>
      <c r="BK812" s="14"/>
      <c r="BL812" s="14"/>
      <c r="BM812" s="14"/>
      <c r="BN812" s="14"/>
      <c r="BO812" s="16"/>
      <c r="BP812" s="8"/>
    </row>
    <row r="813" ht="9" customHeight="1" hidden="1">
      <c r="A813" t="s" s="9">
        <v>3162</v>
      </c>
      <c r="B813" s="11"/>
      <c r="C813" t="str" s="11" cm="1">
        <f t="array" ref="C813">_xlfn.IFERROR((VLOOKUP(A813,#REF!,2,FALSE)),"")</f>
      </c>
      <c r="D813" s="11"/>
      <c r="E813" t="s" s="10">
        <v>303</v>
      </c>
      <c r="F813" s="11"/>
      <c r="G813" t="s" s="10">
        <v>3163</v>
      </c>
      <c r="H813" t="s" s="10">
        <v>3163</v>
      </c>
      <c r="I813" t="s" s="10">
        <v>73</v>
      </c>
      <c r="J813" t="s" s="10">
        <v>74</v>
      </c>
      <c r="K813" t="s" s="10">
        <v>113</v>
      </c>
      <c r="L813" t="s" s="10">
        <v>76</v>
      </c>
      <c r="M813" t="s" s="10">
        <v>3163</v>
      </c>
      <c r="N813" t="s" s="10">
        <v>3163</v>
      </c>
      <c r="O813" t="s" s="10">
        <v>71</v>
      </c>
      <c r="P813" t="s" s="10">
        <v>74</v>
      </c>
      <c r="Q813" t="s" s="10">
        <v>78</v>
      </c>
      <c r="R813" t="s" s="10">
        <v>323</v>
      </c>
      <c r="S813" s="11"/>
      <c r="T813" s="11"/>
      <c r="U813" s="11"/>
      <c r="V813" t="s" s="10">
        <v>78</v>
      </c>
      <c r="W813" t="s" s="10">
        <v>3162</v>
      </c>
      <c r="X813" t="s" s="10">
        <v>69</v>
      </c>
      <c r="Y813" s="11"/>
      <c r="Z813" t="s" s="10">
        <v>205</v>
      </c>
      <c r="AA813" s="11"/>
      <c r="AB813" t="s" s="10">
        <v>76</v>
      </c>
      <c r="AC813" s="11"/>
      <c r="AD813" s="11"/>
      <c r="AE813" s="11"/>
      <c r="AF813" s="11"/>
      <c r="AG813" s="11"/>
      <c r="AH813" t="s" s="10">
        <v>114</v>
      </c>
      <c r="AI813" t="s" s="10">
        <v>76</v>
      </c>
      <c r="AJ813" t="s" s="10">
        <v>76</v>
      </c>
      <c r="AK813" t="s" s="10">
        <v>79</v>
      </c>
      <c r="AL813" s="11"/>
      <c r="AM813" s="11"/>
      <c r="AN813" s="11"/>
      <c r="AO813" s="11"/>
      <c r="AP813" s="11"/>
      <c r="AQ813" s="11"/>
      <c r="AR813" s="11"/>
      <c r="AS813" s="11"/>
      <c r="AT813" s="11"/>
      <c r="AU813" s="11"/>
      <c r="AV813" s="11"/>
      <c r="AW813" s="11"/>
      <c r="AX813" s="11"/>
      <c r="AY813" s="11"/>
      <c r="AZ813" s="11"/>
      <c r="BA813" s="11"/>
      <c r="BB813" s="11"/>
      <c r="BC813" s="11"/>
      <c r="BD813" t="s" s="10">
        <v>118</v>
      </c>
      <c r="BE813" s="11"/>
      <c r="BF813" s="11"/>
      <c r="BG813" s="11"/>
      <c r="BH813" s="11"/>
      <c r="BI813" s="11"/>
      <c r="BJ813" s="11"/>
      <c r="BK813" s="11"/>
      <c r="BL813" s="11"/>
      <c r="BM813" s="11"/>
      <c r="BN813" s="11"/>
      <c r="BO813" s="12"/>
      <c r="BP813" s="8"/>
    </row>
    <row r="814" ht="9" customHeight="1" hidden="1">
      <c r="A814" t="s" s="13">
        <v>3164</v>
      </c>
      <c r="B814" s="14"/>
      <c r="C814" t="str" s="14" cm="1">
        <f t="array" ref="C814">_xlfn.IFERROR((VLOOKUP(A814,#REF!,2,FALSE)),"")</f>
      </c>
      <c r="D814" s="14"/>
      <c r="E814" t="s" s="15">
        <v>3165</v>
      </c>
      <c r="F814" s="14"/>
      <c r="G814" t="s" s="15">
        <v>3166</v>
      </c>
      <c r="H814" t="s" s="15">
        <v>516</v>
      </c>
      <c r="I814" t="s" s="15">
        <v>111</v>
      </c>
      <c r="J814" t="s" s="15">
        <v>122</v>
      </c>
      <c r="K814" t="s" s="15">
        <v>113</v>
      </c>
      <c r="L814" t="s" s="15">
        <v>518</v>
      </c>
      <c r="M814" t="s" s="15">
        <v>3167</v>
      </c>
      <c r="N814" t="s" s="15">
        <v>3167</v>
      </c>
      <c r="O814" s="14"/>
      <c r="P814" t="s" s="15">
        <v>122</v>
      </c>
      <c r="Q814" t="s" s="15">
        <v>78</v>
      </c>
      <c r="R814" t="s" s="15">
        <v>83</v>
      </c>
      <c r="S814" s="14"/>
      <c r="T814" s="14"/>
      <c r="U814" s="14"/>
      <c r="V814" t="s" s="15">
        <v>69</v>
      </c>
      <c r="W814" s="14"/>
      <c r="X814" t="s" s="15">
        <v>69</v>
      </c>
      <c r="Y814" s="14"/>
      <c r="Z814" t="s" s="15">
        <v>205</v>
      </c>
      <c r="AA814" s="14"/>
      <c r="AB814" t="s" s="15">
        <v>520</v>
      </c>
      <c r="AC814" s="14"/>
      <c r="AD814" s="14"/>
      <c r="AE814" s="14"/>
      <c r="AF814" s="14"/>
      <c r="AG814" t="s" s="15">
        <v>299</v>
      </c>
      <c r="AH814" t="s" s="15">
        <v>289</v>
      </c>
      <c r="AI814" t="s" s="15">
        <v>440</v>
      </c>
      <c r="AJ814" s="14"/>
      <c r="AK814" t="s" s="15">
        <v>83</v>
      </c>
      <c r="AL814" t="s" s="15">
        <v>293</v>
      </c>
      <c r="AM814" t="s" s="15">
        <v>294</v>
      </c>
      <c r="AN814" t="s" s="15">
        <v>1239</v>
      </c>
      <c r="AO814" s="17">
        <v>4</v>
      </c>
      <c r="AP814" s="17">
        <v>18432</v>
      </c>
      <c r="AQ814" s="17">
        <v>264311</v>
      </c>
      <c r="AR814" s="17">
        <v>139494</v>
      </c>
      <c r="AS814" t="s" s="15">
        <v>3168</v>
      </c>
      <c r="AT814" t="s" s="15">
        <v>301</v>
      </c>
      <c r="AU814" s="14"/>
      <c r="AV814" s="14"/>
      <c r="AW814" t="s" s="15">
        <v>3169</v>
      </c>
      <c r="AX814" s="14"/>
      <c r="AY814" s="14"/>
      <c r="AZ814" s="14"/>
      <c r="BA814" s="14"/>
      <c r="BB814" s="14"/>
      <c r="BC814" s="14"/>
      <c r="BD814" t="s" s="15">
        <v>366</v>
      </c>
      <c r="BE814" t="s" s="15">
        <v>394</v>
      </c>
      <c r="BF814" s="14"/>
      <c r="BG814" s="14"/>
      <c r="BH814" s="14"/>
      <c r="BI814" s="14"/>
      <c r="BJ814" s="14"/>
      <c r="BK814" s="14"/>
      <c r="BL814" s="14"/>
      <c r="BM814" s="14"/>
      <c r="BN814" t="s" s="15">
        <v>78</v>
      </c>
      <c r="BO814" s="16"/>
      <c r="BP814" s="8"/>
    </row>
    <row r="815" ht="9" customHeight="1" hidden="1">
      <c r="A815" t="s" s="9">
        <v>3170</v>
      </c>
      <c r="B815" s="11"/>
      <c r="C815" t="str" s="11" cm="1">
        <f t="array" ref="C815">_xlfn.IFERROR((VLOOKUP(A815,#REF!,2,FALSE)),"")</f>
      </c>
      <c r="D815" t="s" s="10">
        <v>70</v>
      </c>
      <c r="E815" t="s" s="10">
        <v>71</v>
      </c>
      <c r="F815" s="11"/>
      <c r="G815" s="11"/>
      <c r="H815" s="11"/>
      <c r="I815" t="s" s="10">
        <v>73</v>
      </c>
      <c r="J815" t="s" s="10">
        <v>74</v>
      </c>
      <c r="K815" t="s" s="10">
        <v>113</v>
      </c>
      <c r="L815" t="s" s="10">
        <v>76</v>
      </c>
      <c r="M815" t="s" s="10">
        <v>77</v>
      </c>
      <c r="N815" s="11"/>
      <c r="O815" t="s" s="10">
        <v>71</v>
      </c>
      <c r="P815" s="11"/>
      <c r="Q815" t="s" s="10">
        <v>78</v>
      </c>
      <c r="R815" t="s" s="10">
        <v>71</v>
      </c>
      <c r="S815" s="11"/>
      <c r="T815" s="11"/>
      <c r="U815" s="11"/>
      <c r="V815" t="s" s="10">
        <v>69</v>
      </c>
      <c r="W815" t="s" s="10">
        <v>3170</v>
      </c>
      <c r="X815" t="s" s="10">
        <v>78</v>
      </c>
      <c r="Y815" s="11"/>
      <c r="Z815" t="s" s="10">
        <v>76</v>
      </c>
      <c r="AA815" s="11"/>
      <c r="AB815" t="s" s="10">
        <v>76</v>
      </c>
      <c r="AC815" s="11"/>
      <c r="AD815" s="11"/>
      <c r="AE815" s="11"/>
      <c r="AF815" s="11"/>
      <c r="AG815" s="11"/>
      <c r="AH815" s="11"/>
      <c r="AI815" t="s" s="10">
        <v>76</v>
      </c>
      <c r="AJ815" t="s" s="10">
        <v>76</v>
      </c>
      <c r="AK815" t="s" s="10">
        <v>79</v>
      </c>
      <c r="AL815" t="s" s="10">
        <v>293</v>
      </c>
      <c r="AM815" t="s" s="10">
        <v>294</v>
      </c>
      <c r="AN815" t="s" s="10">
        <v>3171</v>
      </c>
      <c r="AO815" s="18">
        <v>4</v>
      </c>
      <c r="AP815" s="18">
        <v>8192</v>
      </c>
      <c r="AQ815" s="18">
        <v>254074</v>
      </c>
      <c r="AR815" s="18">
        <v>128901</v>
      </c>
      <c r="AS815" t="s" s="10">
        <v>3172</v>
      </c>
      <c r="AT815" s="11"/>
      <c r="AU815" s="11"/>
      <c r="AV815" s="11"/>
      <c r="AW815" s="11"/>
      <c r="AX815" s="11"/>
      <c r="AY815" s="11"/>
      <c r="AZ815" s="11"/>
      <c r="BA815" s="11"/>
      <c r="BB815" s="11"/>
      <c r="BC815" s="11"/>
      <c r="BD815" t="s" s="10">
        <v>310</v>
      </c>
      <c r="BE815" t="s" s="10">
        <v>356</v>
      </c>
      <c r="BF815" s="11"/>
      <c r="BG815" s="11"/>
      <c r="BH815" s="11"/>
      <c r="BI815" s="11"/>
      <c r="BJ815" s="11"/>
      <c r="BK815" s="11"/>
      <c r="BL815" s="11"/>
      <c r="BM815" s="11"/>
      <c r="BN815" s="11"/>
      <c r="BO815" s="12"/>
      <c r="BP815" s="8"/>
    </row>
    <row r="816" ht="15" customHeight="1" hidden="1">
      <c r="A816" t="s" s="13">
        <v>3173</v>
      </c>
      <c r="B816" s="14"/>
      <c r="C816" t="str" s="14" cm="1">
        <f t="array" ref="C816">_xlfn.IFERROR((VLOOKUP(A816,#REF!,2,FALSE)),"")</f>
      </c>
      <c r="D816" s="14"/>
      <c r="E816" t="s" s="15">
        <v>3165</v>
      </c>
      <c r="F816" s="14"/>
      <c r="G816" t="s" s="15">
        <v>3174</v>
      </c>
      <c r="H816" t="s" s="15">
        <v>516</v>
      </c>
      <c r="I816" t="s" s="15">
        <v>111</v>
      </c>
      <c r="J816" t="s" s="15">
        <v>122</v>
      </c>
      <c r="K816" t="s" s="15">
        <v>113</v>
      </c>
      <c r="L816" t="s" s="15">
        <v>518</v>
      </c>
      <c r="M816" t="s" s="15">
        <v>3175</v>
      </c>
      <c r="N816" t="s" s="15">
        <v>3175</v>
      </c>
      <c r="O816" s="14"/>
      <c r="P816" t="s" s="15">
        <v>122</v>
      </c>
      <c r="Q816" t="s" s="15">
        <v>78</v>
      </c>
      <c r="R816" t="s" s="15">
        <v>83</v>
      </c>
      <c r="S816" s="14"/>
      <c r="T816" s="14"/>
      <c r="U816" s="14"/>
      <c r="V816" t="s" s="15">
        <v>69</v>
      </c>
      <c r="W816" s="14"/>
      <c r="X816" t="s" s="15">
        <v>69</v>
      </c>
      <c r="Y816" s="14"/>
      <c r="Z816" t="s" s="15">
        <v>205</v>
      </c>
      <c r="AA816" s="14"/>
      <c r="AB816" t="s" s="15">
        <v>520</v>
      </c>
      <c r="AC816" s="14"/>
      <c r="AD816" s="14"/>
      <c r="AE816" s="14"/>
      <c r="AF816" s="14"/>
      <c r="AG816" t="s" s="15">
        <v>299</v>
      </c>
      <c r="AH816" t="s" s="15">
        <v>289</v>
      </c>
      <c r="AI816" t="s" s="15">
        <v>440</v>
      </c>
      <c r="AJ816" s="14"/>
      <c r="AK816" t="s" s="15">
        <v>83</v>
      </c>
      <c r="AL816" t="s" s="15">
        <v>293</v>
      </c>
      <c r="AM816" t="s" s="15">
        <v>294</v>
      </c>
      <c r="AN816" t="s" s="15">
        <v>1239</v>
      </c>
      <c r="AO816" s="17">
        <v>4</v>
      </c>
      <c r="AP816" s="17">
        <v>18432</v>
      </c>
      <c r="AQ816" s="17">
        <v>264339</v>
      </c>
      <c r="AR816" s="17">
        <v>138113</v>
      </c>
      <c r="AS816" t="s" s="15">
        <v>3176</v>
      </c>
      <c r="AT816" t="s" s="15">
        <v>301</v>
      </c>
      <c r="AU816" s="14"/>
      <c r="AV816" s="14"/>
      <c r="AW816" t="s" s="15">
        <v>3177</v>
      </c>
      <c r="AX816" s="14"/>
      <c r="AY816" s="14"/>
      <c r="AZ816" s="14"/>
      <c r="BA816" s="14"/>
      <c r="BB816" s="14"/>
      <c r="BC816" s="14"/>
      <c r="BD816" s="14"/>
      <c r="BE816" s="14"/>
      <c r="BF816" s="14"/>
      <c r="BG816" s="14"/>
      <c r="BH816" s="14"/>
      <c r="BI816" s="14"/>
      <c r="BJ816" s="14"/>
      <c r="BK816" s="14"/>
      <c r="BL816" s="14"/>
      <c r="BM816" s="14"/>
      <c r="BN816" t="s" s="15">
        <v>78</v>
      </c>
      <c r="BO816" s="16"/>
      <c r="BP816" s="8"/>
    </row>
    <row r="817" ht="9" customHeight="1" hidden="1">
      <c r="A817" t="s" s="9">
        <v>3178</v>
      </c>
      <c r="B817" s="11"/>
      <c r="C817" t="str" s="11" cm="1">
        <f t="array" ref="C817">_xlfn.IFERROR((VLOOKUP(A817,#REF!,2,FALSE)),"")</f>
      </c>
      <c r="D817" t="s" s="10">
        <v>70</v>
      </c>
      <c r="E817" t="s" s="10">
        <v>71</v>
      </c>
      <c r="F817" s="11"/>
      <c r="G817" s="11"/>
      <c r="H817" s="11"/>
      <c r="I817" t="s" s="10">
        <v>73</v>
      </c>
      <c r="J817" t="s" s="10">
        <v>74</v>
      </c>
      <c r="K817" t="s" s="10">
        <v>113</v>
      </c>
      <c r="L817" t="s" s="10">
        <v>76</v>
      </c>
      <c r="M817" t="s" s="10">
        <v>77</v>
      </c>
      <c r="N817" s="11"/>
      <c r="O817" t="s" s="10">
        <v>71</v>
      </c>
      <c r="P817" s="11"/>
      <c r="Q817" t="s" s="10">
        <v>78</v>
      </c>
      <c r="R817" t="s" s="10">
        <v>71</v>
      </c>
      <c r="S817" s="11"/>
      <c r="T817" s="11"/>
      <c r="U817" s="11"/>
      <c r="V817" t="s" s="10">
        <v>69</v>
      </c>
      <c r="W817" t="s" s="10">
        <v>3178</v>
      </c>
      <c r="X817" t="s" s="10">
        <v>78</v>
      </c>
      <c r="Y817" s="11"/>
      <c r="Z817" t="s" s="10">
        <v>76</v>
      </c>
      <c r="AA817" s="11"/>
      <c r="AB817" t="s" s="10">
        <v>76</v>
      </c>
      <c r="AC817" s="11"/>
      <c r="AD817" s="11"/>
      <c r="AE817" s="11"/>
      <c r="AF817" s="11"/>
      <c r="AG817" s="11"/>
      <c r="AH817" s="11"/>
      <c r="AI817" t="s" s="10">
        <v>76</v>
      </c>
      <c r="AJ817" t="s" s="10">
        <v>76</v>
      </c>
      <c r="AK817" t="s" s="10">
        <v>79</v>
      </c>
      <c r="AL817" s="11"/>
      <c r="AM817" s="11"/>
      <c r="AN817" t="s" s="10">
        <v>3171</v>
      </c>
      <c r="AO817" s="11"/>
      <c r="AP817" s="11"/>
      <c r="AQ817" s="11"/>
      <c r="AR817" s="11"/>
      <c r="AS817" t="s" s="10">
        <v>3179</v>
      </c>
      <c r="AT817" s="11"/>
      <c r="AU817" s="11"/>
      <c r="AV817" s="11"/>
      <c r="AW817" s="11"/>
      <c r="AX817" s="11"/>
      <c r="AY817" s="11"/>
      <c r="AZ817" s="11"/>
      <c r="BA817" s="11"/>
      <c r="BB817" s="11"/>
      <c r="BC817" s="11"/>
      <c r="BD817" s="11"/>
      <c r="BE817" s="11"/>
      <c r="BF817" s="11"/>
      <c r="BG817" s="11"/>
      <c r="BH817" s="11"/>
      <c r="BI817" s="11"/>
      <c r="BJ817" s="11"/>
      <c r="BK817" s="11"/>
      <c r="BL817" s="11"/>
      <c r="BM817" s="11"/>
      <c r="BN817" s="11"/>
      <c r="BO817" s="12"/>
      <c r="BP817" s="8"/>
    </row>
    <row r="818" ht="15" customHeight="1">
      <c r="A818" t="s" s="13">
        <v>3180</v>
      </c>
      <c r="B818" s="14"/>
      <c r="C818" t="str" s="14" cm="1">
        <f t="array" ref="C818">_xlfn.IFERROR((VLOOKUP(A818,#REF!,2,FALSE)),"")</f>
      </c>
      <c r="D818" s="14"/>
      <c r="E818" t="s" s="15">
        <v>3181</v>
      </c>
      <c r="F818" s="14"/>
      <c r="G818" t="s" s="15">
        <v>3182</v>
      </c>
      <c r="H818" t="s" s="15">
        <v>2318</v>
      </c>
      <c r="I818" t="s" s="15">
        <v>111</v>
      </c>
      <c r="J818" t="s" s="15">
        <v>122</v>
      </c>
      <c r="K818" t="s" s="15">
        <v>113</v>
      </c>
      <c r="L818" t="s" s="15">
        <v>518</v>
      </c>
      <c r="M818" t="s" s="15">
        <v>3182</v>
      </c>
      <c r="N818" t="s" s="15">
        <v>3182</v>
      </c>
      <c r="O818" s="14"/>
      <c r="P818" t="s" s="15">
        <v>122</v>
      </c>
      <c r="Q818" t="s" s="15">
        <v>78</v>
      </c>
      <c r="R818" t="s" s="15">
        <v>323</v>
      </c>
      <c r="S818" s="14"/>
      <c r="T818" t="s" s="15">
        <v>69</v>
      </c>
      <c r="U818" s="14"/>
      <c r="V818" t="s" s="15">
        <v>78</v>
      </c>
      <c r="W818" s="14"/>
      <c r="X818" t="s" s="15">
        <v>69</v>
      </c>
      <c r="Y818" s="14"/>
      <c r="Z818" t="s" s="15">
        <v>552</v>
      </c>
      <c r="AA818" s="14"/>
      <c r="AB818" t="s" s="15">
        <v>520</v>
      </c>
      <c r="AC818" s="14"/>
      <c r="AD818" s="14"/>
      <c r="AE818" s="14"/>
      <c r="AF818" t="s" s="15">
        <v>2318</v>
      </c>
      <c r="AG818" t="s" s="15">
        <v>299</v>
      </c>
      <c r="AH818" t="s" s="15">
        <v>114</v>
      </c>
      <c r="AI818" t="s" s="15">
        <v>332</v>
      </c>
      <c r="AJ818" t="s" s="15">
        <v>827</v>
      </c>
      <c r="AK818" t="s" s="15">
        <v>524</v>
      </c>
      <c r="AL818" t="s" s="15">
        <v>293</v>
      </c>
      <c r="AM818" t="s" s="15">
        <v>294</v>
      </c>
      <c r="AN818" s="14"/>
      <c r="AO818" s="17">
        <v>2</v>
      </c>
      <c r="AP818" s="17">
        <v>4096</v>
      </c>
      <c r="AQ818" s="17">
        <v>24657</v>
      </c>
      <c r="AR818" s="17">
        <v>24657</v>
      </c>
      <c r="AS818" t="s" s="15">
        <v>3183</v>
      </c>
      <c r="AT818" t="s" s="15">
        <v>301</v>
      </c>
      <c r="AU818" s="14"/>
      <c r="AV818" s="14"/>
      <c r="AW818" s="14"/>
      <c r="AX818" s="14"/>
      <c r="AY818" s="14"/>
      <c r="AZ818" s="14"/>
      <c r="BA818" s="14"/>
      <c r="BB818" s="14"/>
      <c r="BC818" s="14"/>
      <c r="BD818" t="s" s="15">
        <v>310</v>
      </c>
      <c r="BE818" t="s" s="15">
        <v>419</v>
      </c>
      <c r="BF818" s="17">
        <v>2</v>
      </c>
      <c r="BG818" s="17">
        <v>4</v>
      </c>
      <c r="BH818" s="14"/>
      <c r="BI818" s="14"/>
      <c r="BJ818" s="14"/>
      <c r="BK818" s="14"/>
      <c r="BL818" s="14"/>
      <c r="BM818" s="14"/>
      <c r="BN818" t="s" s="15">
        <v>69</v>
      </c>
      <c r="BO818" s="16"/>
      <c r="BP818" s="8"/>
    </row>
    <row r="819" ht="15" customHeight="1">
      <c r="A819" t="s" s="9">
        <v>3184</v>
      </c>
      <c r="B819" s="11"/>
      <c r="C819" t="str" s="11" cm="1">
        <f t="array" ref="C819">_xlfn.IFERROR((VLOOKUP(A819,#REF!,2,FALSE)),"")</f>
      </c>
      <c r="D819" s="11"/>
      <c r="E819" t="s" s="10">
        <v>3181</v>
      </c>
      <c r="F819" s="11"/>
      <c r="G819" t="s" s="10">
        <v>3185</v>
      </c>
      <c r="H819" t="s" s="10">
        <v>2318</v>
      </c>
      <c r="I819" t="s" s="10">
        <v>111</v>
      </c>
      <c r="J819" t="s" s="10">
        <v>122</v>
      </c>
      <c r="K819" t="s" s="10">
        <v>113</v>
      </c>
      <c r="L819" t="s" s="10">
        <v>518</v>
      </c>
      <c r="M819" t="s" s="10">
        <v>3185</v>
      </c>
      <c r="N819" t="s" s="10">
        <v>3185</v>
      </c>
      <c r="O819" s="11"/>
      <c r="P819" t="s" s="10">
        <v>122</v>
      </c>
      <c r="Q819" t="s" s="10">
        <v>78</v>
      </c>
      <c r="R819" t="s" s="10">
        <v>323</v>
      </c>
      <c r="S819" s="11"/>
      <c r="T819" s="11"/>
      <c r="U819" s="11"/>
      <c r="V819" t="s" s="10">
        <v>78</v>
      </c>
      <c r="W819" s="11"/>
      <c r="X819" t="s" s="10">
        <v>69</v>
      </c>
      <c r="Y819" s="11"/>
      <c r="Z819" t="s" s="10">
        <v>552</v>
      </c>
      <c r="AA819" s="11"/>
      <c r="AB819" t="s" s="10">
        <v>520</v>
      </c>
      <c r="AC819" s="11"/>
      <c r="AD819" s="11"/>
      <c r="AE819" s="11"/>
      <c r="AF819" t="s" s="10">
        <v>2318</v>
      </c>
      <c r="AG819" t="s" s="10">
        <v>299</v>
      </c>
      <c r="AH819" t="s" s="10">
        <v>114</v>
      </c>
      <c r="AI819" t="s" s="10">
        <v>332</v>
      </c>
      <c r="AJ819" t="s" s="10">
        <v>827</v>
      </c>
      <c r="AK819" t="s" s="10">
        <v>83</v>
      </c>
      <c r="AL819" t="s" s="10">
        <v>293</v>
      </c>
      <c r="AM819" t="s" s="10">
        <v>294</v>
      </c>
      <c r="AN819" s="11"/>
      <c r="AO819" s="18">
        <v>2</v>
      </c>
      <c r="AP819" s="18">
        <v>4096</v>
      </c>
      <c r="AQ819" s="18">
        <v>24657</v>
      </c>
      <c r="AR819" s="18">
        <v>24657</v>
      </c>
      <c r="AS819" t="s" s="10">
        <v>3186</v>
      </c>
      <c r="AT819" t="s" s="10">
        <v>301</v>
      </c>
      <c r="AU819" s="11"/>
      <c r="AV819" s="11"/>
      <c r="AW819" s="11"/>
      <c r="AX819" s="11"/>
      <c r="AY819" s="11"/>
      <c r="AZ819" s="11"/>
      <c r="BA819" s="11"/>
      <c r="BB819" s="11"/>
      <c r="BC819" s="11"/>
      <c r="BD819" t="s" s="10">
        <v>310</v>
      </c>
      <c r="BE819" t="s" s="10">
        <v>419</v>
      </c>
      <c r="BF819" s="18">
        <v>2</v>
      </c>
      <c r="BG819" s="18">
        <v>4</v>
      </c>
      <c r="BH819" s="11"/>
      <c r="BI819" s="11"/>
      <c r="BJ819" s="11"/>
      <c r="BK819" s="11"/>
      <c r="BL819" s="11"/>
      <c r="BM819" s="11"/>
      <c r="BN819" t="s" s="10">
        <v>69</v>
      </c>
      <c r="BO819" s="12"/>
      <c r="BP819" s="8"/>
    </row>
    <row r="820" ht="9" customHeight="1" hidden="1">
      <c r="A820" t="s" s="13">
        <v>3187</v>
      </c>
      <c r="B820" s="14"/>
      <c r="C820" t="str" s="14" cm="1">
        <f t="array" ref="C820">_xlfn.IFERROR((VLOOKUP(A820,#REF!,2,FALSE)),"")</f>
      </c>
      <c r="D820" s="14"/>
      <c r="E820" t="s" s="15">
        <v>303</v>
      </c>
      <c r="F820" s="14"/>
      <c r="G820" t="s" s="15">
        <v>3188</v>
      </c>
      <c r="H820" t="s" s="15">
        <v>3188</v>
      </c>
      <c r="I820" t="s" s="15">
        <v>73</v>
      </c>
      <c r="J820" t="s" s="15">
        <v>74</v>
      </c>
      <c r="K820" t="s" s="15">
        <v>113</v>
      </c>
      <c r="L820" t="s" s="15">
        <v>76</v>
      </c>
      <c r="M820" t="s" s="15">
        <v>3188</v>
      </c>
      <c r="N820" t="s" s="15">
        <v>3188</v>
      </c>
      <c r="O820" t="s" s="15">
        <v>71</v>
      </c>
      <c r="P820" t="s" s="15">
        <v>74</v>
      </c>
      <c r="Q820" t="s" s="15">
        <v>78</v>
      </c>
      <c r="R820" t="s" s="15">
        <v>71</v>
      </c>
      <c r="S820" s="14"/>
      <c r="T820" s="14"/>
      <c r="U820" s="14"/>
      <c r="V820" t="s" s="15">
        <v>78</v>
      </c>
      <c r="W820" t="s" s="15">
        <v>3187</v>
      </c>
      <c r="X820" t="s" s="15">
        <v>69</v>
      </c>
      <c r="Y820" s="14"/>
      <c r="Z820" t="s" s="15">
        <v>76</v>
      </c>
      <c r="AA820" s="14"/>
      <c r="AB820" t="s" s="15">
        <v>76</v>
      </c>
      <c r="AC820" s="14"/>
      <c r="AD820" s="14"/>
      <c r="AE820" s="14"/>
      <c r="AF820" s="14"/>
      <c r="AG820" s="14"/>
      <c r="AH820" t="s" s="15">
        <v>106</v>
      </c>
      <c r="AI820" t="s" s="15">
        <v>76</v>
      </c>
      <c r="AJ820" t="s" s="15">
        <v>76</v>
      </c>
      <c r="AK820" t="s" s="15">
        <v>79</v>
      </c>
      <c r="AL820" s="14"/>
      <c r="AM820" s="14"/>
      <c r="AN820" s="14"/>
      <c r="AO820" s="14"/>
      <c r="AP820" s="14"/>
      <c r="AQ820" s="14"/>
      <c r="AR820" s="14"/>
      <c r="AS820" s="14"/>
      <c r="AT820" s="14"/>
      <c r="AU820" s="14"/>
      <c r="AV820" s="14"/>
      <c r="AW820" s="14"/>
      <c r="AX820" s="14"/>
      <c r="AY820" s="14"/>
      <c r="AZ820" s="14"/>
      <c r="BA820" s="14"/>
      <c r="BB820" s="14"/>
      <c r="BC820" s="14"/>
      <c r="BD820" s="14"/>
      <c r="BE820" s="14"/>
      <c r="BF820" s="14"/>
      <c r="BG820" s="14"/>
      <c r="BH820" s="14"/>
      <c r="BI820" s="14"/>
      <c r="BJ820" s="14"/>
      <c r="BK820" s="14"/>
      <c r="BL820" s="14"/>
      <c r="BM820" s="14"/>
      <c r="BN820" s="14"/>
      <c r="BO820" s="16"/>
      <c r="BP820" s="8"/>
    </row>
    <row r="821" ht="13.55" customHeight="1">
      <c r="A821" t="s" s="9">
        <v>3189</v>
      </c>
      <c r="B821" s="11"/>
      <c r="C821" t="str" s="11" cm="1">
        <f t="array" ref="C821">_xlfn.IFERROR((VLOOKUP(A821,#REF!,2,FALSE)),"")</f>
      </c>
      <c r="D821" s="11"/>
      <c r="E821" t="s" s="10">
        <v>3190</v>
      </c>
      <c r="F821" s="11"/>
      <c r="G821" t="s" s="10">
        <v>3191</v>
      </c>
      <c r="H821" t="s" s="10">
        <v>3192</v>
      </c>
      <c r="I821" t="s" s="10">
        <v>111</v>
      </c>
      <c r="J821" t="s" s="10">
        <v>122</v>
      </c>
      <c r="K821" t="s" s="10">
        <v>113</v>
      </c>
      <c r="L821" t="s" s="10">
        <v>76</v>
      </c>
      <c r="M821" t="s" s="10">
        <v>3193</v>
      </c>
      <c r="N821" t="s" s="10">
        <v>3193</v>
      </c>
      <c r="O821" s="11"/>
      <c r="P821" t="s" s="10">
        <v>122</v>
      </c>
      <c r="Q821" t="s" s="10">
        <v>78</v>
      </c>
      <c r="R821" t="s" s="10">
        <v>83</v>
      </c>
      <c r="S821" s="11"/>
      <c r="T821" s="11"/>
      <c r="U821" s="11"/>
      <c r="V821" t="s" s="10">
        <v>78</v>
      </c>
      <c r="W821" s="11"/>
      <c r="X821" t="s" s="10">
        <v>69</v>
      </c>
      <c r="Y821" s="11"/>
      <c r="Z821" t="s" s="10">
        <v>76</v>
      </c>
      <c r="AA821" s="11"/>
      <c r="AB821" t="s" s="10">
        <v>76</v>
      </c>
      <c r="AC821" s="11"/>
      <c r="AD821" s="11"/>
      <c r="AE821" s="11"/>
      <c r="AF821" s="11"/>
      <c r="AG821" t="s" s="10">
        <v>299</v>
      </c>
      <c r="AH821" t="s" s="10">
        <v>114</v>
      </c>
      <c r="AI821" t="s" s="10">
        <v>717</v>
      </c>
      <c r="AJ821" s="11"/>
      <c r="AK821" t="s" s="10">
        <v>83</v>
      </c>
      <c r="AL821" t="s" s="10">
        <v>293</v>
      </c>
      <c r="AM821" t="s" s="10">
        <v>294</v>
      </c>
      <c r="AN821" s="11"/>
      <c r="AO821" s="18">
        <v>2</v>
      </c>
      <c r="AP821" s="18">
        <v>4096</v>
      </c>
      <c r="AQ821" s="18">
        <v>40019</v>
      </c>
      <c r="AR821" s="18">
        <v>40019</v>
      </c>
      <c r="AS821" t="s" s="10">
        <v>3194</v>
      </c>
      <c r="AT821" t="s" s="10">
        <v>301</v>
      </c>
      <c r="AU821" s="11"/>
      <c r="AV821" s="11"/>
      <c r="AW821" s="11"/>
      <c r="AX821" s="11"/>
      <c r="AY821" s="11"/>
      <c r="AZ821" s="11"/>
      <c r="BA821" s="11"/>
      <c r="BB821" s="11"/>
      <c r="BC821" s="11"/>
      <c r="BD821" t="s" s="10">
        <v>310</v>
      </c>
      <c r="BE821" t="s" s="10">
        <v>419</v>
      </c>
      <c r="BF821" s="18">
        <v>2</v>
      </c>
      <c r="BG821" s="18">
        <v>4</v>
      </c>
      <c r="BH821" s="11"/>
      <c r="BI821" s="11"/>
      <c r="BJ821" s="11"/>
      <c r="BK821" s="11"/>
      <c r="BL821" s="11"/>
      <c r="BM821" s="11"/>
      <c r="BN821" t="s" s="10">
        <v>69</v>
      </c>
      <c r="BO821" s="12"/>
      <c r="BP821" s="8"/>
    </row>
    <row r="822" ht="13.55" customHeight="1">
      <c r="A822" t="s" s="13">
        <v>3195</v>
      </c>
      <c r="B822" s="14"/>
      <c r="C822" t="str" s="14" cm="1">
        <f t="array" ref="C822">_xlfn.IFERROR((VLOOKUP(A822,#REF!,2,FALSE)),"")</f>
      </c>
      <c r="D822" s="14"/>
      <c r="E822" t="s" s="15">
        <v>3196</v>
      </c>
      <c r="F822" s="14"/>
      <c r="G822" t="s" s="15">
        <v>3197</v>
      </c>
      <c r="H822" t="s" s="15">
        <v>2318</v>
      </c>
      <c r="I822" t="s" s="15">
        <v>111</v>
      </c>
      <c r="J822" t="s" s="15">
        <v>322</v>
      </c>
      <c r="K822" t="s" s="15">
        <v>113</v>
      </c>
      <c r="L822" t="s" s="15">
        <v>518</v>
      </c>
      <c r="M822" t="s" s="15">
        <v>3197</v>
      </c>
      <c r="N822" t="s" s="15">
        <v>3197</v>
      </c>
      <c r="O822" s="14"/>
      <c r="P822" t="s" s="15">
        <v>322</v>
      </c>
      <c r="Q822" t="s" s="15">
        <v>78</v>
      </c>
      <c r="R822" t="s" s="15">
        <v>323</v>
      </c>
      <c r="S822" s="14"/>
      <c r="T822" s="14"/>
      <c r="U822" s="14"/>
      <c r="V822" t="s" s="15">
        <v>78</v>
      </c>
      <c r="W822" s="14"/>
      <c r="X822" t="s" s="15">
        <v>69</v>
      </c>
      <c r="Y822" s="14"/>
      <c r="Z822" t="s" s="15">
        <v>552</v>
      </c>
      <c r="AA822" s="14"/>
      <c r="AB822" t="s" s="15">
        <v>520</v>
      </c>
      <c r="AC822" t="s" s="15">
        <v>1226</v>
      </c>
      <c r="AD822" s="14"/>
      <c r="AE822" s="14"/>
      <c r="AF822" s="14"/>
      <c r="AG822" t="s" s="15">
        <v>299</v>
      </c>
      <c r="AH822" t="s" s="15">
        <v>114</v>
      </c>
      <c r="AI822" t="s" s="15">
        <v>290</v>
      </c>
      <c r="AJ822" t="s" s="15">
        <v>3198</v>
      </c>
      <c r="AK822" t="s" s="15">
        <v>83</v>
      </c>
      <c r="AL822" t="s" s="15">
        <v>293</v>
      </c>
      <c r="AM822" t="s" s="15">
        <v>294</v>
      </c>
      <c r="AN822" s="14"/>
      <c r="AO822" s="17">
        <v>2</v>
      </c>
      <c r="AP822" s="17">
        <v>4096</v>
      </c>
      <c r="AQ822" s="17">
        <v>24659</v>
      </c>
      <c r="AR822" s="17">
        <v>24659</v>
      </c>
      <c r="AS822" t="s" s="15">
        <v>3199</v>
      </c>
      <c r="AT822" t="s" s="15">
        <v>301</v>
      </c>
      <c r="AU822" s="14"/>
      <c r="AV822" s="14"/>
      <c r="AW822" t="s" s="15">
        <v>83</v>
      </c>
      <c r="AX822" t="s" s="15">
        <v>83</v>
      </c>
      <c r="AY822" t="s" s="15">
        <v>309</v>
      </c>
      <c r="AZ822" t="s" s="15">
        <v>83</v>
      </c>
      <c r="BA822" t="s" s="15">
        <v>76</v>
      </c>
      <c r="BB822" t="s" s="15">
        <v>76</v>
      </c>
      <c r="BC822" t="s" s="15">
        <v>76</v>
      </c>
      <c r="BD822" t="s" s="15">
        <v>310</v>
      </c>
      <c r="BE822" t="s" s="15">
        <v>419</v>
      </c>
      <c r="BF822" s="17">
        <v>2</v>
      </c>
      <c r="BG822" s="17">
        <v>4</v>
      </c>
      <c r="BH822" t="s" s="15">
        <v>83</v>
      </c>
      <c r="BI822" t="s" s="15">
        <v>83</v>
      </c>
      <c r="BJ822" t="s" s="15">
        <v>83</v>
      </c>
      <c r="BK822" t="s" s="15">
        <v>83</v>
      </c>
      <c r="BL822" t="s" s="15">
        <v>83</v>
      </c>
      <c r="BM822" t="s" s="15">
        <v>312</v>
      </c>
      <c r="BN822" t="s" s="15">
        <v>69</v>
      </c>
      <c r="BO822" t="s" s="21">
        <v>76</v>
      </c>
      <c r="BP822" s="8"/>
    </row>
    <row r="823" ht="15" customHeight="1" hidden="1">
      <c r="A823" t="s" s="9">
        <v>3200</v>
      </c>
      <c r="B823" s="11"/>
      <c r="C823" t="str" s="11" cm="1">
        <f t="array" ref="C823">_xlfn.IFERROR((VLOOKUP(A823,#REF!,2,FALSE)),"")</f>
      </c>
      <c r="D823" s="11"/>
      <c r="E823" t="s" s="10">
        <v>3201</v>
      </c>
      <c r="F823" s="11"/>
      <c r="G823" t="s" s="10">
        <v>3202</v>
      </c>
      <c r="H823" t="s" s="10">
        <v>2318</v>
      </c>
      <c r="I823" t="s" s="10">
        <v>111</v>
      </c>
      <c r="J823" t="s" s="10">
        <v>322</v>
      </c>
      <c r="K823" t="s" s="10">
        <v>113</v>
      </c>
      <c r="L823" t="s" s="10">
        <v>518</v>
      </c>
      <c r="M823" t="s" s="10">
        <v>3202</v>
      </c>
      <c r="N823" t="s" s="10">
        <v>3202</v>
      </c>
      <c r="O823" s="11"/>
      <c r="P823" t="s" s="10">
        <v>322</v>
      </c>
      <c r="Q823" t="s" s="10">
        <v>78</v>
      </c>
      <c r="R823" t="s" s="10">
        <v>323</v>
      </c>
      <c r="S823" s="11"/>
      <c r="T823" s="11"/>
      <c r="U823" s="11"/>
      <c r="V823" t="s" s="10">
        <v>69</v>
      </c>
      <c r="W823" s="11"/>
      <c r="X823" t="s" s="10">
        <v>69</v>
      </c>
      <c r="Y823" s="11"/>
      <c r="Z823" t="s" s="10">
        <v>552</v>
      </c>
      <c r="AA823" s="11"/>
      <c r="AB823" t="s" s="10">
        <v>520</v>
      </c>
      <c r="AC823" t="s" s="10">
        <v>1226</v>
      </c>
      <c r="AD823" s="11"/>
      <c r="AE823" s="11"/>
      <c r="AF823" s="11"/>
      <c r="AG823" t="s" s="10">
        <v>299</v>
      </c>
      <c r="AH823" t="s" s="10">
        <v>114</v>
      </c>
      <c r="AI823" t="s" s="10">
        <v>290</v>
      </c>
      <c r="AJ823" t="s" s="10">
        <v>3198</v>
      </c>
      <c r="AK823" t="s" s="10">
        <v>83</v>
      </c>
      <c r="AL823" t="s" s="10">
        <v>293</v>
      </c>
      <c r="AM823" t="s" s="10">
        <v>294</v>
      </c>
      <c r="AN823" t="s" s="10">
        <v>1264</v>
      </c>
      <c r="AO823" s="18">
        <v>4</v>
      </c>
      <c r="AP823" s="18">
        <v>4096</v>
      </c>
      <c r="AQ823" s="18">
        <v>157789</v>
      </c>
      <c r="AR823" s="18">
        <v>20464</v>
      </c>
      <c r="AS823" t="s" s="10">
        <v>3203</v>
      </c>
      <c r="AT823" t="s" s="10">
        <v>301</v>
      </c>
      <c r="AU823" s="11"/>
      <c r="AV823" s="11"/>
      <c r="AW823" t="s" s="10">
        <v>83</v>
      </c>
      <c r="AX823" t="s" s="10">
        <v>83</v>
      </c>
      <c r="AY823" t="s" s="10">
        <v>309</v>
      </c>
      <c r="AZ823" t="s" s="10">
        <v>83</v>
      </c>
      <c r="BA823" t="s" s="10">
        <v>76</v>
      </c>
      <c r="BB823" t="s" s="10">
        <v>76</v>
      </c>
      <c r="BC823" t="s" s="10">
        <v>76</v>
      </c>
      <c r="BD823" t="s" s="10">
        <v>310</v>
      </c>
      <c r="BE823" t="s" s="10">
        <v>356</v>
      </c>
      <c r="BF823" s="18">
        <v>4</v>
      </c>
      <c r="BG823" s="18">
        <v>8</v>
      </c>
      <c r="BH823" t="s" s="10">
        <v>83</v>
      </c>
      <c r="BI823" t="s" s="10">
        <v>83</v>
      </c>
      <c r="BJ823" t="s" s="10">
        <v>83</v>
      </c>
      <c r="BK823" t="s" s="10">
        <v>83</v>
      </c>
      <c r="BL823" t="s" s="10">
        <v>83</v>
      </c>
      <c r="BM823" t="s" s="10">
        <v>312</v>
      </c>
      <c r="BN823" t="s" s="10">
        <v>78</v>
      </c>
      <c r="BO823" t="s" s="19">
        <v>76</v>
      </c>
      <c r="BP823" s="8"/>
    </row>
    <row r="824" ht="15" customHeight="1">
      <c r="A824" t="s" s="13">
        <v>3204</v>
      </c>
      <c r="B824" s="14"/>
      <c r="C824" t="str" s="14" cm="1">
        <f t="array" ref="C824">_xlfn.IFERROR((VLOOKUP(A824,#REF!,2,FALSE)),"")</f>
      </c>
      <c r="D824" s="14"/>
      <c r="E824" t="s" s="39">
        <v>3205</v>
      </c>
      <c r="F824" s="14"/>
      <c r="G824" t="s" s="15">
        <v>3206</v>
      </c>
      <c r="H824" t="s" s="15">
        <v>3207</v>
      </c>
      <c r="I824" t="s" s="15">
        <v>111</v>
      </c>
      <c r="J824" t="s" s="15">
        <v>322</v>
      </c>
      <c r="K824" t="s" s="15">
        <v>113</v>
      </c>
      <c r="L824" t="s" s="15">
        <v>83</v>
      </c>
      <c r="M824" t="s" s="15">
        <v>3206</v>
      </c>
      <c r="N824" t="s" s="15">
        <v>3206</v>
      </c>
      <c r="O824" s="14"/>
      <c r="P824" t="s" s="15">
        <v>322</v>
      </c>
      <c r="Q824" t="s" s="15">
        <v>78</v>
      </c>
      <c r="R824" t="s" s="15">
        <v>323</v>
      </c>
      <c r="S824" s="14"/>
      <c r="T824" s="14"/>
      <c r="U824" s="14"/>
      <c r="V824" t="s" s="15">
        <v>78</v>
      </c>
      <c r="W824" s="14"/>
      <c r="X824" t="s" s="15">
        <v>69</v>
      </c>
      <c r="Y824" s="14"/>
      <c r="Z824" t="s" s="15">
        <v>205</v>
      </c>
      <c r="AA824" s="14"/>
      <c r="AB824" t="s" s="15">
        <v>206</v>
      </c>
      <c r="AC824" t="s" s="15">
        <v>1226</v>
      </c>
      <c r="AD824" s="14"/>
      <c r="AE824" s="14"/>
      <c r="AF824" s="14"/>
      <c r="AG824" t="s" s="15">
        <v>299</v>
      </c>
      <c r="AH824" t="s" s="15">
        <v>114</v>
      </c>
      <c r="AI824" t="s" s="15">
        <v>290</v>
      </c>
      <c r="AJ824" t="s" s="15">
        <v>3198</v>
      </c>
      <c r="AK824" t="s" s="15">
        <v>83</v>
      </c>
      <c r="AL824" t="s" s="15">
        <v>293</v>
      </c>
      <c r="AM824" t="s" s="15">
        <v>294</v>
      </c>
      <c r="AN824" s="14"/>
      <c r="AO824" s="17">
        <v>2</v>
      </c>
      <c r="AP824" s="17">
        <v>4096</v>
      </c>
      <c r="AQ824" s="17">
        <v>34899</v>
      </c>
      <c r="AR824" s="17">
        <v>34899</v>
      </c>
      <c r="AS824" t="s" s="15">
        <v>3208</v>
      </c>
      <c r="AT824" t="s" s="15">
        <v>301</v>
      </c>
      <c r="AU824" s="14"/>
      <c r="AV824" s="14"/>
      <c r="AW824" t="s" s="15">
        <v>83</v>
      </c>
      <c r="AX824" t="s" s="15">
        <v>83</v>
      </c>
      <c r="AY824" t="s" s="15">
        <v>309</v>
      </c>
      <c r="AZ824" t="s" s="15">
        <v>83</v>
      </c>
      <c r="BA824" t="s" s="15">
        <v>76</v>
      </c>
      <c r="BB824" t="s" s="15">
        <v>76</v>
      </c>
      <c r="BC824" t="s" s="15">
        <v>76</v>
      </c>
      <c r="BD824" t="s" s="15">
        <v>310</v>
      </c>
      <c r="BE824" t="s" s="15">
        <v>419</v>
      </c>
      <c r="BF824" s="17">
        <v>2</v>
      </c>
      <c r="BG824" s="17">
        <v>4</v>
      </c>
      <c r="BH824" t="s" s="15">
        <v>83</v>
      </c>
      <c r="BI824" t="s" s="15">
        <v>83</v>
      </c>
      <c r="BJ824" t="s" s="15">
        <v>83</v>
      </c>
      <c r="BK824" t="s" s="15">
        <v>83</v>
      </c>
      <c r="BL824" t="s" s="15">
        <v>83</v>
      </c>
      <c r="BM824" t="s" s="15">
        <v>312</v>
      </c>
      <c r="BN824" t="s" s="15">
        <v>69</v>
      </c>
      <c r="BO824" t="s" s="21">
        <v>76</v>
      </c>
      <c r="BP824" s="8"/>
    </row>
    <row r="825" ht="9" customHeight="1" hidden="1">
      <c r="A825" t="s" s="9">
        <v>3209</v>
      </c>
      <c r="B825" s="11"/>
      <c r="C825" t="str" s="11" cm="1">
        <f t="array" ref="C825">_xlfn.IFERROR((VLOOKUP(A825,#REF!,2,FALSE)),"")</f>
      </c>
      <c r="D825" s="11"/>
      <c r="E825" t="s" s="10">
        <v>3210</v>
      </c>
      <c r="F825" s="11"/>
      <c r="G825" t="s" s="10">
        <v>3211</v>
      </c>
      <c r="H825" t="s" s="10">
        <v>2318</v>
      </c>
      <c r="I825" t="s" s="10">
        <v>111</v>
      </c>
      <c r="J825" t="s" s="10">
        <v>112</v>
      </c>
      <c r="K825" t="s" s="10">
        <v>113</v>
      </c>
      <c r="L825" t="s" s="10">
        <v>518</v>
      </c>
      <c r="M825" t="s" s="10">
        <v>3211</v>
      </c>
      <c r="N825" t="s" s="10">
        <v>3211</v>
      </c>
      <c r="O825" t="s" s="10">
        <v>71</v>
      </c>
      <c r="P825" t="s" s="10">
        <v>112</v>
      </c>
      <c r="Q825" t="s" s="10">
        <v>78</v>
      </c>
      <c r="R825" t="s" s="10">
        <v>339</v>
      </c>
      <c r="S825" s="11"/>
      <c r="T825" s="11"/>
      <c r="U825" s="11"/>
      <c r="V825" t="s" s="10">
        <v>78</v>
      </c>
      <c r="W825" s="11"/>
      <c r="X825" t="s" s="10">
        <v>69</v>
      </c>
      <c r="Y825" s="11"/>
      <c r="Z825" t="s" s="10">
        <v>552</v>
      </c>
      <c r="AA825" s="11"/>
      <c r="AB825" t="s" s="10">
        <v>520</v>
      </c>
      <c r="AC825" t="s" s="10">
        <v>1226</v>
      </c>
      <c r="AD825" s="11"/>
      <c r="AE825" s="11"/>
      <c r="AF825" s="11"/>
      <c r="AG825" t="s" s="10">
        <v>299</v>
      </c>
      <c r="AH825" t="s" s="10">
        <v>114</v>
      </c>
      <c r="AI825" t="s" s="10">
        <v>76</v>
      </c>
      <c r="AJ825" t="s" s="10">
        <v>76</v>
      </c>
      <c r="AK825" t="s" s="10">
        <v>79</v>
      </c>
      <c r="AL825" t="s" s="10">
        <v>293</v>
      </c>
      <c r="AM825" t="s" s="10">
        <v>196</v>
      </c>
      <c r="AN825" s="11"/>
      <c r="AO825" s="18">
        <v>2</v>
      </c>
      <c r="AP825" s="18">
        <v>4096</v>
      </c>
      <c r="AQ825" s="18">
        <v>24658</v>
      </c>
      <c r="AR825" s="18">
        <v>24658</v>
      </c>
      <c r="AS825" t="s" s="10">
        <v>3212</v>
      </c>
      <c r="AT825" t="s" s="10">
        <v>301</v>
      </c>
      <c r="AU825" s="11"/>
      <c r="AV825" s="11"/>
      <c r="AW825" s="11"/>
      <c r="AX825" s="11"/>
      <c r="AY825" s="11"/>
      <c r="AZ825" s="11"/>
      <c r="BA825" s="11"/>
      <c r="BB825" s="11"/>
      <c r="BC825" s="11"/>
      <c r="BD825" t="s" s="10">
        <v>310</v>
      </c>
      <c r="BE825" t="s" s="10">
        <v>419</v>
      </c>
      <c r="BF825" s="18">
        <v>2</v>
      </c>
      <c r="BG825" s="18">
        <v>4</v>
      </c>
      <c r="BH825" s="11"/>
      <c r="BI825" s="11"/>
      <c r="BJ825" s="11"/>
      <c r="BK825" s="11"/>
      <c r="BL825" s="11"/>
      <c r="BM825" s="11"/>
      <c r="BN825" t="s" s="10">
        <v>69</v>
      </c>
      <c r="BO825" s="12"/>
      <c r="BP825" s="8"/>
    </row>
    <row r="826" ht="9" customHeight="1" hidden="1">
      <c r="A826" t="s" s="13">
        <v>3213</v>
      </c>
      <c r="B826" s="14"/>
      <c r="C826" t="str" s="14" cm="1">
        <f t="array" ref="C826">_xlfn.IFERROR((VLOOKUP(A826,#REF!,2,FALSE)),"")</f>
      </c>
      <c r="D826" s="14"/>
      <c r="E826" t="s" s="15">
        <v>3214</v>
      </c>
      <c r="F826" s="14"/>
      <c r="G826" t="s" s="15">
        <v>3215</v>
      </c>
      <c r="H826" t="s" s="15">
        <v>3216</v>
      </c>
      <c r="I826" t="s" s="15">
        <v>73</v>
      </c>
      <c r="J826" t="s" s="15">
        <v>74</v>
      </c>
      <c r="K826" t="s" s="15">
        <v>113</v>
      </c>
      <c r="L826" t="s" s="15">
        <v>76</v>
      </c>
      <c r="M826" t="s" s="15">
        <v>3215</v>
      </c>
      <c r="N826" t="s" s="15">
        <v>3215</v>
      </c>
      <c r="O826" t="s" s="15">
        <v>71</v>
      </c>
      <c r="P826" t="s" s="15">
        <v>112</v>
      </c>
      <c r="Q826" t="s" s="15">
        <v>78</v>
      </c>
      <c r="R826" t="s" s="15">
        <v>339</v>
      </c>
      <c r="S826" s="14"/>
      <c r="T826" s="14"/>
      <c r="U826" s="14"/>
      <c r="V826" t="s" s="15">
        <v>78</v>
      </c>
      <c r="W826" s="14"/>
      <c r="X826" t="s" s="15">
        <v>69</v>
      </c>
      <c r="Y826" s="14"/>
      <c r="Z826" t="s" s="15">
        <v>76</v>
      </c>
      <c r="AA826" s="14"/>
      <c r="AB826" t="s" s="15">
        <v>76</v>
      </c>
      <c r="AC826" s="14"/>
      <c r="AD826" s="14"/>
      <c r="AE826" s="14"/>
      <c r="AF826" s="14"/>
      <c r="AG826" s="14"/>
      <c r="AH826" t="s" s="15">
        <v>114</v>
      </c>
      <c r="AI826" t="s" s="15">
        <v>76</v>
      </c>
      <c r="AJ826" t="s" s="15">
        <v>76</v>
      </c>
      <c r="AK826" t="s" s="15">
        <v>79</v>
      </c>
      <c r="AL826" t="s" s="15">
        <v>293</v>
      </c>
      <c r="AM826" t="s" s="15">
        <v>196</v>
      </c>
      <c r="AN826" s="14"/>
      <c r="AO826" s="17">
        <v>2</v>
      </c>
      <c r="AP826" s="17">
        <v>4096</v>
      </c>
      <c r="AQ826" s="17">
        <v>40018</v>
      </c>
      <c r="AR826" s="17">
        <v>40018</v>
      </c>
      <c r="AS826" s="14"/>
      <c r="AT826" s="14"/>
      <c r="AU826" s="14"/>
      <c r="AV826" s="14"/>
      <c r="AW826" s="14"/>
      <c r="AX826" s="14"/>
      <c r="AY826" s="14"/>
      <c r="AZ826" s="14"/>
      <c r="BA826" s="14"/>
      <c r="BB826" s="14"/>
      <c r="BC826" s="14"/>
      <c r="BD826" t="s" s="15">
        <v>310</v>
      </c>
      <c r="BE826" t="s" s="15">
        <v>419</v>
      </c>
      <c r="BF826" s="17">
        <v>2</v>
      </c>
      <c r="BG826" s="17">
        <v>4</v>
      </c>
      <c r="BH826" s="14"/>
      <c r="BI826" s="14"/>
      <c r="BJ826" s="14"/>
      <c r="BK826" s="14"/>
      <c r="BL826" s="14"/>
      <c r="BM826" s="14"/>
      <c r="BN826" s="14"/>
      <c r="BO826" s="16"/>
      <c r="BP826" s="8"/>
    </row>
    <row r="827" ht="9" customHeight="1" hidden="1">
      <c r="A827" t="s" s="9">
        <v>3217</v>
      </c>
      <c r="B827" s="11"/>
      <c r="C827" t="str" s="11" cm="1">
        <f t="array" ref="C827">_xlfn.IFERROR((VLOOKUP(A827,#REF!,2,FALSE)),"")</f>
      </c>
      <c r="D827" s="11"/>
      <c r="E827" t="s" s="10">
        <v>3218</v>
      </c>
      <c r="F827" t="s" s="10">
        <v>1940</v>
      </c>
      <c r="G827" t="s" s="10">
        <v>3219</v>
      </c>
      <c r="H827" t="s" s="10">
        <v>1758</v>
      </c>
      <c r="I827" t="s" s="10">
        <v>111</v>
      </c>
      <c r="J827" t="s" s="10">
        <v>322</v>
      </c>
      <c r="K827" t="s" s="10">
        <v>113</v>
      </c>
      <c r="L827" t="s" s="10">
        <v>1759</v>
      </c>
      <c r="M827" t="s" s="10">
        <v>3219</v>
      </c>
      <c r="N827" t="s" s="10">
        <v>3219</v>
      </c>
      <c r="O827" s="11"/>
      <c r="P827" t="s" s="10">
        <v>322</v>
      </c>
      <c r="Q827" t="s" s="10">
        <v>78</v>
      </c>
      <c r="R827" t="s" s="10">
        <v>83</v>
      </c>
      <c r="S827" t="s" s="10">
        <v>3220</v>
      </c>
      <c r="T827" s="11"/>
      <c r="U827" s="11"/>
      <c r="V827" t="s" s="10">
        <v>78</v>
      </c>
      <c r="W827" s="11"/>
      <c r="X827" t="s" s="10">
        <v>69</v>
      </c>
      <c r="Y827" s="11"/>
      <c r="Z827" t="s" s="10">
        <v>1760</v>
      </c>
      <c r="AA827" s="11"/>
      <c r="AB827" t="s" s="10">
        <v>1761</v>
      </c>
      <c r="AC827" t="s" s="10">
        <v>1226</v>
      </c>
      <c r="AD827" s="11"/>
      <c r="AE827" s="11"/>
      <c r="AF827" s="11"/>
      <c r="AG827" t="s" s="10">
        <v>299</v>
      </c>
      <c r="AH827" t="s" s="10">
        <v>114</v>
      </c>
      <c r="AI827" t="s" s="10">
        <v>290</v>
      </c>
      <c r="AJ827" t="s" s="10">
        <v>405</v>
      </c>
      <c r="AK827" t="s" s="10">
        <v>1195</v>
      </c>
      <c r="AL827" t="s" s="10">
        <v>293</v>
      </c>
      <c r="AM827" t="s" s="10">
        <v>294</v>
      </c>
      <c r="AN827" t="s" s="10">
        <v>3221</v>
      </c>
      <c r="AO827" s="18">
        <v>1</v>
      </c>
      <c r="AP827" s="18">
        <v>1024</v>
      </c>
      <c r="AQ827" s="18">
        <v>21585</v>
      </c>
      <c r="AR827" s="18">
        <v>21219</v>
      </c>
      <c r="AS827" t="s" s="10">
        <v>3222</v>
      </c>
      <c r="AT827" t="s" s="10">
        <v>301</v>
      </c>
      <c r="AU827" t="s" s="10">
        <v>1174</v>
      </c>
      <c r="AV827" t="s" s="10">
        <v>83</v>
      </c>
      <c r="AW827" t="s" s="10">
        <v>83</v>
      </c>
      <c r="AX827" t="s" s="10">
        <v>83</v>
      </c>
      <c r="AY827" t="s" s="10">
        <v>309</v>
      </c>
      <c r="AZ827" t="s" s="10">
        <v>83</v>
      </c>
      <c r="BA827" t="s" s="10">
        <v>76</v>
      </c>
      <c r="BB827" t="s" s="10">
        <v>76</v>
      </c>
      <c r="BC827" t="s" s="10">
        <v>76</v>
      </c>
      <c r="BD827" t="s" s="10">
        <v>310</v>
      </c>
      <c r="BE827" t="s" s="10">
        <v>419</v>
      </c>
      <c r="BF827" s="18">
        <v>2</v>
      </c>
      <c r="BG827" s="18">
        <v>4</v>
      </c>
      <c r="BH827" t="s" s="10">
        <v>83</v>
      </c>
      <c r="BI827" t="s" s="10">
        <v>83</v>
      </c>
      <c r="BJ827" t="s" s="10">
        <v>83</v>
      </c>
      <c r="BK827" t="s" s="10">
        <v>83</v>
      </c>
      <c r="BL827" t="s" s="10">
        <v>83</v>
      </c>
      <c r="BM827" t="s" s="10">
        <v>312</v>
      </c>
      <c r="BN827" t="s" s="10">
        <v>78</v>
      </c>
      <c r="BO827" t="s" s="19">
        <v>76</v>
      </c>
      <c r="BP827" s="8"/>
    </row>
    <row r="828" ht="9" customHeight="1" hidden="1">
      <c r="A828" t="s" s="13">
        <v>3223</v>
      </c>
      <c r="B828" s="14"/>
      <c r="C828" t="str" s="14" cm="1">
        <f t="array" ref="C828">_xlfn.IFERROR((VLOOKUP(A828,#REF!,2,FALSE)),"")</f>
      </c>
      <c r="D828" s="14"/>
      <c r="E828" t="s" s="15">
        <v>2225</v>
      </c>
      <c r="F828" s="14"/>
      <c r="G828" t="s" s="15">
        <v>3224</v>
      </c>
      <c r="H828" t="s" s="15">
        <v>3224</v>
      </c>
      <c r="I828" t="s" s="15">
        <v>111</v>
      </c>
      <c r="J828" t="s" s="15">
        <v>112</v>
      </c>
      <c r="K828" t="s" s="15">
        <v>113</v>
      </c>
      <c r="L828" t="s" s="15">
        <v>76</v>
      </c>
      <c r="M828" t="s" s="15">
        <v>3225</v>
      </c>
      <c r="N828" t="s" s="15">
        <v>3225</v>
      </c>
      <c r="O828" s="14"/>
      <c r="P828" t="s" s="15">
        <v>112</v>
      </c>
      <c r="Q828" t="s" s="15">
        <v>78</v>
      </c>
      <c r="R828" t="s" s="15">
        <v>323</v>
      </c>
      <c r="S828" s="14"/>
      <c r="T828" s="14"/>
      <c r="U828" s="14"/>
      <c r="V828" t="s" s="15">
        <v>78</v>
      </c>
      <c r="W828" s="14"/>
      <c r="X828" t="s" s="15">
        <v>69</v>
      </c>
      <c r="Y828" s="14"/>
      <c r="Z828" t="s" s="15">
        <v>205</v>
      </c>
      <c r="AA828" s="14"/>
      <c r="AB828" t="s" s="15">
        <v>520</v>
      </c>
      <c r="AC828" s="14"/>
      <c r="AD828" s="14"/>
      <c r="AE828" s="14"/>
      <c r="AF828" t="s" s="15">
        <v>3226</v>
      </c>
      <c r="AG828" t="s" s="15">
        <v>299</v>
      </c>
      <c r="AH828" t="s" s="15">
        <v>114</v>
      </c>
      <c r="AI828" t="s" s="15">
        <v>76</v>
      </c>
      <c r="AJ828" t="s" s="15">
        <v>76</v>
      </c>
      <c r="AK828" t="s" s="15">
        <v>79</v>
      </c>
      <c r="AL828" t="s" s="15">
        <v>293</v>
      </c>
      <c r="AM828" t="s" s="15">
        <v>294</v>
      </c>
      <c r="AN828" s="14"/>
      <c r="AO828" s="17">
        <v>4</v>
      </c>
      <c r="AP828" s="17">
        <v>4096</v>
      </c>
      <c r="AQ828" s="17">
        <v>57428</v>
      </c>
      <c r="AR828" s="17">
        <v>54128</v>
      </c>
      <c r="AS828" t="s" s="15">
        <v>3227</v>
      </c>
      <c r="AT828" t="s" s="15">
        <v>301</v>
      </c>
      <c r="AU828" s="14"/>
      <c r="AV828" s="14"/>
      <c r="AW828" s="14"/>
      <c r="AX828" s="14"/>
      <c r="AY828" s="14"/>
      <c r="AZ828" s="14"/>
      <c r="BA828" s="14"/>
      <c r="BB828" s="14"/>
      <c r="BC828" s="14"/>
      <c r="BD828" t="s" s="15">
        <v>310</v>
      </c>
      <c r="BE828" t="s" s="15">
        <v>356</v>
      </c>
      <c r="BF828" s="17">
        <v>4</v>
      </c>
      <c r="BG828" s="17">
        <v>8</v>
      </c>
      <c r="BH828" s="14"/>
      <c r="BI828" s="14"/>
      <c r="BJ828" s="14"/>
      <c r="BK828" s="14"/>
      <c r="BL828" s="14"/>
      <c r="BM828" s="14"/>
      <c r="BN828" t="s" s="15">
        <v>78</v>
      </c>
      <c r="BO828" s="16"/>
      <c r="BP828" s="8"/>
    </row>
    <row r="829" ht="9" customHeight="1" hidden="1">
      <c r="A829" t="s" s="9">
        <v>3228</v>
      </c>
      <c r="B829" s="11"/>
      <c r="C829" t="str" s="11" cm="1">
        <f t="array" ref="C829">_xlfn.IFERROR((VLOOKUP(A829,#REF!,2,FALSE)),"")</f>
      </c>
      <c r="D829" s="11"/>
      <c r="E829" t="s" s="10">
        <v>195</v>
      </c>
      <c r="F829" t="s" s="10">
        <v>1940</v>
      </c>
      <c r="G829" t="s" s="10">
        <v>3229</v>
      </c>
      <c r="H829" t="s" s="10">
        <v>3230</v>
      </c>
      <c r="I829" t="s" s="10">
        <v>73</v>
      </c>
      <c r="J829" t="s" s="10">
        <v>74</v>
      </c>
      <c r="K829" t="s" s="10">
        <v>113</v>
      </c>
      <c r="L829" t="s" s="10">
        <v>3231</v>
      </c>
      <c r="M829" t="s" s="10">
        <v>3232</v>
      </c>
      <c r="N829" t="s" s="10">
        <v>3232</v>
      </c>
      <c r="O829" t="s" s="10">
        <v>71</v>
      </c>
      <c r="P829" t="s" s="10">
        <v>517</v>
      </c>
      <c r="Q829" t="s" s="10">
        <v>78</v>
      </c>
      <c r="R829" t="s" s="10">
        <v>339</v>
      </c>
      <c r="S829" s="11"/>
      <c r="T829" s="11"/>
      <c r="U829" s="11"/>
      <c r="V829" t="s" s="10">
        <v>78</v>
      </c>
      <c r="W829" s="11"/>
      <c r="X829" t="s" s="10">
        <v>69</v>
      </c>
      <c r="Y829" s="11"/>
      <c r="Z829" t="s" s="10">
        <v>76</v>
      </c>
      <c r="AA829" s="11"/>
      <c r="AB829" t="s" s="10">
        <v>76</v>
      </c>
      <c r="AC829" t="s" s="10">
        <v>1226</v>
      </c>
      <c r="AD829" s="11"/>
      <c r="AE829" s="11"/>
      <c r="AF829" s="11"/>
      <c r="AG829" t="s" s="10">
        <v>299</v>
      </c>
      <c r="AH829" t="s" s="10">
        <v>114</v>
      </c>
      <c r="AI829" t="s" s="10">
        <v>76</v>
      </c>
      <c r="AJ829" t="s" s="10">
        <v>76</v>
      </c>
      <c r="AK829" t="s" s="10">
        <v>79</v>
      </c>
      <c r="AL829" t="s" s="10">
        <v>293</v>
      </c>
      <c r="AM829" t="s" s="10">
        <v>196</v>
      </c>
      <c r="AN829" s="11"/>
      <c r="AO829" s="18">
        <v>1</v>
      </c>
      <c r="AP829" s="18">
        <v>4096</v>
      </c>
      <c r="AQ829" s="18">
        <v>90032</v>
      </c>
      <c r="AR829" s="18">
        <v>40532</v>
      </c>
      <c r="AS829" t="s" s="10">
        <v>3233</v>
      </c>
      <c r="AT829" t="s" s="10">
        <v>301</v>
      </c>
      <c r="AU829" s="11"/>
      <c r="AV829" s="11"/>
      <c r="AW829" s="11"/>
      <c r="AX829" s="11"/>
      <c r="AY829" s="11"/>
      <c r="AZ829" s="11"/>
      <c r="BA829" s="11"/>
      <c r="BB829" s="11"/>
      <c r="BC829" s="11"/>
      <c r="BD829" t="s" s="10">
        <v>310</v>
      </c>
      <c r="BE829" t="s" s="10">
        <v>419</v>
      </c>
      <c r="BF829" s="18">
        <v>2</v>
      </c>
      <c r="BG829" s="18">
        <v>4</v>
      </c>
      <c r="BH829" s="11"/>
      <c r="BI829" s="11"/>
      <c r="BJ829" s="11"/>
      <c r="BK829" s="11"/>
      <c r="BL829" s="11"/>
      <c r="BM829" s="11"/>
      <c r="BN829" s="11"/>
      <c r="BO829" s="12"/>
      <c r="BP829" s="8"/>
    </row>
    <row r="830" ht="15" customHeight="1">
      <c r="A830" t="s" s="13">
        <v>3234</v>
      </c>
      <c r="B830" s="14"/>
      <c r="C830" t="str" s="14" cm="1">
        <f t="array" ref="C830">_xlfn.IFERROR((VLOOKUP(A830,#REF!,2,FALSE)),"")</f>
      </c>
      <c r="D830" s="14"/>
      <c r="E830" t="s" s="15">
        <v>3235</v>
      </c>
      <c r="F830" s="14"/>
      <c r="G830" t="s" s="15">
        <v>3236</v>
      </c>
      <c r="H830" t="s" s="15">
        <v>3236</v>
      </c>
      <c r="I830" t="s" s="15">
        <v>111</v>
      </c>
      <c r="J830" t="s" s="15">
        <v>122</v>
      </c>
      <c r="K830" t="s" s="15">
        <v>105</v>
      </c>
      <c r="L830" t="s" s="15">
        <v>76</v>
      </c>
      <c r="M830" t="s" s="15">
        <v>3236</v>
      </c>
      <c r="N830" t="s" s="15">
        <v>3236</v>
      </c>
      <c r="O830" s="14"/>
      <c r="P830" t="s" s="15">
        <v>122</v>
      </c>
      <c r="Q830" t="s" s="15">
        <v>69</v>
      </c>
      <c r="R830" t="s" s="15">
        <v>83</v>
      </c>
      <c r="S830" s="14"/>
      <c r="T830" s="14"/>
      <c r="U830" s="14"/>
      <c r="V830" t="s" s="15">
        <v>69</v>
      </c>
      <c r="W830" s="14"/>
      <c r="X830" t="s" s="15">
        <v>69</v>
      </c>
      <c r="Y830" s="14"/>
      <c r="Z830" t="s" s="15">
        <v>76</v>
      </c>
      <c r="AA830" s="14"/>
      <c r="AB830" t="s" s="15">
        <v>76</v>
      </c>
      <c r="AC830" t="s" s="15">
        <v>3234</v>
      </c>
      <c r="AD830" t="s" s="15">
        <v>3237</v>
      </c>
      <c r="AE830" s="14"/>
      <c r="AF830" t="s" s="15">
        <v>76</v>
      </c>
      <c r="AG830" t="s" s="15">
        <v>299</v>
      </c>
      <c r="AH830" t="s" s="15">
        <v>114</v>
      </c>
      <c r="AI830" t="s" s="15">
        <v>332</v>
      </c>
      <c r="AJ830" t="s" s="15">
        <v>405</v>
      </c>
      <c r="AK830" t="s" s="15">
        <v>83</v>
      </c>
      <c r="AL830" t="s" s="15">
        <v>293</v>
      </c>
      <c r="AM830" t="s" s="15">
        <v>294</v>
      </c>
      <c r="AN830" t="s" s="15">
        <v>128</v>
      </c>
      <c r="AO830" s="17">
        <v>4</v>
      </c>
      <c r="AP830" s="17">
        <v>16384</v>
      </c>
      <c r="AQ830" s="17">
        <v>170385</v>
      </c>
      <c r="AR830" s="17">
        <v>170385</v>
      </c>
      <c r="AS830" t="s" s="15">
        <v>3238</v>
      </c>
      <c r="AT830" t="s" s="15">
        <v>301</v>
      </c>
      <c r="AU830" s="14"/>
      <c r="AV830" s="14"/>
      <c r="AW830" s="14"/>
      <c r="AX830" s="14"/>
      <c r="AY830" s="14"/>
      <c r="AZ830" s="14"/>
      <c r="BA830" s="14"/>
      <c r="BB830" s="14"/>
      <c r="BC830" s="14"/>
      <c r="BD830" t="s" s="15">
        <v>366</v>
      </c>
      <c r="BE830" t="s" s="15">
        <v>394</v>
      </c>
      <c r="BF830" s="17">
        <v>4</v>
      </c>
      <c r="BG830" s="17">
        <v>16</v>
      </c>
      <c r="BH830" s="14"/>
      <c r="BI830" s="14"/>
      <c r="BJ830" s="14"/>
      <c r="BK830" s="14"/>
      <c r="BL830" s="14"/>
      <c r="BM830" s="14"/>
      <c r="BN830" t="s" s="15">
        <v>69</v>
      </c>
      <c r="BO830" s="16"/>
      <c r="BP830" s="8"/>
    </row>
    <row r="831" ht="15" customHeight="1">
      <c r="A831" t="s" s="9">
        <v>3239</v>
      </c>
      <c r="B831" s="11"/>
      <c r="C831" t="str" s="11" cm="1">
        <f t="array" ref="C831">_xlfn.IFERROR((VLOOKUP(A831,#REF!,2,FALSE)),"")</f>
      </c>
      <c r="D831" s="11"/>
      <c r="E831" t="s" s="10">
        <v>3240</v>
      </c>
      <c r="F831" s="11"/>
      <c r="G831" t="s" s="10">
        <v>3241</v>
      </c>
      <c r="H831" t="s" s="10">
        <v>3242</v>
      </c>
      <c r="I831" t="s" s="10">
        <v>111</v>
      </c>
      <c r="J831" t="s" s="10">
        <v>74</v>
      </c>
      <c r="K831" t="s" s="10">
        <v>113</v>
      </c>
      <c r="L831" t="s" s="10">
        <v>3231</v>
      </c>
      <c r="M831" t="s" s="10">
        <v>3243</v>
      </c>
      <c r="N831" t="s" s="10">
        <v>3243</v>
      </c>
      <c r="O831" s="11"/>
      <c r="P831" t="s" s="10">
        <v>122</v>
      </c>
      <c r="Q831" t="s" s="10">
        <v>78</v>
      </c>
      <c r="R831" t="s" s="10">
        <v>123</v>
      </c>
      <c r="S831" s="11"/>
      <c r="T831" s="11"/>
      <c r="U831" s="11"/>
      <c r="V831" t="s" s="10">
        <v>78</v>
      </c>
      <c r="W831" s="11"/>
      <c r="X831" t="s" s="10">
        <v>69</v>
      </c>
      <c r="Y831" s="11"/>
      <c r="Z831" t="s" s="10">
        <v>289</v>
      </c>
      <c r="AA831" s="11"/>
      <c r="AB831" t="s" s="10">
        <v>520</v>
      </c>
      <c r="AC831" s="11"/>
      <c r="AD831" s="11"/>
      <c r="AE831" s="11"/>
      <c r="AF831" t="s" s="10">
        <v>3242</v>
      </c>
      <c r="AG831" t="s" s="10">
        <v>299</v>
      </c>
      <c r="AH831" t="s" s="10">
        <v>114</v>
      </c>
      <c r="AI831" t="s" s="10">
        <v>332</v>
      </c>
      <c r="AJ831" t="s" s="10">
        <v>333</v>
      </c>
      <c r="AK831" t="s" s="10">
        <v>83</v>
      </c>
      <c r="AL831" t="s" s="10">
        <v>293</v>
      </c>
      <c r="AM831" t="s" s="10">
        <v>294</v>
      </c>
      <c r="AN831" s="11"/>
      <c r="AO831" s="18">
        <v>2</v>
      </c>
      <c r="AP831" s="18">
        <v>4096</v>
      </c>
      <c r="AQ831" s="18">
        <v>24658</v>
      </c>
      <c r="AR831" s="18">
        <v>23584</v>
      </c>
      <c r="AS831" t="s" s="10">
        <v>3244</v>
      </c>
      <c r="AT831" t="s" s="10">
        <v>301</v>
      </c>
      <c r="AU831" s="11"/>
      <c r="AV831" s="11"/>
      <c r="AW831" s="11"/>
      <c r="AX831" s="11"/>
      <c r="AY831" s="11"/>
      <c r="AZ831" s="11"/>
      <c r="BA831" s="11"/>
      <c r="BB831" s="11"/>
      <c r="BC831" s="11"/>
      <c r="BD831" t="s" s="10">
        <v>310</v>
      </c>
      <c r="BE831" t="s" s="10">
        <v>419</v>
      </c>
      <c r="BF831" s="18">
        <v>2</v>
      </c>
      <c r="BG831" s="18">
        <v>4</v>
      </c>
      <c r="BH831" s="11"/>
      <c r="BI831" s="11"/>
      <c r="BJ831" s="11"/>
      <c r="BK831" s="11"/>
      <c r="BL831" s="11"/>
      <c r="BM831" s="11"/>
      <c r="BN831" t="s" s="10">
        <v>69</v>
      </c>
      <c r="BO831" s="12"/>
      <c r="BP831" s="8"/>
    </row>
    <row r="832" ht="15" customHeight="1" hidden="1">
      <c r="A832" t="s" s="13">
        <v>3245</v>
      </c>
      <c r="B832" s="14"/>
      <c r="C832" t="str" s="14" cm="1">
        <f t="array" ref="C832">_xlfn.IFERROR((VLOOKUP(A832,#REF!,2,FALSE)),"")</f>
      </c>
      <c r="D832" s="14"/>
      <c r="E832" s="14"/>
      <c r="F832" s="14"/>
      <c r="G832" t="s" s="15">
        <v>3246</v>
      </c>
      <c r="H832" t="s" s="15">
        <v>516</v>
      </c>
      <c r="I832" t="s" s="15">
        <v>111</v>
      </c>
      <c r="J832" t="s" s="15">
        <v>122</v>
      </c>
      <c r="K832" t="s" s="15">
        <v>140</v>
      </c>
      <c r="L832" t="s" s="15">
        <v>518</v>
      </c>
      <c r="M832" t="s" s="15">
        <v>3246</v>
      </c>
      <c r="N832" t="s" s="15">
        <v>3246</v>
      </c>
      <c r="O832" s="14"/>
      <c r="P832" t="s" s="15">
        <v>122</v>
      </c>
      <c r="Q832" t="s" s="15">
        <v>78</v>
      </c>
      <c r="R832" t="s" s="15">
        <v>83</v>
      </c>
      <c r="S832" s="14"/>
      <c r="T832" s="14"/>
      <c r="U832" s="14"/>
      <c r="V832" t="s" s="15">
        <v>69</v>
      </c>
      <c r="W832" s="14"/>
      <c r="X832" t="s" s="15">
        <v>69</v>
      </c>
      <c r="Y832" s="14"/>
      <c r="Z832" t="s" s="15">
        <v>205</v>
      </c>
      <c r="AA832" s="14"/>
      <c r="AB832" t="s" s="15">
        <v>520</v>
      </c>
      <c r="AC832" s="14"/>
      <c r="AD832" s="14"/>
      <c r="AE832" s="14"/>
      <c r="AF832" s="14"/>
      <c r="AG832" t="s" s="15">
        <v>299</v>
      </c>
      <c r="AH832" t="s" s="15">
        <v>289</v>
      </c>
      <c r="AI832" t="s" s="15">
        <v>440</v>
      </c>
      <c r="AJ832" s="14"/>
      <c r="AK832" t="s" s="15">
        <v>83</v>
      </c>
      <c r="AL832" t="s" s="15">
        <v>293</v>
      </c>
      <c r="AM832" t="s" s="15">
        <v>294</v>
      </c>
      <c r="AN832" t="s" s="15">
        <v>1239</v>
      </c>
      <c r="AO832" s="17">
        <v>4</v>
      </c>
      <c r="AP832" s="17">
        <v>18432</v>
      </c>
      <c r="AQ832" s="17">
        <v>264343</v>
      </c>
      <c r="AR832" s="17">
        <v>138870</v>
      </c>
      <c r="AS832" t="s" s="15">
        <v>3247</v>
      </c>
      <c r="AT832" t="s" s="15">
        <v>301</v>
      </c>
      <c r="AU832" s="14"/>
      <c r="AV832" s="14"/>
      <c r="AW832" t="s" s="15">
        <v>3248</v>
      </c>
      <c r="AX832" s="14"/>
      <c r="AY832" s="14"/>
      <c r="AZ832" s="14"/>
      <c r="BA832" s="14"/>
      <c r="BB832" s="14"/>
      <c r="BC832" s="14"/>
      <c r="BD832" t="s" s="15">
        <v>366</v>
      </c>
      <c r="BE832" t="s" s="24">
        <v>489</v>
      </c>
      <c r="BF832" s="20"/>
      <c r="BG832" s="20"/>
      <c r="BH832" s="14"/>
      <c r="BI832" s="14"/>
      <c r="BJ832" s="14"/>
      <c r="BK832" s="14"/>
      <c r="BL832" s="14"/>
      <c r="BM832" s="14"/>
      <c r="BN832" t="s" s="15">
        <v>78</v>
      </c>
      <c r="BO832" s="16"/>
      <c r="BP832" s="8"/>
    </row>
    <row r="833" ht="9" customHeight="1" hidden="1">
      <c r="A833" t="s" s="9">
        <v>3249</v>
      </c>
      <c r="B833" s="11"/>
      <c r="C833" t="str" s="11" cm="1">
        <f t="array" ref="C833">_xlfn.IFERROR((VLOOKUP(A833,#REF!,2,FALSE)),"")</f>
      </c>
      <c r="D833" t="s" s="10">
        <v>70</v>
      </c>
      <c r="E833" t="s" s="10">
        <v>71</v>
      </c>
      <c r="F833" s="11"/>
      <c r="G833" s="11"/>
      <c r="H833" s="11"/>
      <c r="I833" t="s" s="10">
        <v>73</v>
      </c>
      <c r="J833" t="s" s="10">
        <v>74</v>
      </c>
      <c r="K833" t="s" s="10">
        <v>113</v>
      </c>
      <c r="L833" t="s" s="10">
        <v>76</v>
      </c>
      <c r="M833" t="s" s="10">
        <v>77</v>
      </c>
      <c r="N833" s="11"/>
      <c r="O833" t="s" s="10">
        <v>71</v>
      </c>
      <c r="P833" s="11"/>
      <c r="Q833" t="s" s="10">
        <v>78</v>
      </c>
      <c r="R833" t="s" s="10">
        <v>71</v>
      </c>
      <c r="S833" s="11"/>
      <c r="T833" s="11"/>
      <c r="U833" s="11"/>
      <c r="V833" t="s" s="10">
        <v>69</v>
      </c>
      <c r="W833" t="s" s="10">
        <v>3249</v>
      </c>
      <c r="X833" t="s" s="10">
        <v>78</v>
      </c>
      <c r="Y833" s="11"/>
      <c r="Z833" t="s" s="10">
        <v>76</v>
      </c>
      <c r="AA833" s="11"/>
      <c r="AB833" t="s" s="10">
        <v>76</v>
      </c>
      <c r="AC833" s="11"/>
      <c r="AD833" s="11"/>
      <c r="AE833" s="11"/>
      <c r="AF833" s="11"/>
      <c r="AG833" s="11"/>
      <c r="AH833" s="11"/>
      <c r="AI833" t="s" s="10">
        <v>76</v>
      </c>
      <c r="AJ833" t="s" s="10">
        <v>76</v>
      </c>
      <c r="AK833" t="s" s="10">
        <v>79</v>
      </c>
      <c r="AL833" s="11"/>
      <c r="AM833" s="11"/>
      <c r="AN833" t="s" s="10">
        <v>3171</v>
      </c>
      <c r="AO833" s="11"/>
      <c r="AP833" s="11"/>
      <c r="AQ833" s="11"/>
      <c r="AR833" s="11"/>
      <c r="AS833" t="s" s="10">
        <v>3250</v>
      </c>
      <c r="AT833" s="11"/>
      <c r="AU833" s="11"/>
      <c r="AV833" s="11"/>
      <c r="AW833" s="11"/>
      <c r="AX833" s="11"/>
      <c r="AY833" s="11"/>
      <c r="AZ833" s="11"/>
      <c r="BA833" s="11"/>
      <c r="BB833" s="11"/>
      <c r="BC833" s="11"/>
      <c r="BD833" t="s" s="10">
        <v>366</v>
      </c>
      <c r="BE833" t="s" s="10">
        <v>394</v>
      </c>
      <c r="BF833" s="11"/>
      <c r="BG833" s="11"/>
      <c r="BH833" s="11"/>
      <c r="BI833" s="11"/>
      <c r="BJ833" s="11"/>
      <c r="BK833" s="11"/>
      <c r="BL833" s="11"/>
      <c r="BM833" s="11"/>
      <c r="BN833" s="11"/>
      <c r="BO833" s="12"/>
      <c r="BP833" s="8"/>
    </row>
    <row r="834" ht="15" customHeight="1" hidden="1">
      <c r="A834" t="s" s="13">
        <v>3251</v>
      </c>
      <c r="B834" s="14"/>
      <c r="C834" t="str" s="14" cm="1">
        <f t="array" ref="C834">_xlfn.IFERROR((VLOOKUP(A834,#REF!,2,FALSE)),"")</f>
      </c>
      <c r="D834" s="14"/>
      <c r="E834" s="14"/>
      <c r="F834" s="14"/>
      <c r="G834" t="s" s="15">
        <v>516</v>
      </c>
      <c r="H834" t="s" s="15">
        <v>516</v>
      </c>
      <c r="I834" t="s" s="15">
        <v>111</v>
      </c>
      <c r="J834" t="s" s="15">
        <v>122</v>
      </c>
      <c r="K834" t="s" s="15">
        <v>140</v>
      </c>
      <c r="L834" t="s" s="15">
        <v>518</v>
      </c>
      <c r="M834" t="s" s="15">
        <v>516</v>
      </c>
      <c r="N834" t="s" s="15">
        <v>516</v>
      </c>
      <c r="O834" s="14"/>
      <c r="P834" t="s" s="15">
        <v>122</v>
      </c>
      <c r="Q834" t="s" s="15">
        <v>78</v>
      </c>
      <c r="R834" t="s" s="15">
        <v>83</v>
      </c>
      <c r="S834" s="14"/>
      <c r="T834" s="14"/>
      <c r="U834" s="14"/>
      <c r="V834" t="s" s="15">
        <v>69</v>
      </c>
      <c r="W834" s="14"/>
      <c r="X834" t="s" s="15">
        <v>69</v>
      </c>
      <c r="Y834" s="14"/>
      <c r="Z834" t="s" s="15">
        <v>205</v>
      </c>
      <c r="AA834" s="14"/>
      <c r="AB834" t="s" s="15">
        <v>520</v>
      </c>
      <c r="AC834" s="14"/>
      <c r="AD834" s="14"/>
      <c r="AE834" s="14"/>
      <c r="AF834" s="14"/>
      <c r="AG834" t="s" s="15">
        <v>299</v>
      </c>
      <c r="AH834" t="s" s="15">
        <v>289</v>
      </c>
      <c r="AI834" t="s" s="15">
        <v>440</v>
      </c>
      <c r="AJ834" s="14"/>
      <c r="AK834" t="s" s="15">
        <v>83</v>
      </c>
      <c r="AL834" t="s" s="15">
        <v>293</v>
      </c>
      <c r="AM834" t="s" s="15">
        <v>294</v>
      </c>
      <c r="AN834" t="s" s="15">
        <v>1239</v>
      </c>
      <c r="AO834" s="17">
        <v>4</v>
      </c>
      <c r="AP834" s="17">
        <v>4096</v>
      </c>
      <c r="AQ834" s="17">
        <v>249948</v>
      </c>
      <c r="AR834" s="17">
        <v>121282</v>
      </c>
      <c r="AS834" t="s" s="15">
        <v>3252</v>
      </c>
      <c r="AT834" t="s" s="15">
        <v>301</v>
      </c>
      <c r="AU834" s="14"/>
      <c r="AV834" s="14"/>
      <c r="AW834" t="s" s="15">
        <v>3253</v>
      </c>
      <c r="AX834" s="14"/>
      <c r="AY834" s="14"/>
      <c r="AZ834" s="14"/>
      <c r="BA834" s="14"/>
      <c r="BB834" s="14"/>
      <c r="BC834" s="14"/>
      <c r="BD834" t="s" s="15">
        <v>310</v>
      </c>
      <c r="BE834" t="s" s="15">
        <v>356</v>
      </c>
      <c r="BF834" s="14"/>
      <c r="BG834" s="14"/>
      <c r="BH834" s="14"/>
      <c r="BI834" s="14"/>
      <c r="BJ834" s="14"/>
      <c r="BK834" s="14"/>
      <c r="BL834" s="14"/>
      <c r="BM834" s="14"/>
      <c r="BN834" t="s" s="15">
        <v>78</v>
      </c>
      <c r="BO834" s="16"/>
      <c r="BP834" s="8"/>
    </row>
    <row r="835" ht="9" customHeight="1" hidden="1">
      <c r="A835" t="s" s="9">
        <v>3254</v>
      </c>
      <c r="B835" s="11"/>
      <c r="C835" t="str" s="11" cm="1">
        <f t="array" ref="C835">_xlfn.IFERROR((VLOOKUP(A835,#REF!,2,FALSE)),"")</f>
      </c>
      <c r="D835" t="s" s="10">
        <v>70</v>
      </c>
      <c r="E835" t="s" s="10">
        <v>71</v>
      </c>
      <c r="F835" s="11"/>
      <c r="G835" s="11"/>
      <c r="H835" s="11"/>
      <c r="I835" t="s" s="10">
        <v>73</v>
      </c>
      <c r="J835" t="s" s="10">
        <v>74</v>
      </c>
      <c r="K835" t="s" s="10">
        <v>113</v>
      </c>
      <c r="L835" t="s" s="10">
        <v>76</v>
      </c>
      <c r="M835" t="s" s="10">
        <v>77</v>
      </c>
      <c r="N835" s="11"/>
      <c r="O835" t="s" s="10">
        <v>71</v>
      </c>
      <c r="P835" s="11"/>
      <c r="Q835" t="s" s="10">
        <v>78</v>
      </c>
      <c r="R835" t="s" s="10">
        <v>71</v>
      </c>
      <c r="S835" s="11"/>
      <c r="T835" s="11"/>
      <c r="U835" s="11"/>
      <c r="V835" t="s" s="10">
        <v>69</v>
      </c>
      <c r="W835" s="11"/>
      <c r="X835" t="s" s="10">
        <v>78</v>
      </c>
      <c r="Y835" s="11"/>
      <c r="Z835" t="s" s="10">
        <v>76</v>
      </c>
      <c r="AA835" s="11"/>
      <c r="AB835" t="s" s="10">
        <v>76</v>
      </c>
      <c r="AC835" s="11"/>
      <c r="AD835" s="11"/>
      <c r="AE835" s="11"/>
      <c r="AF835" s="11"/>
      <c r="AG835" s="11"/>
      <c r="AH835" s="11"/>
      <c r="AI835" t="s" s="10">
        <v>76</v>
      </c>
      <c r="AJ835" t="s" s="10">
        <v>76</v>
      </c>
      <c r="AK835" t="s" s="10">
        <v>79</v>
      </c>
      <c r="AL835" s="11"/>
      <c r="AM835" s="11"/>
      <c r="AN835" t="s" s="10">
        <v>3171</v>
      </c>
      <c r="AO835" s="11"/>
      <c r="AP835" s="11"/>
      <c r="AQ835" s="11"/>
      <c r="AR835" s="11"/>
      <c r="AS835" t="s" s="10">
        <v>3255</v>
      </c>
      <c r="AT835" s="11"/>
      <c r="AU835" s="11"/>
      <c r="AV835" s="11"/>
      <c r="AW835" s="11"/>
      <c r="AX835" s="11"/>
      <c r="AY835" s="11"/>
      <c r="AZ835" s="11"/>
      <c r="BA835" s="11"/>
      <c r="BB835" s="11"/>
      <c r="BC835" s="11"/>
      <c r="BD835" t="s" s="10">
        <v>310</v>
      </c>
      <c r="BE835" t="s" s="10">
        <v>356</v>
      </c>
      <c r="BF835" s="11"/>
      <c r="BG835" s="11"/>
      <c r="BH835" s="11"/>
      <c r="BI835" s="11"/>
      <c r="BJ835" s="11"/>
      <c r="BK835" s="11"/>
      <c r="BL835" s="11"/>
      <c r="BM835" s="11"/>
      <c r="BN835" s="11"/>
      <c r="BO835" s="12"/>
      <c r="BP835" s="8"/>
    </row>
    <row r="836" ht="15" customHeight="1">
      <c r="A836" t="s" s="13">
        <v>3256</v>
      </c>
      <c r="B836" s="14"/>
      <c r="C836" t="str" s="14" cm="1">
        <f t="array" ref="C836">_xlfn.IFERROR((VLOOKUP(A836,#REF!,2,FALSE)),"")</f>
      </c>
      <c r="D836" s="14"/>
      <c r="E836" s="14"/>
      <c r="F836" s="14"/>
      <c r="G836" t="s" s="15">
        <v>741</v>
      </c>
      <c r="H836" t="s" s="15">
        <v>741</v>
      </c>
      <c r="I836" t="s" s="15">
        <v>111</v>
      </c>
      <c r="J836" t="s" s="15">
        <v>122</v>
      </c>
      <c r="K836" t="s" s="15">
        <v>113</v>
      </c>
      <c r="L836" t="s" s="15">
        <v>518</v>
      </c>
      <c r="M836" t="s" s="15">
        <v>741</v>
      </c>
      <c r="N836" t="s" s="15">
        <v>741</v>
      </c>
      <c r="O836" s="14"/>
      <c r="P836" t="s" s="15">
        <v>122</v>
      </c>
      <c r="Q836" t="s" s="15">
        <v>78</v>
      </c>
      <c r="R836" t="s" s="15">
        <v>323</v>
      </c>
      <c r="S836" s="14"/>
      <c r="T836" s="14"/>
      <c r="U836" s="14"/>
      <c r="V836" t="s" s="15">
        <v>69</v>
      </c>
      <c r="W836" s="14"/>
      <c r="X836" t="s" s="15">
        <v>69</v>
      </c>
      <c r="Y836" s="14"/>
      <c r="Z836" t="s" s="15">
        <v>552</v>
      </c>
      <c r="AA836" s="14"/>
      <c r="AB836" t="s" s="15">
        <v>743</v>
      </c>
      <c r="AC836" s="14"/>
      <c r="AD836" s="14"/>
      <c r="AE836" s="14"/>
      <c r="AF836" t="s" s="15">
        <v>741</v>
      </c>
      <c r="AG836" t="s" s="15">
        <v>299</v>
      </c>
      <c r="AH836" t="s" s="15">
        <v>289</v>
      </c>
      <c r="AI836" t="s" s="15">
        <v>332</v>
      </c>
      <c r="AJ836" t="s" s="15">
        <v>473</v>
      </c>
      <c r="AK836" t="s" s="15">
        <v>83</v>
      </c>
      <c r="AL836" t="s" s="15">
        <v>293</v>
      </c>
      <c r="AM836" t="s" s="15">
        <v>294</v>
      </c>
      <c r="AN836" t="s" s="15">
        <v>1239</v>
      </c>
      <c r="AO836" s="17">
        <v>4</v>
      </c>
      <c r="AP836" s="17">
        <v>16384</v>
      </c>
      <c r="AQ836" s="17">
        <v>57428</v>
      </c>
      <c r="AR836" s="17">
        <v>57428</v>
      </c>
      <c r="AS836" t="s" s="15">
        <v>3257</v>
      </c>
      <c r="AT836" t="s" s="15">
        <v>301</v>
      </c>
      <c r="AU836" s="14"/>
      <c r="AV836" s="14"/>
      <c r="AW836" t="s" s="15">
        <v>3258</v>
      </c>
      <c r="AX836" s="14"/>
      <c r="AY836" s="14"/>
      <c r="AZ836" s="14"/>
      <c r="BA836" s="14"/>
      <c r="BB836" s="14"/>
      <c r="BC836" s="14"/>
      <c r="BD836" t="s" s="15">
        <v>310</v>
      </c>
      <c r="BE836" t="s" s="15">
        <v>356</v>
      </c>
      <c r="BF836" s="14"/>
      <c r="BG836" s="14"/>
      <c r="BH836" s="14"/>
      <c r="BI836" s="14"/>
      <c r="BJ836" s="14"/>
      <c r="BK836" s="14"/>
      <c r="BL836" s="14"/>
      <c r="BM836" s="14"/>
      <c r="BN836" t="s" s="15">
        <v>69</v>
      </c>
      <c r="BO836" s="16"/>
      <c r="BP836" s="8"/>
    </row>
    <row r="837" ht="9" customHeight="1" hidden="1">
      <c r="A837" t="s" s="9">
        <v>3259</v>
      </c>
      <c r="B837" s="11"/>
      <c r="C837" t="str" s="11" cm="1">
        <f t="array" ref="C837">_xlfn.IFERROR((VLOOKUP(A837,#REF!,2,FALSE)),"")</f>
      </c>
      <c r="D837" s="11"/>
      <c r="E837" t="s" s="10">
        <v>3260</v>
      </c>
      <c r="F837" s="11"/>
      <c r="G837" t="s" s="10">
        <v>3261</v>
      </c>
      <c r="H837" t="s" s="10">
        <v>3262</v>
      </c>
      <c r="I837" t="s" s="10">
        <v>111</v>
      </c>
      <c r="J837" t="s" s="10">
        <v>122</v>
      </c>
      <c r="K837" t="s" s="10">
        <v>351</v>
      </c>
      <c r="L837" t="s" s="10">
        <v>1638</v>
      </c>
      <c r="M837" t="s" s="10">
        <v>3261</v>
      </c>
      <c r="N837" t="s" s="10">
        <v>3261</v>
      </c>
      <c r="O837" s="11"/>
      <c r="P837" t="s" s="10">
        <v>122</v>
      </c>
      <c r="Q837" t="s" s="10">
        <v>78</v>
      </c>
      <c r="R837" t="s" s="10">
        <v>323</v>
      </c>
      <c r="S837" s="11"/>
      <c r="T837" s="11"/>
      <c r="U837" s="11"/>
      <c r="V837" t="s" s="10">
        <v>69</v>
      </c>
      <c r="W837" s="11"/>
      <c r="X837" t="s" s="10">
        <v>69</v>
      </c>
      <c r="Y837" s="11"/>
      <c r="Z837" t="s" s="10">
        <v>1639</v>
      </c>
      <c r="AA837" s="11"/>
      <c r="AB837" t="s" s="10">
        <v>76</v>
      </c>
      <c r="AC837" s="11"/>
      <c r="AD837" s="11"/>
      <c r="AE837" s="11"/>
      <c r="AF837" s="11"/>
      <c r="AG837" t="s" s="10">
        <v>299</v>
      </c>
      <c r="AH837" t="s" s="10">
        <v>114</v>
      </c>
      <c r="AI837" t="s" s="10">
        <v>76</v>
      </c>
      <c r="AJ837" t="s" s="10">
        <v>76</v>
      </c>
      <c r="AK837" t="s" s="10">
        <v>79</v>
      </c>
      <c r="AL837" s="11"/>
      <c r="AM837" s="11"/>
      <c r="AN837" t="s" s="10">
        <v>116</v>
      </c>
      <c r="AO837" s="11"/>
      <c r="AP837" s="11"/>
      <c r="AQ837" s="11"/>
      <c r="AR837" s="11"/>
      <c r="AS837" t="s" s="10">
        <v>3263</v>
      </c>
      <c r="AT837" t="s" s="10">
        <v>301</v>
      </c>
      <c r="AU837" s="11"/>
      <c r="AV837" s="11"/>
      <c r="AW837" s="11"/>
      <c r="AX837" s="11"/>
      <c r="AY837" s="11"/>
      <c r="AZ837" s="11"/>
      <c r="BA837" s="11"/>
      <c r="BB837" s="11"/>
      <c r="BC837" s="11"/>
      <c r="BD837" t="s" s="10">
        <v>118</v>
      </c>
      <c r="BE837" s="11"/>
      <c r="BF837" s="11"/>
      <c r="BG837" s="11"/>
      <c r="BH837" s="11"/>
      <c r="BI837" s="11"/>
      <c r="BJ837" s="11"/>
      <c r="BK837" s="11"/>
      <c r="BL837" s="11"/>
      <c r="BM837" s="11"/>
      <c r="BN837" t="s" s="10">
        <v>78</v>
      </c>
      <c r="BO837" s="12"/>
      <c r="BP837" s="8"/>
    </row>
    <row r="838" ht="9" customHeight="1" hidden="1">
      <c r="A838" t="s" s="13">
        <v>3264</v>
      </c>
      <c r="B838" s="14"/>
      <c r="C838" t="str" s="14" cm="1">
        <f t="array" ref="C838">_xlfn.IFERROR((VLOOKUP(A838,#REF!,2,FALSE)),"")</f>
      </c>
      <c r="D838" s="14"/>
      <c r="E838" t="s" s="40">
        <v>3265</v>
      </c>
      <c r="F838" s="14"/>
      <c r="G838" t="s" s="15">
        <v>3266</v>
      </c>
      <c r="H838" t="s" s="15">
        <v>1486</v>
      </c>
      <c r="I838" t="s" s="15">
        <v>111</v>
      </c>
      <c r="J838" t="s" s="15">
        <v>452</v>
      </c>
      <c r="K838" t="s" s="15">
        <v>113</v>
      </c>
      <c r="L838" t="s" s="15">
        <v>76</v>
      </c>
      <c r="M838" t="s" s="15">
        <v>3267</v>
      </c>
      <c r="N838" t="s" s="15">
        <v>3267</v>
      </c>
      <c r="O838" s="14"/>
      <c r="P838" t="s" s="15">
        <v>452</v>
      </c>
      <c r="Q838" t="s" s="15">
        <v>78</v>
      </c>
      <c r="R838" t="s" s="15">
        <v>83</v>
      </c>
      <c r="S838" s="14"/>
      <c r="T838" s="14"/>
      <c r="U838" s="14"/>
      <c r="V838" t="s" s="15">
        <v>78</v>
      </c>
      <c r="W838" s="14"/>
      <c r="X838" t="s" s="15">
        <v>69</v>
      </c>
      <c r="Y838" s="14"/>
      <c r="Z838" t="s" s="15">
        <v>76</v>
      </c>
      <c r="AA838" s="14"/>
      <c r="AB838" t="s" s="15">
        <v>76</v>
      </c>
      <c r="AC838" s="14"/>
      <c r="AD838" s="14"/>
      <c r="AE838" s="14"/>
      <c r="AF838" s="14"/>
      <c r="AG838" s="14"/>
      <c r="AH838" t="s" s="15">
        <v>114</v>
      </c>
      <c r="AI838" t="s" s="15">
        <v>717</v>
      </c>
      <c r="AJ838" s="14"/>
      <c r="AK838" t="s" s="15">
        <v>292</v>
      </c>
      <c r="AL838" t="s" s="15">
        <v>293</v>
      </c>
      <c r="AM838" t="s" s="15">
        <v>294</v>
      </c>
      <c r="AN838" s="14"/>
      <c r="AO838" s="17">
        <v>4</v>
      </c>
      <c r="AP838" s="17">
        <v>8192</v>
      </c>
      <c r="AQ838" s="17">
        <v>90196</v>
      </c>
      <c r="AR838" s="17">
        <v>90196</v>
      </c>
      <c r="AS838" s="14"/>
      <c r="AT838" s="14"/>
      <c r="AU838" s="14"/>
      <c r="AV838" s="14"/>
      <c r="AW838" s="14"/>
      <c r="AX838" s="14"/>
      <c r="AY838" s="14"/>
      <c r="AZ838" s="14"/>
      <c r="BA838" s="14"/>
      <c r="BB838" s="14"/>
      <c r="BC838" s="14"/>
      <c r="BD838" t="s" s="15">
        <v>310</v>
      </c>
      <c r="BE838" t="s" s="15">
        <v>356</v>
      </c>
      <c r="BF838" s="17">
        <v>4</v>
      </c>
      <c r="BG838" s="17">
        <v>8</v>
      </c>
      <c r="BH838" s="14"/>
      <c r="BI838" s="14"/>
      <c r="BJ838" s="14"/>
      <c r="BK838" s="14"/>
      <c r="BL838" s="14"/>
      <c r="BM838" s="14"/>
      <c r="BN838" t="s" s="15">
        <v>78</v>
      </c>
      <c r="BO838" s="16"/>
      <c r="BP838" s="8"/>
    </row>
    <row r="839" ht="9" customHeight="1" hidden="1">
      <c r="A839" t="s" s="9">
        <v>3268</v>
      </c>
      <c r="B839" s="11"/>
      <c r="C839" t="str" s="11" cm="1">
        <f t="array" ref="C839">_xlfn.IFERROR((VLOOKUP(A839,#REF!,2,FALSE)),"")</f>
      </c>
      <c r="D839" s="11"/>
      <c r="E839" t="s" s="10">
        <v>303</v>
      </c>
      <c r="F839" s="11"/>
      <c r="G839" t="s" s="10">
        <v>3269</v>
      </c>
      <c r="H839" t="s" s="10">
        <v>3270</v>
      </c>
      <c r="I839" t="s" s="10">
        <v>73</v>
      </c>
      <c r="J839" t="s" s="10">
        <v>74</v>
      </c>
      <c r="K839" t="s" s="10">
        <v>140</v>
      </c>
      <c r="L839" t="s" s="10">
        <v>76</v>
      </c>
      <c r="M839" t="s" s="10">
        <v>3269</v>
      </c>
      <c r="N839" t="s" s="10">
        <v>3269</v>
      </c>
      <c r="O839" t="s" s="10">
        <v>71</v>
      </c>
      <c r="P839" t="s" s="10">
        <v>74</v>
      </c>
      <c r="Q839" t="s" s="10">
        <v>78</v>
      </c>
      <c r="R839" t="s" s="10">
        <v>71</v>
      </c>
      <c r="S839" s="11"/>
      <c r="T839" s="11"/>
      <c r="U839" s="11"/>
      <c r="V839" t="s" s="10">
        <v>78</v>
      </c>
      <c r="W839" t="s" s="10">
        <v>3268</v>
      </c>
      <c r="X839" t="s" s="10">
        <v>69</v>
      </c>
      <c r="Y839" s="11"/>
      <c r="Z839" t="s" s="10">
        <v>76</v>
      </c>
      <c r="AA839" s="11"/>
      <c r="AB839" t="s" s="10">
        <v>76</v>
      </c>
      <c r="AC839" s="11"/>
      <c r="AD839" s="11"/>
      <c r="AE839" s="11"/>
      <c r="AF839" s="11"/>
      <c r="AG839" s="11"/>
      <c r="AH839" t="s" s="10">
        <v>106</v>
      </c>
      <c r="AI839" t="s" s="10">
        <v>76</v>
      </c>
      <c r="AJ839" t="s" s="10">
        <v>76</v>
      </c>
      <c r="AK839" t="s" s="10">
        <v>79</v>
      </c>
      <c r="AL839" s="11"/>
      <c r="AM839" s="11"/>
      <c r="AN839" s="11"/>
      <c r="AO839" s="11"/>
      <c r="AP839" s="11"/>
      <c r="AQ839" s="11"/>
      <c r="AR839" s="11"/>
      <c r="AS839" s="11"/>
      <c r="AT839" s="11"/>
      <c r="AU839" s="11"/>
      <c r="AV839" s="11"/>
      <c r="AW839" s="11"/>
      <c r="AX839" s="11"/>
      <c r="AY839" s="11"/>
      <c r="AZ839" s="11"/>
      <c r="BA839" s="11"/>
      <c r="BB839" s="11"/>
      <c r="BC839" s="11"/>
      <c r="BD839" t="s" s="10">
        <v>310</v>
      </c>
      <c r="BE839" t="s" s="10">
        <v>356</v>
      </c>
      <c r="BF839" s="11"/>
      <c r="BG839" s="11"/>
      <c r="BH839" s="11"/>
      <c r="BI839" s="11"/>
      <c r="BJ839" s="11"/>
      <c r="BK839" s="11"/>
      <c r="BL839" s="11"/>
      <c r="BM839" s="11"/>
      <c r="BN839" s="11"/>
      <c r="BO839" s="12"/>
      <c r="BP839" s="8"/>
    </row>
    <row r="840" ht="15" customHeight="1" hidden="1">
      <c r="A840" t="s" s="13">
        <v>3271</v>
      </c>
      <c r="B840" s="14"/>
      <c r="C840" t="str" s="14" cm="1">
        <f t="array" ref="C840">_xlfn.IFERROR((VLOOKUP(A840,#REF!,2,FALSE)),"")</f>
      </c>
      <c r="D840" s="14"/>
      <c r="E840" t="s" s="15">
        <v>3272</v>
      </c>
      <c r="F840" t="s" s="15">
        <v>1940</v>
      </c>
      <c r="G840" t="s" s="15">
        <v>3273</v>
      </c>
      <c r="H840" t="s" s="15">
        <v>1486</v>
      </c>
      <c r="I840" t="s" s="15">
        <v>111</v>
      </c>
      <c r="J840" t="s" s="15">
        <v>112</v>
      </c>
      <c r="K840" t="s" s="15">
        <v>113</v>
      </c>
      <c r="L840" t="s" s="15">
        <v>518</v>
      </c>
      <c r="M840" t="s" s="15">
        <v>3273</v>
      </c>
      <c r="N840" t="s" s="15">
        <v>3273</v>
      </c>
      <c r="O840" t="s" s="15">
        <v>517</v>
      </c>
      <c r="P840" t="s" s="15">
        <v>112</v>
      </c>
      <c r="Q840" t="s" s="15">
        <v>78</v>
      </c>
      <c r="R840" t="s" s="15">
        <v>323</v>
      </c>
      <c r="S840" s="14"/>
      <c r="T840" s="14"/>
      <c r="U840" s="14"/>
      <c r="V840" t="s" s="15">
        <v>78</v>
      </c>
      <c r="W840" s="14"/>
      <c r="X840" t="s" s="15">
        <v>69</v>
      </c>
      <c r="Y840" s="14"/>
      <c r="Z840" t="s" s="15">
        <v>205</v>
      </c>
      <c r="AA840" s="14"/>
      <c r="AB840" t="s" s="15">
        <v>520</v>
      </c>
      <c r="AC840" t="s" s="15">
        <v>1226</v>
      </c>
      <c r="AD840" s="14"/>
      <c r="AE840" s="14"/>
      <c r="AF840" s="14"/>
      <c r="AG840" t="s" s="15">
        <v>299</v>
      </c>
      <c r="AH840" t="s" s="15">
        <v>114</v>
      </c>
      <c r="AI840" t="s" s="15">
        <v>290</v>
      </c>
      <c r="AJ840" t="s" s="15">
        <v>405</v>
      </c>
      <c r="AK840" t="s" s="15">
        <v>292</v>
      </c>
      <c r="AL840" t="s" s="15">
        <v>293</v>
      </c>
      <c r="AM840" t="s" s="15">
        <v>294</v>
      </c>
      <c r="AN840" t="s" s="15">
        <v>3274</v>
      </c>
      <c r="AO840" s="17">
        <v>1</v>
      </c>
      <c r="AP840" s="17">
        <v>20480</v>
      </c>
      <c r="AQ840" s="17">
        <v>103055</v>
      </c>
      <c r="AR840" s="17">
        <v>62293</v>
      </c>
      <c r="AS840" t="s" s="15">
        <v>3275</v>
      </c>
      <c r="AT840" t="s" s="15">
        <v>301</v>
      </c>
      <c r="AU840" t="s" s="15">
        <v>1174</v>
      </c>
      <c r="AV840" t="s" s="15">
        <v>83</v>
      </c>
      <c r="AW840" t="s" s="15">
        <v>83</v>
      </c>
      <c r="AX840" t="s" s="15">
        <v>83</v>
      </c>
      <c r="AY840" t="s" s="15">
        <v>309</v>
      </c>
      <c r="AZ840" t="s" s="15">
        <v>83</v>
      </c>
      <c r="BA840" t="s" s="15">
        <v>76</v>
      </c>
      <c r="BB840" t="s" s="15">
        <v>76</v>
      </c>
      <c r="BC840" t="s" s="15">
        <v>76</v>
      </c>
      <c r="BD840" t="s" s="15">
        <v>428</v>
      </c>
      <c r="BE840" t="s" s="15">
        <v>481</v>
      </c>
      <c r="BF840" s="17">
        <v>2</v>
      </c>
      <c r="BG840" s="17">
        <v>16</v>
      </c>
      <c r="BH840" t="s" s="15">
        <v>83</v>
      </c>
      <c r="BI840" t="s" s="15">
        <v>83</v>
      </c>
      <c r="BJ840" t="s" s="15">
        <v>83</v>
      </c>
      <c r="BK840" t="s" s="15">
        <v>83</v>
      </c>
      <c r="BL840" t="s" s="15">
        <v>83</v>
      </c>
      <c r="BM840" t="s" s="15">
        <v>312</v>
      </c>
      <c r="BN840" t="s" s="15">
        <v>78</v>
      </c>
      <c r="BO840" t="s" s="21">
        <v>76</v>
      </c>
      <c r="BP840" s="8"/>
    </row>
    <row r="841" ht="9" customHeight="1" hidden="1">
      <c r="A841" t="s" s="9">
        <v>3276</v>
      </c>
      <c r="B841" s="11"/>
      <c r="C841" t="str" s="11" cm="1">
        <f t="array" ref="C841">_xlfn.IFERROR((VLOOKUP(A841,#REF!,2,FALSE)),"")</f>
      </c>
      <c r="D841" s="11"/>
      <c r="E841" t="s" s="10">
        <v>3277</v>
      </c>
      <c r="F841" t="s" s="10">
        <v>3278</v>
      </c>
      <c r="G841" t="s" s="10">
        <v>3273</v>
      </c>
      <c r="H841" t="s" s="10">
        <v>1486</v>
      </c>
      <c r="I841" t="s" s="10">
        <v>111</v>
      </c>
      <c r="J841" t="s" s="10">
        <v>112</v>
      </c>
      <c r="K841" t="s" s="10">
        <v>113</v>
      </c>
      <c r="L841" t="s" s="10">
        <v>518</v>
      </c>
      <c r="M841" t="s" s="10">
        <v>3273</v>
      </c>
      <c r="N841" t="s" s="10">
        <v>3273</v>
      </c>
      <c r="O841" t="s" s="10">
        <v>517</v>
      </c>
      <c r="P841" t="s" s="10">
        <v>112</v>
      </c>
      <c r="Q841" t="s" s="10">
        <v>78</v>
      </c>
      <c r="R841" t="s" s="10">
        <v>323</v>
      </c>
      <c r="S841" s="11"/>
      <c r="T841" s="11"/>
      <c r="U841" s="11"/>
      <c r="V841" t="s" s="10">
        <v>78</v>
      </c>
      <c r="W841" s="11"/>
      <c r="X841" t="s" s="10">
        <v>69</v>
      </c>
      <c r="Y841" s="11"/>
      <c r="Z841" t="s" s="10">
        <v>205</v>
      </c>
      <c r="AA841" s="11"/>
      <c r="AB841" t="s" s="10">
        <v>520</v>
      </c>
      <c r="AC841" s="11"/>
      <c r="AD841" s="11"/>
      <c r="AE841" s="11"/>
      <c r="AF841" s="11"/>
      <c r="AG841" t="s" s="10">
        <v>299</v>
      </c>
      <c r="AH841" t="s" s="10">
        <v>114</v>
      </c>
      <c r="AI841" t="s" s="10">
        <v>290</v>
      </c>
      <c r="AJ841" t="s" s="10">
        <v>405</v>
      </c>
      <c r="AK841" t="s" s="10">
        <v>292</v>
      </c>
      <c r="AL841" t="s" s="10">
        <v>293</v>
      </c>
      <c r="AM841" t="s" s="10">
        <v>294</v>
      </c>
      <c r="AN841" s="11"/>
      <c r="AO841" s="18">
        <v>1</v>
      </c>
      <c r="AP841" s="18">
        <v>20480</v>
      </c>
      <c r="AQ841" s="18">
        <v>92854</v>
      </c>
      <c r="AR841" s="18">
        <v>67906</v>
      </c>
      <c r="AS841" t="s" s="10">
        <v>3279</v>
      </c>
      <c r="AT841" t="s" s="10">
        <v>301</v>
      </c>
      <c r="AU841" t="s" s="10">
        <v>1174</v>
      </c>
      <c r="AV841" t="s" s="10">
        <v>83</v>
      </c>
      <c r="AW841" t="s" s="10">
        <v>83</v>
      </c>
      <c r="AX841" t="s" s="10">
        <v>83</v>
      </c>
      <c r="AY841" t="s" s="10">
        <v>309</v>
      </c>
      <c r="AZ841" t="s" s="10">
        <v>83</v>
      </c>
      <c r="BA841" t="s" s="10">
        <v>76</v>
      </c>
      <c r="BB841" t="s" s="10">
        <v>76</v>
      </c>
      <c r="BC841" t="s" s="10">
        <v>76</v>
      </c>
      <c r="BD841" t="s" s="10">
        <v>428</v>
      </c>
      <c r="BE841" t="s" s="10">
        <v>481</v>
      </c>
      <c r="BF841" s="18">
        <v>2</v>
      </c>
      <c r="BG841" s="18">
        <v>16</v>
      </c>
      <c r="BH841" t="s" s="10">
        <v>83</v>
      </c>
      <c r="BI841" t="s" s="10">
        <v>83</v>
      </c>
      <c r="BJ841" t="s" s="10">
        <v>83</v>
      </c>
      <c r="BK841" t="s" s="10">
        <v>83</v>
      </c>
      <c r="BL841" t="s" s="10">
        <v>83</v>
      </c>
      <c r="BM841" t="s" s="10">
        <v>312</v>
      </c>
      <c r="BN841" t="s" s="10">
        <v>78</v>
      </c>
      <c r="BO841" t="s" s="19">
        <v>76</v>
      </c>
      <c r="BP841" s="8"/>
    </row>
    <row r="842" ht="9" customHeight="1" hidden="1">
      <c r="A842" t="s" s="13">
        <v>3280</v>
      </c>
      <c r="B842" s="14"/>
      <c r="C842" t="str" s="14" cm="1">
        <f t="array" ref="C842">_xlfn.IFERROR((VLOOKUP(A842,#REF!,2,FALSE)),"")</f>
      </c>
      <c r="D842" s="14"/>
      <c r="E842" s="14"/>
      <c r="F842" s="14"/>
      <c r="G842" t="s" s="15">
        <v>3281</v>
      </c>
      <c r="H842" t="s" s="15">
        <v>3282</v>
      </c>
      <c r="I842" t="s" s="15">
        <v>73</v>
      </c>
      <c r="J842" t="s" s="15">
        <v>74</v>
      </c>
      <c r="K842" t="s" s="15">
        <v>113</v>
      </c>
      <c r="L842" t="s" s="15">
        <v>76</v>
      </c>
      <c r="M842" t="s" s="15">
        <v>3281</v>
      </c>
      <c r="N842" t="s" s="15">
        <v>3281</v>
      </c>
      <c r="O842" t="s" s="15">
        <v>71</v>
      </c>
      <c r="P842" t="s" s="15">
        <v>469</v>
      </c>
      <c r="Q842" t="s" s="15">
        <v>78</v>
      </c>
      <c r="R842" t="s" s="15">
        <v>339</v>
      </c>
      <c r="S842" t="s" s="15">
        <v>69</v>
      </c>
      <c r="T842" s="14"/>
      <c r="U842" s="14"/>
      <c r="V842" t="s" s="15">
        <v>78</v>
      </c>
      <c r="W842" t="s" s="15">
        <v>3280</v>
      </c>
      <c r="X842" t="s" s="15">
        <v>69</v>
      </c>
      <c r="Y842" s="14"/>
      <c r="Z842" t="s" s="15">
        <v>76</v>
      </c>
      <c r="AA842" s="14"/>
      <c r="AB842" t="s" s="15">
        <v>76</v>
      </c>
      <c r="AC842" s="14"/>
      <c r="AD842" s="14"/>
      <c r="AE842" s="14"/>
      <c r="AF842" s="14"/>
      <c r="AG842" s="14"/>
      <c r="AH842" t="s" s="15">
        <v>106</v>
      </c>
      <c r="AI842" t="s" s="15">
        <v>76</v>
      </c>
      <c r="AJ842" t="s" s="15">
        <v>76</v>
      </c>
      <c r="AK842" t="s" s="15">
        <v>79</v>
      </c>
      <c r="AL842" s="14"/>
      <c r="AM842" s="14"/>
      <c r="AN842" s="14"/>
      <c r="AO842" s="14"/>
      <c r="AP842" s="14"/>
      <c r="AQ842" s="14"/>
      <c r="AR842" s="14"/>
      <c r="AS842" s="14"/>
      <c r="AT842" s="14"/>
      <c r="AU842" s="14"/>
      <c r="AV842" s="14"/>
      <c r="AW842" s="14"/>
      <c r="AX842" s="14"/>
      <c r="AY842" s="14"/>
      <c r="AZ842" s="14"/>
      <c r="BA842" s="14"/>
      <c r="BB842" s="14"/>
      <c r="BC842" s="14"/>
      <c r="BD842" t="s" s="15">
        <v>310</v>
      </c>
      <c r="BE842" t="s" s="15">
        <v>356</v>
      </c>
      <c r="BF842" s="14"/>
      <c r="BG842" s="14"/>
      <c r="BH842" s="14"/>
      <c r="BI842" s="14"/>
      <c r="BJ842" s="14"/>
      <c r="BK842" s="14"/>
      <c r="BL842" s="14"/>
      <c r="BM842" s="14"/>
      <c r="BN842" s="14"/>
      <c r="BO842" s="16"/>
      <c r="BP842" s="8"/>
    </row>
    <row r="843" ht="9" customHeight="1" hidden="1">
      <c r="A843" t="s" s="9">
        <v>3283</v>
      </c>
      <c r="B843" s="11"/>
      <c r="C843" t="str" s="11" cm="1">
        <f t="array" ref="C843">_xlfn.IFERROR((VLOOKUP(A843,#REF!,2,FALSE)),"")</f>
      </c>
      <c r="D843" s="11"/>
      <c r="E843" t="s" s="10">
        <v>3284</v>
      </c>
      <c r="F843" s="11"/>
      <c r="G843" t="s" s="10">
        <v>3285</v>
      </c>
      <c r="H843" t="s" s="10">
        <v>1486</v>
      </c>
      <c r="I843" t="s" s="10">
        <v>111</v>
      </c>
      <c r="J843" t="s" s="10">
        <v>122</v>
      </c>
      <c r="K843" t="s" s="10">
        <v>113</v>
      </c>
      <c r="L843" t="s" s="10">
        <v>76</v>
      </c>
      <c r="M843" t="s" s="10">
        <v>3286</v>
      </c>
      <c r="N843" t="s" s="10">
        <v>3286</v>
      </c>
      <c r="O843" s="11"/>
      <c r="P843" t="s" s="10">
        <v>122</v>
      </c>
      <c r="Q843" t="s" s="10">
        <v>78</v>
      </c>
      <c r="R843" t="s" s="10">
        <v>83</v>
      </c>
      <c r="S843" t="s" s="10">
        <v>69</v>
      </c>
      <c r="T843" s="11"/>
      <c r="U843" s="11"/>
      <c r="V843" t="s" s="10">
        <v>78</v>
      </c>
      <c r="W843" s="11"/>
      <c r="X843" t="s" s="10">
        <v>69</v>
      </c>
      <c r="Y843" s="11"/>
      <c r="Z843" t="s" s="10">
        <v>76</v>
      </c>
      <c r="AA843" s="11"/>
      <c r="AB843" t="s" s="10">
        <v>76</v>
      </c>
      <c r="AC843" s="11"/>
      <c r="AD843" s="11"/>
      <c r="AE843" s="11"/>
      <c r="AF843" s="11"/>
      <c r="AG843" t="s" s="10">
        <v>299</v>
      </c>
      <c r="AH843" t="s" s="10">
        <v>114</v>
      </c>
      <c r="AI843" t="s" s="10">
        <v>717</v>
      </c>
      <c r="AJ843" s="11"/>
      <c r="AK843" t="s" s="10">
        <v>292</v>
      </c>
      <c r="AL843" t="s" s="10">
        <v>293</v>
      </c>
      <c r="AM843" t="s" s="10">
        <v>294</v>
      </c>
      <c r="AN843" s="11"/>
      <c r="AO843" s="18">
        <v>4</v>
      </c>
      <c r="AP843" s="18">
        <v>8192</v>
      </c>
      <c r="AQ843" s="18">
        <v>90198</v>
      </c>
      <c r="AR843" s="18">
        <v>90198</v>
      </c>
      <c r="AS843" t="s" s="10">
        <v>3287</v>
      </c>
      <c r="AT843" s="11"/>
      <c r="AU843" s="11"/>
      <c r="AV843" s="11"/>
      <c r="AW843" s="11"/>
      <c r="AX843" s="11"/>
      <c r="AY843" s="11"/>
      <c r="AZ843" s="11"/>
      <c r="BA843" s="11"/>
      <c r="BB843" s="11"/>
      <c r="BC843" s="11"/>
      <c r="BD843" t="s" s="10">
        <v>310</v>
      </c>
      <c r="BE843" t="s" s="10">
        <v>356</v>
      </c>
      <c r="BF843" s="18">
        <v>4</v>
      </c>
      <c r="BG843" s="18">
        <v>8</v>
      </c>
      <c r="BH843" s="11"/>
      <c r="BI843" s="11"/>
      <c r="BJ843" s="11"/>
      <c r="BK843" s="11"/>
      <c r="BL843" s="11"/>
      <c r="BM843" s="11"/>
      <c r="BN843" t="s" s="10">
        <v>78</v>
      </c>
      <c r="BO843" s="12"/>
      <c r="BP843" s="8"/>
    </row>
    <row r="844" ht="9" customHeight="1" hidden="1">
      <c r="A844" t="s" s="13">
        <v>3288</v>
      </c>
      <c r="B844" s="14"/>
      <c r="C844" t="str" s="14" cm="1">
        <f t="array" ref="C844">_xlfn.IFERROR((VLOOKUP(A844,#REF!,2,FALSE)),"")</f>
      </c>
      <c r="D844" s="14"/>
      <c r="E844" s="14"/>
      <c r="F844" s="14"/>
      <c r="G844" t="s" s="15">
        <v>3281</v>
      </c>
      <c r="H844" t="s" s="15">
        <v>3282</v>
      </c>
      <c r="I844" t="s" s="15">
        <v>73</v>
      </c>
      <c r="J844" t="s" s="15">
        <v>74</v>
      </c>
      <c r="K844" t="s" s="15">
        <v>113</v>
      </c>
      <c r="L844" t="s" s="15">
        <v>76</v>
      </c>
      <c r="M844" t="s" s="15">
        <v>3281</v>
      </c>
      <c r="N844" t="s" s="15">
        <v>3281</v>
      </c>
      <c r="O844" t="s" s="15">
        <v>71</v>
      </c>
      <c r="P844" t="s" s="15">
        <v>74</v>
      </c>
      <c r="Q844" t="s" s="15">
        <v>78</v>
      </c>
      <c r="R844" t="s" s="15">
        <v>71</v>
      </c>
      <c r="S844" t="s" s="15">
        <v>69</v>
      </c>
      <c r="T844" s="14"/>
      <c r="U844" s="14"/>
      <c r="V844" t="s" s="15">
        <v>78</v>
      </c>
      <c r="W844" t="s" s="15">
        <v>3288</v>
      </c>
      <c r="X844" t="s" s="15">
        <v>69</v>
      </c>
      <c r="Y844" s="14"/>
      <c r="Z844" t="s" s="15">
        <v>76</v>
      </c>
      <c r="AA844" s="14"/>
      <c r="AB844" t="s" s="15">
        <v>76</v>
      </c>
      <c r="AC844" s="14"/>
      <c r="AD844" s="14"/>
      <c r="AE844" s="14"/>
      <c r="AF844" s="14"/>
      <c r="AG844" s="14"/>
      <c r="AH844" t="s" s="15">
        <v>114</v>
      </c>
      <c r="AI844" t="s" s="15">
        <v>76</v>
      </c>
      <c r="AJ844" t="s" s="15">
        <v>76</v>
      </c>
      <c r="AK844" t="s" s="15">
        <v>79</v>
      </c>
      <c r="AL844" s="14"/>
      <c r="AM844" s="14"/>
      <c r="AN844" s="14"/>
      <c r="AO844" s="14"/>
      <c r="AP844" s="14"/>
      <c r="AQ844" s="14"/>
      <c r="AR844" s="14"/>
      <c r="AS844" s="14"/>
      <c r="AT844" s="14"/>
      <c r="AU844" s="14"/>
      <c r="AV844" s="14"/>
      <c r="AW844" s="14"/>
      <c r="AX844" s="14"/>
      <c r="AY844" s="14"/>
      <c r="AZ844" s="14"/>
      <c r="BA844" s="14"/>
      <c r="BB844" s="14"/>
      <c r="BC844" s="14"/>
      <c r="BD844" t="s" s="15">
        <v>118</v>
      </c>
      <c r="BE844" s="14"/>
      <c r="BF844" s="14"/>
      <c r="BG844" s="14"/>
      <c r="BH844" s="14"/>
      <c r="BI844" s="14"/>
      <c r="BJ844" s="14"/>
      <c r="BK844" s="14"/>
      <c r="BL844" s="14"/>
      <c r="BM844" s="14"/>
      <c r="BN844" s="14"/>
      <c r="BO844" s="16"/>
      <c r="BP844" s="8"/>
    </row>
    <row r="845" ht="9" customHeight="1" hidden="1">
      <c r="A845" t="s" s="9">
        <v>3289</v>
      </c>
      <c r="B845" s="11"/>
      <c r="C845" t="str" s="11" cm="1">
        <f t="array" ref="C845">_xlfn.IFERROR((VLOOKUP(A845,#REF!,2,FALSE)),"")</f>
      </c>
      <c r="D845" s="11"/>
      <c r="E845" t="s" s="10">
        <v>195</v>
      </c>
      <c r="F845" s="11"/>
      <c r="G845" t="s" s="10">
        <v>3290</v>
      </c>
      <c r="H845" t="s" s="10">
        <v>3291</v>
      </c>
      <c r="I845" t="s" s="10">
        <v>73</v>
      </c>
      <c r="J845" t="s" s="10">
        <v>74</v>
      </c>
      <c r="K845" t="s" s="10">
        <v>113</v>
      </c>
      <c r="L845" t="s" s="10">
        <v>76</v>
      </c>
      <c r="M845" t="s" s="10">
        <v>3290</v>
      </c>
      <c r="N845" t="s" s="10">
        <v>3290</v>
      </c>
      <c r="O845" t="s" s="10">
        <v>71</v>
      </c>
      <c r="P845" t="s" s="10">
        <v>74</v>
      </c>
      <c r="Q845" t="s" s="10">
        <v>78</v>
      </c>
      <c r="R845" t="s" s="10">
        <v>71</v>
      </c>
      <c r="S845" s="11"/>
      <c r="T845" s="11"/>
      <c r="U845" s="11"/>
      <c r="V845" t="s" s="10">
        <v>69</v>
      </c>
      <c r="W845" t="s" s="10">
        <v>3292</v>
      </c>
      <c r="X845" t="s" s="10">
        <v>69</v>
      </c>
      <c r="Y845" s="11"/>
      <c r="Z845" t="s" s="10">
        <v>76</v>
      </c>
      <c r="AA845" s="11"/>
      <c r="AB845" t="s" s="10">
        <v>76</v>
      </c>
      <c r="AC845" s="11"/>
      <c r="AD845" s="11"/>
      <c r="AE845" s="11"/>
      <c r="AF845" s="11"/>
      <c r="AG845" t="s" s="10">
        <v>299</v>
      </c>
      <c r="AH845" t="s" s="10">
        <v>114</v>
      </c>
      <c r="AI845" t="s" s="10">
        <v>76</v>
      </c>
      <c r="AJ845" t="s" s="10">
        <v>76</v>
      </c>
      <c r="AK845" t="s" s="10">
        <v>79</v>
      </c>
      <c r="AL845" s="11"/>
      <c r="AM845" t="s" s="10">
        <v>196</v>
      </c>
      <c r="AN845" t="s" s="10">
        <v>1491</v>
      </c>
      <c r="AO845" s="11"/>
      <c r="AP845" s="11"/>
      <c r="AQ845" s="11"/>
      <c r="AR845" s="11"/>
      <c r="AS845" t="s" s="10">
        <v>3293</v>
      </c>
      <c r="AT845" t="s" s="10">
        <v>301</v>
      </c>
      <c r="AU845" s="11"/>
      <c r="AV845" s="11"/>
      <c r="AW845" s="11"/>
      <c r="AX845" s="11"/>
      <c r="AY845" s="11"/>
      <c r="AZ845" s="11"/>
      <c r="BA845" s="11"/>
      <c r="BB845" s="11"/>
      <c r="BC845" s="11"/>
      <c r="BD845" t="s" s="10">
        <v>118</v>
      </c>
      <c r="BE845" s="11"/>
      <c r="BF845" s="11"/>
      <c r="BG845" s="11"/>
      <c r="BH845" s="11"/>
      <c r="BI845" s="11"/>
      <c r="BJ845" s="11"/>
      <c r="BK845" s="11"/>
      <c r="BL845" s="11"/>
      <c r="BM845" s="11"/>
      <c r="BN845" s="11"/>
      <c r="BO845" s="12"/>
      <c r="BP845" s="8"/>
    </row>
    <row r="846" ht="9" customHeight="1" hidden="1">
      <c r="A846" t="s" s="13">
        <v>3294</v>
      </c>
      <c r="B846" s="14"/>
      <c r="C846" t="str" s="14" cm="1">
        <f t="array" ref="C846">_xlfn.IFERROR((VLOOKUP(A846,#REF!,2,FALSE)),"")</f>
      </c>
      <c r="D846" s="14"/>
      <c r="E846" s="14"/>
      <c r="F846" s="14"/>
      <c r="G846" t="s" s="15">
        <v>3290</v>
      </c>
      <c r="H846" t="s" s="15">
        <v>3291</v>
      </c>
      <c r="I846" t="s" s="15">
        <v>111</v>
      </c>
      <c r="J846" t="s" s="15">
        <v>322</v>
      </c>
      <c r="K846" t="s" s="15">
        <v>113</v>
      </c>
      <c r="L846" t="s" s="15">
        <v>76</v>
      </c>
      <c r="M846" t="s" s="15">
        <v>3290</v>
      </c>
      <c r="N846" t="s" s="15">
        <v>3290</v>
      </c>
      <c r="O846" s="14"/>
      <c r="P846" t="s" s="15">
        <v>322</v>
      </c>
      <c r="Q846" t="s" s="15">
        <v>78</v>
      </c>
      <c r="R846" t="s" s="15">
        <v>339</v>
      </c>
      <c r="S846" s="14"/>
      <c r="T846" s="14"/>
      <c r="U846" s="14"/>
      <c r="V846" t="s" s="15">
        <v>69</v>
      </c>
      <c r="W846" s="14"/>
      <c r="X846" t="s" s="15">
        <v>69</v>
      </c>
      <c r="Y846" s="14"/>
      <c r="Z846" t="s" s="15">
        <v>76</v>
      </c>
      <c r="AA846" s="14"/>
      <c r="AB846" t="s" s="15">
        <v>76</v>
      </c>
      <c r="AC846" s="14"/>
      <c r="AD846" s="14"/>
      <c r="AE846" s="14"/>
      <c r="AF846" s="14"/>
      <c r="AG846" t="s" s="15">
        <v>299</v>
      </c>
      <c r="AH846" t="s" s="15">
        <v>114</v>
      </c>
      <c r="AI846" t="s" s="15">
        <v>76</v>
      </c>
      <c r="AJ846" t="s" s="15">
        <v>76</v>
      </c>
      <c r="AK846" t="s" s="15">
        <v>79</v>
      </c>
      <c r="AL846" t="s" s="15">
        <v>293</v>
      </c>
      <c r="AM846" t="s" s="15">
        <v>294</v>
      </c>
      <c r="AN846" t="s" s="15">
        <v>142</v>
      </c>
      <c r="AO846" s="17">
        <v>4</v>
      </c>
      <c r="AP846" s="17">
        <v>6144</v>
      </c>
      <c r="AQ846" s="17">
        <v>282709</v>
      </c>
      <c r="AR846" s="17">
        <v>282709</v>
      </c>
      <c r="AS846" t="s" s="15">
        <v>3295</v>
      </c>
      <c r="AT846" t="s" s="15">
        <v>301</v>
      </c>
      <c r="AU846" s="14"/>
      <c r="AV846" s="14"/>
      <c r="AW846" s="14"/>
      <c r="AX846" s="14"/>
      <c r="AY846" s="14"/>
      <c r="AZ846" s="14"/>
      <c r="BA846" s="14"/>
      <c r="BB846" s="14"/>
      <c r="BC846" s="14"/>
      <c r="BD846" t="s" s="15">
        <v>310</v>
      </c>
      <c r="BE846" t="s" s="15">
        <v>356</v>
      </c>
      <c r="BF846" s="17">
        <v>4</v>
      </c>
      <c r="BG846" s="17">
        <v>8</v>
      </c>
      <c r="BH846" s="14"/>
      <c r="BI846" s="14"/>
      <c r="BJ846" s="14"/>
      <c r="BK846" s="14"/>
      <c r="BL846" s="14"/>
      <c r="BM846" s="14"/>
      <c r="BN846" t="s" s="15">
        <v>69</v>
      </c>
      <c r="BO846" s="16"/>
      <c r="BP846" s="8"/>
    </row>
    <row r="847" ht="9" customHeight="1" hidden="1">
      <c r="A847" t="s" s="9">
        <v>3296</v>
      </c>
      <c r="B847" s="11"/>
      <c r="C847" t="str" s="11" cm="1">
        <f t="array" ref="C847">_xlfn.IFERROR((VLOOKUP(A847,#REF!,2,FALSE)),"")</f>
      </c>
      <c r="D847" s="11"/>
      <c r="E847" s="11"/>
      <c r="F847" s="11"/>
      <c r="G847" t="s" s="10">
        <v>3297</v>
      </c>
      <c r="H847" t="s" s="10">
        <v>3297</v>
      </c>
      <c r="I847" t="s" s="10">
        <v>111</v>
      </c>
      <c r="J847" t="s" s="10">
        <v>122</v>
      </c>
      <c r="K847" t="s" s="10">
        <v>351</v>
      </c>
      <c r="L847" t="s" s="10">
        <v>76</v>
      </c>
      <c r="M847" t="s" s="10">
        <v>3297</v>
      </c>
      <c r="N847" t="s" s="10">
        <v>3297</v>
      </c>
      <c r="O847" s="11"/>
      <c r="P847" t="s" s="10">
        <v>122</v>
      </c>
      <c r="Q847" t="s" s="10">
        <v>69</v>
      </c>
      <c r="R847" t="s" s="10">
        <v>83</v>
      </c>
      <c r="S847" s="11"/>
      <c r="T847" s="11"/>
      <c r="U847" s="11"/>
      <c r="V847" t="s" s="10">
        <v>69</v>
      </c>
      <c r="W847" s="11"/>
      <c r="X847" t="s" s="10">
        <v>69</v>
      </c>
      <c r="Y847" s="11"/>
      <c r="Z847" t="s" s="10">
        <v>76</v>
      </c>
      <c r="AA847" s="11"/>
      <c r="AB847" t="s" s="10">
        <v>76</v>
      </c>
      <c r="AC847" t="s" s="10">
        <v>3296</v>
      </c>
      <c r="AD847" t="s" s="10">
        <v>3298</v>
      </c>
      <c r="AE847" s="11"/>
      <c r="AF847" s="11"/>
      <c r="AG847" t="s" s="10">
        <v>299</v>
      </c>
      <c r="AH847" t="s" s="10">
        <v>106</v>
      </c>
      <c r="AI847" t="s" s="10">
        <v>76</v>
      </c>
      <c r="AJ847" t="s" s="10">
        <v>76</v>
      </c>
      <c r="AK847" t="s" s="10">
        <v>79</v>
      </c>
      <c r="AL847" t="s" s="10">
        <v>293</v>
      </c>
      <c r="AM847" t="s" s="10">
        <v>294</v>
      </c>
      <c r="AN847" t="s" s="10">
        <v>128</v>
      </c>
      <c r="AO847" s="18">
        <v>8</v>
      </c>
      <c r="AP847" s="18">
        <v>32768</v>
      </c>
      <c r="AQ847" s="18">
        <v>770819</v>
      </c>
      <c r="AR847" s="18">
        <v>365697</v>
      </c>
      <c r="AS847" t="s" s="10">
        <v>3299</v>
      </c>
      <c r="AT847" t="s" s="10">
        <v>301</v>
      </c>
      <c r="AU847" s="11"/>
      <c r="AV847" s="11"/>
      <c r="AW847" s="11"/>
      <c r="AX847" s="11"/>
      <c r="AY847" s="11"/>
      <c r="AZ847" s="11"/>
      <c r="BA847" s="11"/>
      <c r="BB847" s="11"/>
      <c r="BC847" s="11"/>
      <c r="BD847" s="11"/>
      <c r="BE847" s="11"/>
      <c r="BF847" s="11"/>
      <c r="BG847" s="11"/>
      <c r="BH847" s="11"/>
      <c r="BI847" s="11"/>
      <c r="BJ847" s="11"/>
      <c r="BK847" s="11"/>
      <c r="BL847" s="11"/>
      <c r="BM847" s="11"/>
      <c r="BN847" t="s" s="10">
        <v>69</v>
      </c>
      <c r="BO847" s="12"/>
      <c r="BP847" s="8"/>
    </row>
    <row r="848" ht="9" customHeight="1" hidden="1">
      <c r="A848" t="s" s="13">
        <v>3300</v>
      </c>
      <c r="B848" s="14"/>
      <c r="C848" t="str" s="14" cm="1">
        <f t="array" ref="C848">_xlfn.IFERROR((VLOOKUP(A848,#REF!,2,FALSE)),"")</f>
      </c>
      <c r="D848" s="14"/>
      <c r="E848" s="14"/>
      <c r="F848" s="14"/>
      <c r="G848" t="s" s="15">
        <v>3301</v>
      </c>
      <c r="H848" t="s" s="15">
        <v>3302</v>
      </c>
      <c r="I848" t="s" s="15">
        <v>111</v>
      </c>
      <c r="J848" t="s" s="15">
        <v>122</v>
      </c>
      <c r="K848" t="s" s="15">
        <v>113</v>
      </c>
      <c r="L848" t="s" s="15">
        <v>76</v>
      </c>
      <c r="M848" t="s" s="15">
        <v>3301</v>
      </c>
      <c r="N848" t="s" s="15">
        <v>3301</v>
      </c>
      <c r="O848" s="14"/>
      <c r="P848" t="s" s="15">
        <v>122</v>
      </c>
      <c r="Q848" t="s" s="15">
        <v>69</v>
      </c>
      <c r="R848" t="s" s="15">
        <v>83</v>
      </c>
      <c r="S848" s="14"/>
      <c r="T848" s="14"/>
      <c r="U848" s="14"/>
      <c r="V848" t="s" s="15">
        <v>69</v>
      </c>
      <c r="W848" s="14"/>
      <c r="X848" t="s" s="15">
        <v>69</v>
      </c>
      <c r="Y848" s="14"/>
      <c r="Z848" t="s" s="15">
        <v>76</v>
      </c>
      <c r="AA848" s="14"/>
      <c r="AB848" t="s" s="15">
        <v>76</v>
      </c>
      <c r="AC848" t="s" s="15">
        <v>3300</v>
      </c>
      <c r="AD848" t="s" s="15">
        <v>3303</v>
      </c>
      <c r="AE848" s="14"/>
      <c r="AF848" s="14"/>
      <c r="AG848" t="s" s="15">
        <v>299</v>
      </c>
      <c r="AH848" t="s" s="15">
        <v>106</v>
      </c>
      <c r="AI848" t="s" s="15">
        <v>76</v>
      </c>
      <c r="AJ848" t="s" s="15">
        <v>76</v>
      </c>
      <c r="AK848" t="s" s="15">
        <v>79</v>
      </c>
      <c r="AL848" t="s" s="15">
        <v>293</v>
      </c>
      <c r="AM848" t="s" s="15">
        <v>294</v>
      </c>
      <c r="AN848" t="s" s="15">
        <v>128</v>
      </c>
      <c r="AO848" s="17">
        <v>4</v>
      </c>
      <c r="AP848" s="17">
        <v>4096</v>
      </c>
      <c r="AQ848" s="17">
        <v>312348</v>
      </c>
      <c r="AR848" s="17">
        <v>312348</v>
      </c>
      <c r="AS848" t="s" s="15">
        <v>3304</v>
      </c>
      <c r="AT848" s="14"/>
      <c r="AU848" s="14"/>
      <c r="AV848" s="14"/>
      <c r="AW848" s="14"/>
      <c r="AX848" s="14"/>
      <c r="AY848" s="14"/>
      <c r="AZ848" s="14"/>
      <c r="BA848" s="14"/>
      <c r="BB848" s="14"/>
      <c r="BC848" s="14"/>
      <c r="BD848" s="14"/>
      <c r="BE848" s="14"/>
      <c r="BF848" s="14"/>
      <c r="BG848" s="14"/>
      <c r="BH848" s="14"/>
      <c r="BI848" s="14"/>
      <c r="BJ848" s="14"/>
      <c r="BK848" s="14"/>
      <c r="BL848" s="14"/>
      <c r="BM848" s="14"/>
      <c r="BN848" t="s" s="15">
        <v>69</v>
      </c>
      <c r="BO848" s="16"/>
      <c r="BP848" s="8"/>
    </row>
    <row r="849" ht="9" customHeight="1" hidden="1">
      <c r="A849" t="s" s="9">
        <v>3305</v>
      </c>
      <c r="B849" s="11"/>
      <c r="C849" t="str" s="11" cm="1">
        <f t="array" ref="C849">_xlfn.IFERROR((VLOOKUP(A849,#REF!,2,FALSE)),"")</f>
      </c>
      <c r="D849" s="11"/>
      <c r="E849" s="11"/>
      <c r="F849" s="11"/>
      <c r="G849" t="s" s="10">
        <v>3306</v>
      </c>
      <c r="H849" t="s" s="10">
        <v>3306</v>
      </c>
      <c r="I849" t="s" s="10">
        <v>111</v>
      </c>
      <c r="J849" t="s" s="10">
        <v>122</v>
      </c>
      <c r="K849" t="s" s="10">
        <v>113</v>
      </c>
      <c r="L849" t="s" s="10">
        <v>76</v>
      </c>
      <c r="M849" t="s" s="10">
        <v>3306</v>
      </c>
      <c r="N849" t="s" s="10">
        <v>3306</v>
      </c>
      <c r="O849" s="11"/>
      <c r="P849" t="s" s="10">
        <v>122</v>
      </c>
      <c r="Q849" t="s" s="10">
        <v>69</v>
      </c>
      <c r="R849" t="s" s="10">
        <v>83</v>
      </c>
      <c r="S849" s="11"/>
      <c r="T849" s="11"/>
      <c r="U849" s="11"/>
      <c r="V849" t="s" s="10">
        <v>69</v>
      </c>
      <c r="W849" s="11"/>
      <c r="X849" t="s" s="10">
        <v>69</v>
      </c>
      <c r="Y849" s="11"/>
      <c r="Z849" t="s" s="10">
        <v>76</v>
      </c>
      <c r="AA849" s="11"/>
      <c r="AB849" t="s" s="10">
        <v>76</v>
      </c>
      <c r="AC849" t="s" s="10">
        <v>3305</v>
      </c>
      <c r="AD849" t="s" s="10">
        <v>3307</v>
      </c>
      <c r="AE849" s="11"/>
      <c r="AF849" s="11"/>
      <c r="AG849" t="s" s="10">
        <v>299</v>
      </c>
      <c r="AH849" t="s" s="10">
        <v>106</v>
      </c>
      <c r="AI849" t="s" s="10">
        <v>76</v>
      </c>
      <c r="AJ849" t="s" s="10">
        <v>76</v>
      </c>
      <c r="AK849" t="s" s="10">
        <v>79</v>
      </c>
      <c r="AL849" t="s" s="10">
        <v>293</v>
      </c>
      <c r="AM849" t="s" s="10">
        <v>294</v>
      </c>
      <c r="AN849" t="s" s="10">
        <v>128</v>
      </c>
      <c r="AO849" s="18">
        <v>4</v>
      </c>
      <c r="AP849" s="18">
        <v>6144</v>
      </c>
      <c r="AQ849" s="18">
        <v>1594380</v>
      </c>
      <c r="AR849" s="18">
        <v>1594380</v>
      </c>
      <c r="AS849" t="s" s="10">
        <v>3308</v>
      </c>
      <c r="AT849" s="11"/>
      <c r="AU849" s="11"/>
      <c r="AV849" s="11"/>
      <c r="AW849" s="11"/>
      <c r="AX849" s="11"/>
      <c r="AY849" s="11"/>
      <c r="AZ849" s="11"/>
      <c r="BA849" s="11"/>
      <c r="BB849" s="11"/>
      <c r="BC849" s="11"/>
      <c r="BD849" s="11"/>
      <c r="BE849" s="11"/>
      <c r="BF849" s="11"/>
      <c r="BG849" s="11"/>
      <c r="BH849" s="11"/>
      <c r="BI849" s="11"/>
      <c r="BJ849" s="11"/>
      <c r="BK849" s="11"/>
      <c r="BL849" s="11"/>
      <c r="BM849" s="11"/>
      <c r="BN849" t="s" s="10">
        <v>69</v>
      </c>
      <c r="BO849" s="12"/>
      <c r="BP849" s="8"/>
    </row>
    <row r="850" ht="9" customHeight="1" hidden="1">
      <c r="A850" t="s" s="13">
        <v>3309</v>
      </c>
      <c r="B850" s="14"/>
      <c r="C850" t="str" s="14" cm="1">
        <f t="array" ref="C850">_xlfn.IFERROR((VLOOKUP(A850,#REF!,2,FALSE)),"")</f>
      </c>
      <c r="D850" s="14"/>
      <c r="E850" s="14"/>
      <c r="F850" s="14"/>
      <c r="G850" t="s" s="15">
        <v>3310</v>
      </c>
      <c r="H850" t="s" s="15">
        <v>3310</v>
      </c>
      <c r="I850" t="s" s="15">
        <v>111</v>
      </c>
      <c r="J850" t="s" s="15">
        <v>122</v>
      </c>
      <c r="K850" t="s" s="15">
        <v>113</v>
      </c>
      <c r="L850" t="s" s="15">
        <v>76</v>
      </c>
      <c r="M850" t="s" s="15">
        <v>3310</v>
      </c>
      <c r="N850" t="s" s="15">
        <v>3310</v>
      </c>
      <c r="O850" s="14"/>
      <c r="P850" t="s" s="15">
        <v>122</v>
      </c>
      <c r="Q850" t="s" s="15">
        <v>69</v>
      </c>
      <c r="R850" t="s" s="15">
        <v>83</v>
      </c>
      <c r="S850" s="14"/>
      <c r="T850" s="14"/>
      <c r="U850" s="14"/>
      <c r="V850" t="s" s="15">
        <v>69</v>
      </c>
      <c r="W850" s="14"/>
      <c r="X850" t="s" s="15">
        <v>69</v>
      </c>
      <c r="Y850" s="14"/>
      <c r="Z850" t="s" s="15">
        <v>76</v>
      </c>
      <c r="AA850" s="14"/>
      <c r="AB850" t="s" s="15">
        <v>76</v>
      </c>
      <c r="AC850" t="s" s="15">
        <v>3309</v>
      </c>
      <c r="AD850" t="s" s="15">
        <v>3311</v>
      </c>
      <c r="AE850" s="14"/>
      <c r="AF850" s="14"/>
      <c r="AG850" t="s" s="15">
        <v>299</v>
      </c>
      <c r="AH850" t="s" s="15">
        <v>106</v>
      </c>
      <c r="AI850" t="s" s="15">
        <v>76</v>
      </c>
      <c r="AJ850" t="s" s="15">
        <v>76</v>
      </c>
      <c r="AK850" t="s" s="15">
        <v>79</v>
      </c>
      <c r="AL850" t="s" s="15">
        <v>293</v>
      </c>
      <c r="AM850" t="s" s="15">
        <v>294</v>
      </c>
      <c r="AN850" t="s" s="15">
        <v>128</v>
      </c>
      <c r="AO850" s="17">
        <v>4</v>
      </c>
      <c r="AP850" s="17">
        <v>4096</v>
      </c>
      <c r="AQ850" s="17">
        <v>209933</v>
      </c>
      <c r="AR850" s="17">
        <v>209933</v>
      </c>
      <c r="AS850" t="s" s="15">
        <v>3312</v>
      </c>
      <c r="AT850" s="14"/>
      <c r="AU850" s="14"/>
      <c r="AV850" s="14"/>
      <c r="AW850" s="14"/>
      <c r="AX850" s="14"/>
      <c r="AY850" s="14"/>
      <c r="AZ850" s="14"/>
      <c r="BA850" s="14"/>
      <c r="BB850" s="14"/>
      <c r="BC850" s="14"/>
      <c r="BD850" s="14"/>
      <c r="BE850" s="14"/>
      <c r="BF850" s="14"/>
      <c r="BG850" s="14"/>
      <c r="BH850" s="14"/>
      <c r="BI850" s="14"/>
      <c r="BJ850" s="14"/>
      <c r="BK850" s="14"/>
      <c r="BL850" s="14"/>
      <c r="BM850" s="14"/>
      <c r="BN850" t="s" s="15">
        <v>69</v>
      </c>
      <c r="BO850" s="16"/>
      <c r="BP850" s="8"/>
    </row>
    <row r="851" ht="9" customHeight="1" hidden="1">
      <c r="A851" t="s" s="9">
        <v>3313</v>
      </c>
      <c r="B851" s="11"/>
      <c r="C851" t="str" s="11" cm="1">
        <f t="array" ref="C851">_xlfn.IFERROR((VLOOKUP(A851,#REF!,2,FALSE)),"")</f>
      </c>
      <c r="D851" s="11"/>
      <c r="E851" s="11"/>
      <c r="F851" s="11"/>
      <c r="G851" t="s" s="10">
        <v>3314</v>
      </c>
      <c r="H851" t="s" s="10">
        <v>3314</v>
      </c>
      <c r="I851" t="s" s="10">
        <v>111</v>
      </c>
      <c r="J851" t="s" s="10">
        <v>122</v>
      </c>
      <c r="K851" t="s" s="10">
        <v>113</v>
      </c>
      <c r="L851" t="s" s="10">
        <v>76</v>
      </c>
      <c r="M851" t="s" s="10">
        <v>3314</v>
      </c>
      <c r="N851" t="s" s="10">
        <v>3314</v>
      </c>
      <c r="O851" s="11"/>
      <c r="P851" t="s" s="10">
        <v>122</v>
      </c>
      <c r="Q851" t="s" s="10">
        <v>69</v>
      </c>
      <c r="R851" t="s" s="10">
        <v>83</v>
      </c>
      <c r="S851" s="11"/>
      <c r="T851" s="11"/>
      <c r="U851" s="11"/>
      <c r="V851" t="s" s="10">
        <v>69</v>
      </c>
      <c r="W851" s="11"/>
      <c r="X851" t="s" s="10">
        <v>69</v>
      </c>
      <c r="Y851" s="11"/>
      <c r="Z851" t="s" s="10">
        <v>76</v>
      </c>
      <c r="AA851" s="11"/>
      <c r="AB851" t="s" s="10">
        <v>76</v>
      </c>
      <c r="AC851" t="s" s="10">
        <v>3313</v>
      </c>
      <c r="AD851" t="s" s="10">
        <v>3315</v>
      </c>
      <c r="AE851" s="11"/>
      <c r="AF851" s="11"/>
      <c r="AG851" t="s" s="10">
        <v>299</v>
      </c>
      <c r="AH851" t="s" s="10">
        <v>106</v>
      </c>
      <c r="AI851" t="s" s="10">
        <v>76</v>
      </c>
      <c r="AJ851" t="s" s="10">
        <v>76</v>
      </c>
      <c r="AK851" t="s" s="10">
        <v>79</v>
      </c>
      <c r="AL851" t="s" s="10">
        <v>293</v>
      </c>
      <c r="AM851" t="s" s="10">
        <v>294</v>
      </c>
      <c r="AN851" t="s" s="10">
        <v>128</v>
      </c>
      <c r="AO851" s="18">
        <v>4</v>
      </c>
      <c r="AP851" s="18">
        <v>4096</v>
      </c>
      <c r="AQ851" s="18">
        <v>26733948</v>
      </c>
      <c r="AR851" s="18">
        <v>26733948</v>
      </c>
      <c r="AS851" t="s" s="10">
        <v>3316</v>
      </c>
      <c r="AT851" s="11"/>
      <c r="AU851" s="11"/>
      <c r="AV851" s="11"/>
      <c r="AW851" s="11"/>
      <c r="AX851" s="11"/>
      <c r="AY851" s="11"/>
      <c r="AZ851" s="11"/>
      <c r="BA851" s="11"/>
      <c r="BB851" s="11"/>
      <c r="BC851" s="11"/>
      <c r="BD851" s="11"/>
      <c r="BE851" s="11"/>
      <c r="BF851" s="11"/>
      <c r="BG851" s="11"/>
      <c r="BH851" s="11"/>
      <c r="BI851" s="11"/>
      <c r="BJ851" s="11"/>
      <c r="BK851" s="11"/>
      <c r="BL851" s="11"/>
      <c r="BM851" s="11"/>
      <c r="BN851" t="s" s="10">
        <v>69</v>
      </c>
      <c r="BO851" s="12"/>
      <c r="BP851" s="8"/>
    </row>
    <row r="852" ht="9" customHeight="1" hidden="1">
      <c r="A852" t="s" s="13">
        <v>3317</v>
      </c>
      <c r="B852" s="14"/>
      <c r="C852" t="str" s="14" cm="1">
        <f t="array" ref="C852">_xlfn.IFERROR((VLOOKUP(A852,#REF!,2,FALSE)),"")</f>
      </c>
      <c r="D852" s="14"/>
      <c r="E852" s="14"/>
      <c r="F852" s="14"/>
      <c r="G852" t="s" s="15">
        <v>3318</v>
      </c>
      <c r="H852" t="s" s="15">
        <v>3319</v>
      </c>
      <c r="I852" t="s" s="15">
        <v>111</v>
      </c>
      <c r="J852" t="s" s="15">
        <v>122</v>
      </c>
      <c r="K852" t="s" s="15">
        <v>113</v>
      </c>
      <c r="L852" t="s" s="15">
        <v>76</v>
      </c>
      <c r="M852" t="s" s="15">
        <v>3318</v>
      </c>
      <c r="N852" t="s" s="15">
        <v>3318</v>
      </c>
      <c r="O852" s="14"/>
      <c r="P852" t="s" s="15">
        <v>122</v>
      </c>
      <c r="Q852" t="s" s="15">
        <v>69</v>
      </c>
      <c r="R852" t="s" s="15">
        <v>83</v>
      </c>
      <c r="S852" s="14"/>
      <c r="T852" s="14"/>
      <c r="U852" s="14"/>
      <c r="V852" t="s" s="15">
        <v>69</v>
      </c>
      <c r="W852" s="14"/>
      <c r="X852" t="s" s="15">
        <v>69</v>
      </c>
      <c r="Y852" s="14"/>
      <c r="Z852" t="s" s="15">
        <v>76</v>
      </c>
      <c r="AA852" s="14"/>
      <c r="AB852" t="s" s="15">
        <v>76</v>
      </c>
      <c r="AC852" t="s" s="15">
        <v>3317</v>
      </c>
      <c r="AD852" t="s" s="15">
        <v>3320</v>
      </c>
      <c r="AE852" s="14"/>
      <c r="AF852" s="14"/>
      <c r="AG852" t="s" s="15">
        <v>299</v>
      </c>
      <c r="AH852" t="s" s="15">
        <v>106</v>
      </c>
      <c r="AI852" t="s" s="15">
        <v>76</v>
      </c>
      <c r="AJ852" t="s" s="15">
        <v>76</v>
      </c>
      <c r="AK852" t="s" s="15">
        <v>79</v>
      </c>
      <c r="AL852" t="s" s="15">
        <v>293</v>
      </c>
      <c r="AM852" t="s" s="15">
        <v>294</v>
      </c>
      <c r="AN852" t="s" s="15">
        <v>128</v>
      </c>
      <c r="AO852" s="17">
        <v>4</v>
      </c>
      <c r="AP852" s="17">
        <v>4096</v>
      </c>
      <c r="AQ852" s="17">
        <v>209932</v>
      </c>
      <c r="AR852" s="17">
        <v>209932</v>
      </c>
      <c r="AS852" t="s" s="15">
        <v>3321</v>
      </c>
      <c r="AT852" s="14"/>
      <c r="AU852" s="14"/>
      <c r="AV852" s="14"/>
      <c r="AW852" s="14"/>
      <c r="AX852" s="14"/>
      <c r="AY852" s="14"/>
      <c r="AZ852" s="14"/>
      <c r="BA852" s="14"/>
      <c r="BB852" s="14"/>
      <c r="BC852" s="14"/>
      <c r="BD852" s="14"/>
      <c r="BE852" s="14"/>
      <c r="BF852" s="14"/>
      <c r="BG852" s="14"/>
      <c r="BH852" s="14"/>
      <c r="BI852" s="14"/>
      <c r="BJ852" s="14"/>
      <c r="BK852" s="14"/>
      <c r="BL852" s="14"/>
      <c r="BM852" s="14"/>
      <c r="BN852" t="s" s="15">
        <v>69</v>
      </c>
      <c r="BO852" s="16"/>
      <c r="BP852" s="8"/>
    </row>
    <row r="853" ht="9" customHeight="1" hidden="1">
      <c r="A853" t="s" s="9">
        <v>3322</v>
      </c>
      <c r="B853" s="11"/>
      <c r="C853" t="str" s="11" cm="1">
        <f t="array" ref="C853">_xlfn.IFERROR((VLOOKUP(A853,#REF!,2,FALSE)),"")</f>
      </c>
      <c r="D853" s="11"/>
      <c r="E853" s="11"/>
      <c r="F853" s="11"/>
      <c r="G853" t="s" s="10">
        <v>3323</v>
      </c>
      <c r="H853" t="s" s="10">
        <v>3324</v>
      </c>
      <c r="I853" t="s" s="10">
        <v>111</v>
      </c>
      <c r="J853" t="s" s="10">
        <v>122</v>
      </c>
      <c r="K853" t="s" s="10">
        <v>113</v>
      </c>
      <c r="L853" t="s" s="10">
        <v>76</v>
      </c>
      <c r="M853" t="s" s="10">
        <v>3323</v>
      </c>
      <c r="N853" t="s" s="10">
        <v>3323</v>
      </c>
      <c r="O853" s="11"/>
      <c r="P853" t="s" s="10">
        <v>122</v>
      </c>
      <c r="Q853" t="s" s="10">
        <v>69</v>
      </c>
      <c r="R853" t="s" s="10">
        <v>83</v>
      </c>
      <c r="S853" s="11"/>
      <c r="T853" s="11"/>
      <c r="U853" s="11"/>
      <c r="V853" t="s" s="10">
        <v>69</v>
      </c>
      <c r="W853" s="11"/>
      <c r="X853" t="s" s="10">
        <v>69</v>
      </c>
      <c r="Y853" s="11"/>
      <c r="Z853" t="s" s="10">
        <v>76</v>
      </c>
      <c r="AA853" s="11"/>
      <c r="AB853" t="s" s="10">
        <v>76</v>
      </c>
      <c r="AC853" t="s" s="10">
        <v>3322</v>
      </c>
      <c r="AD853" t="s" s="10">
        <v>3325</v>
      </c>
      <c r="AE853" s="11"/>
      <c r="AF853" s="11"/>
      <c r="AG853" t="s" s="10">
        <v>299</v>
      </c>
      <c r="AH853" t="s" s="10">
        <v>106</v>
      </c>
      <c r="AI853" t="s" s="10">
        <v>76</v>
      </c>
      <c r="AJ853" t="s" s="10">
        <v>76</v>
      </c>
      <c r="AK853" t="s" s="10">
        <v>79</v>
      </c>
      <c r="AL853" t="s" s="10">
        <v>293</v>
      </c>
      <c r="AM853" t="s" s="10">
        <v>294</v>
      </c>
      <c r="AN853" t="s" s="10">
        <v>128</v>
      </c>
      <c r="AO853" s="18">
        <v>4</v>
      </c>
      <c r="AP853" s="18">
        <v>4096</v>
      </c>
      <c r="AQ853" s="18">
        <v>209933</v>
      </c>
      <c r="AR853" s="18">
        <v>209933</v>
      </c>
      <c r="AS853" t="s" s="10">
        <v>3326</v>
      </c>
      <c r="AT853" s="11"/>
      <c r="AU853" s="11"/>
      <c r="AV853" s="11"/>
      <c r="AW853" s="11"/>
      <c r="AX853" s="11"/>
      <c r="AY853" s="11"/>
      <c r="AZ853" s="11"/>
      <c r="BA853" s="11"/>
      <c r="BB853" s="11"/>
      <c r="BC853" s="11"/>
      <c r="BD853" s="11"/>
      <c r="BE853" s="11"/>
      <c r="BF853" s="11"/>
      <c r="BG853" s="11"/>
      <c r="BH853" s="11"/>
      <c r="BI853" s="11"/>
      <c r="BJ853" s="11"/>
      <c r="BK853" s="11"/>
      <c r="BL853" s="11"/>
      <c r="BM853" s="11"/>
      <c r="BN853" t="s" s="10">
        <v>69</v>
      </c>
      <c r="BO853" s="12"/>
      <c r="BP853" s="8"/>
    </row>
    <row r="854" ht="9" customHeight="1" hidden="1">
      <c r="A854" t="s" s="13">
        <v>3327</v>
      </c>
      <c r="B854" s="14"/>
      <c r="C854" t="str" s="14" cm="1">
        <f t="array" ref="C854">_xlfn.IFERROR((VLOOKUP(A854,#REF!,2,FALSE)),"")</f>
      </c>
      <c r="D854" s="14"/>
      <c r="E854" s="14"/>
      <c r="F854" s="14"/>
      <c r="G854" t="s" s="15">
        <v>3328</v>
      </c>
      <c r="H854" t="s" s="15">
        <v>3328</v>
      </c>
      <c r="I854" t="s" s="15">
        <v>111</v>
      </c>
      <c r="J854" t="s" s="15">
        <v>322</v>
      </c>
      <c r="K854" t="s" s="15">
        <v>113</v>
      </c>
      <c r="L854" t="s" s="15">
        <v>2097</v>
      </c>
      <c r="M854" t="s" s="15">
        <v>3328</v>
      </c>
      <c r="N854" t="s" s="15">
        <v>3328</v>
      </c>
      <c r="O854" s="14"/>
      <c r="P854" t="s" s="15">
        <v>322</v>
      </c>
      <c r="Q854" t="s" s="15">
        <v>69</v>
      </c>
      <c r="R854" t="s" s="15">
        <v>83</v>
      </c>
      <c r="S854" s="14"/>
      <c r="T854" s="14"/>
      <c r="U854" s="14"/>
      <c r="V854" t="s" s="15">
        <v>69</v>
      </c>
      <c r="W854" s="14"/>
      <c r="X854" t="s" s="15">
        <v>69</v>
      </c>
      <c r="Y854" s="14"/>
      <c r="Z854" t="s" s="15">
        <v>205</v>
      </c>
      <c r="AA854" s="14"/>
      <c r="AB854" t="s" s="15">
        <v>2098</v>
      </c>
      <c r="AC854" t="s" s="15">
        <v>3327</v>
      </c>
      <c r="AD854" t="s" s="15">
        <v>3329</v>
      </c>
      <c r="AE854" s="14"/>
      <c r="AF854" s="14"/>
      <c r="AG854" t="s" s="15">
        <v>299</v>
      </c>
      <c r="AH854" t="s" s="15">
        <v>106</v>
      </c>
      <c r="AI854" t="s" s="15">
        <v>76</v>
      </c>
      <c r="AJ854" t="s" s="15">
        <v>76</v>
      </c>
      <c r="AK854" t="s" s="15">
        <v>79</v>
      </c>
      <c r="AL854" t="s" s="15">
        <v>293</v>
      </c>
      <c r="AM854" t="s" s="15">
        <v>294</v>
      </c>
      <c r="AN854" t="s" s="15">
        <v>128</v>
      </c>
      <c r="AO854" s="17">
        <v>2</v>
      </c>
      <c r="AP854" s="17">
        <v>4096</v>
      </c>
      <c r="AQ854" s="17">
        <v>168018</v>
      </c>
      <c r="AR854" s="17">
        <v>168018</v>
      </c>
      <c r="AS854" t="s" s="15">
        <v>3330</v>
      </c>
      <c r="AT854" t="s" s="15">
        <v>301</v>
      </c>
      <c r="AU854" s="14"/>
      <c r="AV854" s="14"/>
      <c r="AW854" s="14"/>
      <c r="AX854" s="14"/>
      <c r="AY854" s="14"/>
      <c r="AZ854" s="14"/>
      <c r="BA854" s="14"/>
      <c r="BB854" s="14"/>
      <c r="BC854" s="14"/>
      <c r="BD854" s="14"/>
      <c r="BE854" s="14"/>
      <c r="BF854" s="14"/>
      <c r="BG854" s="14"/>
      <c r="BH854" s="14"/>
      <c r="BI854" s="14"/>
      <c r="BJ854" s="14"/>
      <c r="BK854" s="14"/>
      <c r="BL854" s="14"/>
      <c r="BM854" s="14"/>
      <c r="BN854" t="s" s="15">
        <v>78</v>
      </c>
      <c r="BO854" s="16"/>
      <c r="BP854" s="8"/>
    </row>
    <row r="855" ht="9" customHeight="1" hidden="1">
      <c r="A855" t="s" s="9">
        <v>3331</v>
      </c>
      <c r="B855" s="11"/>
      <c r="C855" t="str" s="11" cm="1">
        <f t="array" ref="C855">_xlfn.IFERROR((VLOOKUP(A855,#REF!,2,FALSE)),"")</f>
      </c>
      <c r="D855" s="11"/>
      <c r="E855" t="s" s="10">
        <v>303</v>
      </c>
      <c r="F855" s="11"/>
      <c r="G855" t="s" s="10">
        <v>3163</v>
      </c>
      <c r="H855" t="s" s="10">
        <v>3163</v>
      </c>
      <c r="I855" t="s" s="10">
        <v>73</v>
      </c>
      <c r="J855" t="s" s="10">
        <v>74</v>
      </c>
      <c r="K855" t="s" s="10">
        <v>113</v>
      </c>
      <c r="L855" t="s" s="10">
        <v>76</v>
      </c>
      <c r="M855" t="s" s="10">
        <v>3163</v>
      </c>
      <c r="N855" t="s" s="10">
        <v>3163</v>
      </c>
      <c r="O855" t="s" s="10">
        <v>71</v>
      </c>
      <c r="P855" t="s" s="10">
        <v>74</v>
      </c>
      <c r="Q855" t="s" s="10">
        <v>78</v>
      </c>
      <c r="R855" t="s" s="10">
        <v>323</v>
      </c>
      <c r="S855" s="11"/>
      <c r="T855" s="11"/>
      <c r="U855" s="11"/>
      <c r="V855" t="s" s="10">
        <v>78</v>
      </c>
      <c r="W855" t="s" s="10">
        <v>3331</v>
      </c>
      <c r="X855" t="s" s="10">
        <v>69</v>
      </c>
      <c r="Y855" s="11"/>
      <c r="Z855" t="s" s="10">
        <v>205</v>
      </c>
      <c r="AA855" s="11"/>
      <c r="AB855" t="s" s="10">
        <v>76</v>
      </c>
      <c r="AC855" s="11"/>
      <c r="AD855" s="11"/>
      <c r="AE855" s="11"/>
      <c r="AF855" s="11"/>
      <c r="AG855" s="11"/>
      <c r="AH855" t="s" s="10">
        <v>114</v>
      </c>
      <c r="AI855" t="s" s="10">
        <v>76</v>
      </c>
      <c r="AJ855" t="s" s="10">
        <v>76</v>
      </c>
      <c r="AK855" t="s" s="10">
        <v>79</v>
      </c>
      <c r="AL855" s="11"/>
      <c r="AM855" s="11"/>
      <c r="AN855" s="11"/>
      <c r="AO855" s="11"/>
      <c r="AP855" s="11"/>
      <c r="AQ855" s="11"/>
      <c r="AR855" s="11"/>
      <c r="AS855" s="11"/>
      <c r="AT855" s="11"/>
      <c r="AU855" s="11"/>
      <c r="AV855" s="11"/>
      <c r="AW855" s="11"/>
      <c r="AX855" s="11"/>
      <c r="AY855" s="11"/>
      <c r="AZ855" s="11"/>
      <c r="BA855" s="11"/>
      <c r="BB855" s="11"/>
      <c r="BC855" s="11"/>
      <c r="BD855" t="s" s="10">
        <v>118</v>
      </c>
      <c r="BE855" s="11"/>
      <c r="BF855" s="11"/>
      <c r="BG855" s="11"/>
      <c r="BH855" s="11"/>
      <c r="BI855" s="11"/>
      <c r="BJ855" s="11"/>
      <c r="BK855" s="11"/>
      <c r="BL855" s="11"/>
      <c r="BM855" s="11"/>
      <c r="BN855" s="11"/>
      <c r="BO855" s="12"/>
      <c r="BP855" s="8"/>
    </row>
    <row r="856" ht="9" customHeight="1" hidden="1">
      <c r="A856" t="s" s="13">
        <v>3332</v>
      </c>
      <c r="B856" s="14"/>
      <c r="C856" t="str" s="14" cm="1">
        <f t="array" ref="C856">_xlfn.IFERROR((VLOOKUP(A856,#REF!,2,FALSE)),"")</f>
      </c>
      <c r="D856" s="14"/>
      <c r="E856" s="14"/>
      <c r="F856" s="14"/>
      <c r="G856" t="s" s="15">
        <v>3333</v>
      </c>
      <c r="H856" t="s" s="15">
        <v>3334</v>
      </c>
      <c r="I856" t="s" s="15">
        <v>73</v>
      </c>
      <c r="J856" t="s" s="15">
        <v>74</v>
      </c>
      <c r="K856" t="s" s="15">
        <v>113</v>
      </c>
      <c r="L856" t="s" s="15">
        <v>76</v>
      </c>
      <c r="M856" t="s" s="15">
        <v>3333</v>
      </c>
      <c r="N856" t="s" s="15">
        <v>3333</v>
      </c>
      <c r="O856" t="s" s="15">
        <v>71</v>
      </c>
      <c r="P856" t="s" s="15">
        <v>74</v>
      </c>
      <c r="Q856" t="s" s="15">
        <v>78</v>
      </c>
      <c r="R856" t="s" s="15">
        <v>71</v>
      </c>
      <c r="S856" s="14"/>
      <c r="T856" s="14"/>
      <c r="U856" s="14"/>
      <c r="V856" t="s" s="15">
        <v>78</v>
      </c>
      <c r="W856" t="s" s="15">
        <v>3332</v>
      </c>
      <c r="X856" t="s" s="15">
        <v>69</v>
      </c>
      <c r="Y856" s="14"/>
      <c r="Z856" t="s" s="15">
        <v>76</v>
      </c>
      <c r="AA856" s="14"/>
      <c r="AB856" t="s" s="15">
        <v>76</v>
      </c>
      <c r="AC856" s="14"/>
      <c r="AD856" s="14"/>
      <c r="AE856" s="14"/>
      <c r="AF856" s="14"/>
      <c r="AG856" s="14"/>
      <c r="AH856" t="s" s="15">
        <v>106</v>
      </c>
      <c r="AI856" t="s" s="15">
        <v>76</v>
      </c>
      <c r="AJ856" t="s" s="15">
        <v>76</v>
      </c>
      <c r="AK856" t="s" s="15">
        <v>79</v>
      </c>
      <c r="AL856" s="14"/>
      <c r="AM856" s="14"/>
      <c r="AN856" s="14"/>
      <c r="AO856" s="14"/>
      <c r="AP856" s="14"/>
      <c r="AQ856" s="14"/>
      <c r="AR856" s="14"/>
      <c r="AS856" s="14"/>
      <c r="AT856" s="14"/>
      <c r="AU856" s="14"/>
      <c r="AV856" s="14"/>
      <c r="AW856" s="14"/>
      <c r="AX856" s="14"/>
      <c r="AY856" s="14"/>
      <c r="AZ856" s="14"/>
      <c r="BA856" s="14"/>
      <c r="BB856" s="14"/>
      <c r="BC856" s="14"/>
      <c r="BD856" s="14"/>
      <c r="BE856" s="14"/>
      <c r="BF856" s="14"/>
      <c r="BG856" s="14"/>
      <c r="BH856" s="14"/>
      <c r="BI856" s="14"/>
      <c r="BJ856" s="14"/>
      <c r="BK856" s="14"/>
      <c r="BL856" s="14"/>
      <c r="BM856" s="14"/>
      <c r="BN856" s="14"/>
      <c r="BO856" s="16"/>
      <c r="BP856" s="8"/>
    </row>
    <row r="857" ht="9" customHeight="1" hidden="1">
      <c r="A857" t="s" s="9">
        <v>3335</v>
      </c>
      <c r="B857" s="11"/>
      <c r="C857" t="str" s="11" cm="1">
        <f t="array" ref="C857">_xlfn.IFERROR((VLOOKUP(A857,#REF!,2,FALSE)),"")</f>
      </c>
      <c r="D857" s="11"/>
      <c r="E857" s="11"/>
      <c r="F857" s="11"/>
      <c r="G857" t="s" s="10">
        <v>3336</v>
      </c>
      <c r="H857" t="s" s="10">
        <v>3334</v>
      </c>
      <c r="I857" t="s" s="10">
        <v>73</v>
      </c>
      <c r="J857" t="s" s="10">
        <v>74</v>
      </c>
      <c r="K857" t="s" s="10">
        <v>113</v>
      </c>
      <c r="L857" t="s" s="10">
        <v>76</v>
      </c>
      <c r="M857" t="s" s="10">
        <v>3336</v>
      </c>
      <c r="N857" t="s" s="10">
        <v>3336</v>
      </c>
      <c r="O857" t="s" s="10">
        <v>71</v>
      </c>
      <c r="P857" t="s" s="10">
        <v>74</v>
      </c>
      <c r="Q857" t="s" s="10">
        <v>78</v>
      </c>
      <c r="R857" t="s" s="10">
        <v>71</v>
      </c>
      <c r="S857" s="11"/>
      <c r="T857" s="11"/>
      <c r="U857" s="11"/>
      <c r="V857" t="s" s="10">
        <v>78</v>
      </c>
      <c r="W857" t="s" s="10">
        <v>3335</v>
      </c>
      <c r="X857" t="s" s="10">
        <v>69</v>
      </c>
      <c r="Y857" s="11"/>
      <c r="Z857" t="s" s="10">
        <v>76</v>
      </c>
      <c r="AA857" s="11"/>
      <c r="AB857" t="s" s="10">
        <v>76</v>
      </c>
      <c r="AC857" s="11"/>
      <c r="AD857" s="11"/>
      <c r="AE857" s="11"/>
      <c r="AF857" s="11"/>
      <c r="AG857" s="11"/>
      <c r="AH857" t="s" s="10">
        <v>106</v>
      </c>
      <c r="AI857" t="s" s="10">
        <v>76</v>
      </c>
      <c r="AJ857" t="s" s="10">
        <v>76</v>
      </c>
      <c r="AK857" t="s" s="10">
        <v>79</v>
      </c>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c r="BO857" s="12"/>
      <c r="BP857" s="8"/>
    </row>
    <row r="858" ht="9" customHeight="1" hidden="1">
      <c r="A858" t="s" s="13">
        <v>3337</v>
      </c>
      <c r="B858" s="14"/>
      <c r="C858" t="str" s="14" cm="1">
        <f t="array" ref="C858">_xlfn.IFERROR((VLOOKUP(A858,#REF!,2,FALSE)),"")</f>
      </c>
      <c r="D858" s="14"/>
      <c r="E858" s="14"/>
      <c r="F858" s="14"/>
      <c r="G858" t="s" s="15">
        <v>3338</v>
      </c>
      <c r="H858" t="s" s="15">
        <v>3339</v>
      </c>
      <c r="I858" t="s" s="15">
        <v>111</v>
      </c>
      <c r="J858" t="s" s="15">
        <v>122</v>
      </c>
      <c r="K858" t="s" s="15">
        <v>113</v>
      </c>
      <c r="L858" t="s" s="15">
        <v>76</v>
      </c>
      <c r="M858" t="s" s="15">
        <v>3338</v>
      </c>
      <c r="N858" t="s" s="15">
        <v>3338</v>
      </c>
      <c r="O858" t="s" s="15">
        <v>71</v>
      </c>
      <c r="P858" t="s" s="15">
        <v>122</v>
      </c>
      <c r="Q858" t="s" s="15">
        <v>69</v>
      </c>
      <c r="R858" t="s" s="15">
        <v>83</v>
      </c>
      <c r="S858" s="14"/>
      <c r="T858" s="14"/>
      <c r="U858" s="14"/>
      <c r="V858" t="s" s="15">
        <v>69</v>
      </c>
      <c r="W858" s="14"/>
      <c r="X858" t="s" s="15">
        <v>69</v>
      </c>
      <c r="Y858" s="14"/>
      <c r="Z858" t="s" s="15">
        <v>76</v>
      </c>
      <c r="AA858" s="14"/>
      <c r="AB858" t="s" s="15">
        <v>76</v>
      </c>
      <c r="AC858" t="s" s="15">
        <v>3337</v>
      </c>
      <c r="AD858" t="s" s="15">
        <v>3340</v>
      </c>
      <c r="AE858" s="14"/>
      <c r="AF858" s="14"/>
      <c r="AG858" t="s" s="15">
        <v>299</v>
      </c>
      <c r="AH858" t="s" s="15">
        <v>106</v>
      </c>
      <c r="AI858" t="s" s="15">
        <v>76</v>
      </c>
      <c r="AJ858" t="s" s="15">
        <v>76</v>
      </c>
      <c r="AK858" t="s" s="15">
        <v>79</v>
      </c>
      <c r="AL858" t="s" s="15">
        <v>293</v>
      </c>
      <c r="AM858" t="s" s="15">
        <v>294</v>
      </c>
      <c r="AN858" t="s" s="15">
        <v>128</v>
      </c>
      <c r="AO858" s="17">
        <v>2</v>
      </c>
      <c r="AP858" s="17">
        <v>4096</v>
      </c>
      <c r="AQ858" s="17">
        <v>157784</v>
      </c>
      <c r="AR858" s="17">
        <v>157784</v>
      </c>
      <c r="AS858" t="s" s="15">
        <v>3341</v>
      </c>
      <c r="AT858" t="s" s="15">
        <v>301</v>
      </c>
      <c r="AU858" s="14"/>
      <c r="AV858" s="14"/>
      <c r="AW858" s="14"/>
      <c r="AX858" s="14"/>
      <c r="AY858" s="14"/>
      <c r="AZ858" s="14"/>
      <c r="BA858" s="14"/>
      <c r="BB858" s="14"/>
      <c r="BC858" s="14"/>
      <c r="BD858" s="14"/>
      <c r="BE858" s="14"/>
      <c r="BF858" s="14"/>
      <c r="BG858" s="14"/>
      <c r="BH858" s="14"/>
      <c r="BI858" s="14"/>
      <c r="BJ858" s="14"/>
      <c r="BK858" s="14"/>
      <c r="BL858" s="14"/>
      <c r="BM858" s="14"/>
      <c r="BN858" t="s" s="15">
        <v>78</v>
      </c>
      <c r="BO858" s="16"/>
      <c r="BP858" s="8"/>
    </row>
    <row r="859" ht="9" customHeight="1" hidden="1">
      <c r="A859" t="s" s="9">
        <v>3342</v>
      </c>
      <c r="B859" s="11"/>
      <c r="C859" t="str" s="11" cm="1">
        <f t="array" ref="C859">_xlfn.IFERROR((VLOOKUP(A859,#REF!,2,FALSE)),"")</f>
      </c>
      <c r="D859" t="s" s="10">
        <v>70</v>
      </c>
      <c r="E859" t="s" s="10">
        <v>3260</v>
      </c>
      <c r="F859" s="11"/>
      <c r="G859" t="s" s="10">
        <v>3343</v>
      </c>
      <c r="H859" t="s" s="10">
        <v>3343</v>
      </c>
      <c r="I859" t="s" s="10">
        <v>111</v>
      </c>
      <c r="J859" t="s" s="10">
        <v>122</v>
      </c>
      <c r="K859" t="s" s="10">
        <v>113</v>
      </c>
      <c r="L859" t="s" s="10">
        <v>1638</v>
      </c>
      <c r="M859" t="s" s="10">
        <v>3344</v>
      </c>
      <c r="N859" t="s" s="10">
        <v>3343</v>
      </c>
      <c r="O859" s="11"/>
      <c r="P859" t="s" s="10">
        <v>122</v>
      </c>
      <c r="Q859" t="s" s="10">
        <v>78</v>
      </c>
      <c r="R859" t="s" s="10">
        <v>323</v>
      </c>
      <c r="S859" s="11"/>
      <c r="T859" s="11"/>
      <c r="U859" s="11"/>
      <c r="V859" t="s" s="10">
        <v>69</v>
      </c>
      <c r="W859" s="11"/>
      <c r="X859" t="s" s="10">
        <v>78</v>
      </c>
      <c r="Y859" s="11"/>
      <c r="Z859" t="s" s="10">
        <v>1639</v>
      </c>
      <c r="AA859" s="11"/>
      <c r="AB859" t="s" s="10">
        <v>76</v>
      </c>
      <c r="AC859" s="11"/>
      <c r="AD859" s="11"/>
      <c r="AE859" s="11"/>
      <c r="AF859" s="11"/>
      <c r="AG859" t="s" s="10">
        <v>299</v>
      </c>
      <c r="AH859" t="s" s="10">
        <v>114</v>
      </c>
      <c r="AI859" t="s" s="10">
        <v>76</v>
      </c>
      <c r="AJ859" t="s" s="10">
        <v>76</v>
      </c>
      <c r="AK859" t="s" s="10">
        <v>79</v>
      </c>
      <c r="AL859" t="s" s="10">
        <v>293</v>
      </c>
      <c r="AM859" t="s" s="10">
        <v>294</v>
      </c>
      <c r="AN859" t="s" s="10">
        <v>3345</v>
      </c>
      <c r="AO859" s="18">
        <v>4</v>
      </c>
      <c r="AP859" s="18">
        <v>4096</v>
      </c>
      <c r="AQ859" s="18">
        <v>301140</v>
      </c>
      <c r="AR859" s="18">
        <v>301140</v>
      </c>
      <c r="AS859" t="s" s="10">
        <v>3346</v>
      </c>
      <c r="AT859" t="s" s="10">
        <v>301</v>
      </c>
      <c r="AU859" s="11"/>
      <c r="AV859" s="11"/>
      <c r="AW859" s="11"/>
      <c r="AX859" s="11"/>
      <c r="AY859" s="11"/>
      <c r="AZ859" s="11"/>
      <c r="BA859" s="11"/>
      <c r="BB859" s="11"/>
      <c r="BC859" s="11"/>
      <c r="BD859" t="s" s="10">
        <v>310</v>
      </c>
      <c r="BE859" t="s" s="10">
        <v>356</v>
      </c>
      <c r="BF859" s="18">
        <v>4</v>
      </c>
      <c r="BG859" s="18">
        <v>8</v>
      </c>
      <c r="BH859" s="11"/>
      <c r="BI859" s="11"/>
      <c r="BJ859" s="11"/>
      <c r="BK859" s="11"/>
      <c r="BL859" s="11"/>
      <c r="BM859" s="11"/>
      <c r="BN859" t="s" s="10">
        <v>78</v>
      </c>
      <c r="BO859" s="12"/>
      <c r="BP859" s="8"/>
    </row>
    <row r="860" ht="9" customHeight="1" hidden="1">
      <c r="A860" t="s" s="13">
        <v>3347</v>
      </c>
      <c r="B860" s="14"/>
      <c r="C860" t="str" s="14" cm="1">
        <f t="array" ref="C860">_xlfn.IFERROR((VLOOKUP(A860,#REF!,2,FALSE)),"")</f>
      </c>
      <c r="D860" s="14"/>
      <c r="E860" s="14"/>
      <c r="F860" s="14"/>
      <c r="G860" t="s" s="15">
        <v>3348</v>
      </c>
      <c r="H860" t="s" s="15">
        <v>3349</v>
      </c>
      <c r="I860" t="s" s="15">
        <v>111</v>
      </c>
      <c r="J860" t="s" s="15">
        <v>122</v>
      </c>
      <c r="K860" t="s" s="15">
        <v>113</v>
      </c>
      <c r="L860" t="s" s="15">
        <v>76</v>
      </c>
      <c r="M860" t="s" s="15">
        <v>3348</v>
      </c>
      <c r="N860" t="s" s="15">
        <v>3348</v>
      </c>
      <c r="O860" s="14"/>
      <c r="P860" t="s" s="15">
        <v>122</v>
      </c>
      <c r="Q860" t="s" s="15">
        <v>69</v>
      </c>
      <c r="R860" t="s" s="15">
        <v>83</v>
      </c>
      <c r="S860" s="14"/>
      <c r="T860" s="14"/>
      <c r="U860" s="14"/>
      <c r="V860" t="s" s="15">
        <v>69</v>
      </c>
      <c r="W860" s="14"/>
      <c r="X860" t="s" s="15">
        <v>69</v>
      </c>
      <c r="Y860" s="14"/>
      <c r="Z860" t="s" s="15">
        <v>76</v>
      </c>
      <c r="AA860" s="14"/>
      <c r="AB860" t="s" s="15">
        <v>76</v>
      </c>
      <c r="AC860" t="s" s="15">
        <v>3347</v>
      </c>
      <c r="AD860" t="s" s="15">
        <v>3350</v>
      </c>
      <c r="AE860" s="14"/>
      <c r="AF860" s="14"/>
      <c r="AG860" t="s" s="15">
        <v>299</v>
      </c>
      <c r="AH860" t="s" s="15">
        <v>106</v>
      </c>
      <c r="AI860" t="s" s="15">
        <v>76</v>
      </c>
      <c r="AJ860" t="s" s="15">
        <v>76</v>
      </c>
      <c r="AK860" t="s" s="15">
        <v>79</v>
      </c>
      <c r="AL860" t="s" s="15">
        <v>293</v>
      </c>
      <c r="AM860" t="s" s="15">
        <v>294</v>
      </c>
      <c r="AN860" t="s" s="15">
        <v>128</v>
      </c>
      <c r="AO860" s="17">
        <v>2</v>
      </c>
      <c r="AP860" s="17">
        <v>8192</v>
      </c>
      <c r="AQ860" s="17">
        <v>858966</v>
      </c>
      <c r="AR860" s="17">
        <v>858966</v>
      </c>
      <c r="AS860" t="s" s="15">
        <v>3351</v>
      </c>
      <c r="AT860" s="14"/>
      <c r="AU860" s="14"/>
      <c r="AV860" s="14"/>
      <c r="AW860" s="14"/>
      <c r="AX860" s="14"/>
      <c r="AY860" s="14"/>
      <c r="AZ860" s="14"/>
      <c r="BA860" s="14"/>
      <c r="BB860" s="14"/>
      <c r="BC860" s="14"/>
      <c r="BD860" s="14"/>
      <c r="BE860" s="14"/>
      <c r="BF860" s="14"/>
      <c r="BG860" s="14"/>
      <c r="BH860" s="14"/>
      <c r="BI860" s="14"/>
      <c r="BJ860" s="14"/>
      <c r="BK860" s="14"/>
      <c r="BL860" s="14"/>
      <c r="BM860" s="14"/>
      <c r="BN860" t="s" s="15">
        <v>78</v>
      </c>
      <c r="BO860" s="16"/>
      <c r="BP860" s="8"/>
    </row>
    <row r="861" ht="9" customHeight="1" hidden="1">
      <c r="A861" t="s" s="9">
        <v>3352</v>
      </c>
      <c r="B861" s="11"/>
      <c r="C861" t="str" s="11" cm="1">
        <f t="array" ref="C861">_xlfn.IFERROR((VLOOKUP(A861,#REF!,2,FALSE)),"")</f>
      </c>
      <c r="D861" s="11"/>
      <c r="E861" s="11"/>
      <c r="F861" s="11"/>
      <c r="G861" t="s" s="10">
        <v>3353</v>
      </c>
      <c r="H861" t="s" s="10">
        <v>3349</v>
      </c>
      <c r="I861" t="s" s="10">
        <v>111</v>
      </c>
      <c r="J861" t="s" s="10">
        <v>122</v>
      </c>
      <c r="K861" t="s" s="10">
        <v>113</v>
      </c>
      <c r="L861" t="s" s="10">
        <v>76</v>
      </c>
      <c r="M861" t="s" s="10">
        <v>3353</v>
      </c>
      <c r="N861" t="s" s="10">
        <v>3353</v>
      </c>
      <c r="O861" s="11"/>
      <c r="P861" t="s" s="10">
        <v>122</v>
      </c>
      <c r="Q861" t="s" s="10">
        <v>69</v>
      </c>
      <c r="R861" t="s" s="10">
        <v>83</v>
      </c>
      <c r="S861" s="11"/>
      <c r="T861" s="11"/>
      <c r="U861" s="11"/>
      <c r="V861" t="s" s="10">
        <v>69</v>
      </c>
      <c r="W861" s="11"/>
      <c r="X861" t="s" s="10">
        <v>69</v>
      </c>
      <c r="Y861" s="11"/>
      <c r="Z861" t="s" s="10">
        <v>76</v>
      </c>
      <c r="AA861" s="11"/>
      <c r="AB861" t="s" s="10">
        <v>76</v>
      </c>
      <c r="AC861" t="s" s="10">
        <v>3352</v>
      </c>
      <c r="AD861" t="s" s="10">
        <v>3354</v>
      </c>
      <c r="AE861" s="11"/>
      <c r="AF861" s="11"/>
      <c r="AG861" t="s" s="10">
        <v>299</v>
      </c>
      <c r="AH861" t="s" s="10">
        <v>106</v>
      </c>
      <c r="AI861" t="s" s="10">
        <v>76</v>
      </c>
      <c r="AJ861" t="s" s="10">
        <v>76</v>
      </c>
      <c r="AK861" t="s" s="10">
        <v>79</v>
      </c>
      <c r="AL861" t="s" s="10">
        <v>293</v>
      </c>
      <c r="AM861" t="s" s="10">
        <v>294</v>
      </c>
      <c r="AN861" t="s" s="10">
        <v>128</v>
      </c>
      <c r="AO861" s="18">
        <v>2</v>
      </c>
      <c r="AP861" s="18">
        <v>8192</v>
      </c>
      <c r="AQ861" s="18">
        <v>859045</v>
      </c>
      <c r="AR861" s="18">
        <v>859045</v>
      </c>
      <c r="AS861" t="s" s="10">
        <v>3355</v>
      </c>
      <c r="AT861" s="11"/>
      <c r="AU861" s="11"/>
      <c r="AV861" s="11"/>
      <c r="AW861" s="11"/>
      <c r="AX861" s="11"/>
      <c r="AY861" s="11"/>
      <c r="AZ861" s="11"/>
      <c r="BA861" s="11"/>
      <c r="BB861" s="11"/>
      <c r="BC861" s="11"/>
      <c r="BD861" s="11"/>
      <c r="BE861" s="11"/>
      <c r="BF861" s="11"/>
      <c r="BG861" s="11"/>
      <c r="BH861" s="11"/>
      <c r="BI861" s="11"/>
      <c r="BJ861" s="11"/>
      <c r="BK861" s="11"/>
      <c r="BL861" s="11"/>
      <c r="BM861" s="11"/>
      <c r="BN861" t="s" s="10">
        <v>78</v>
      </c>
      <c r="BO861" s="12"/>
      <c r="BP861" s="8"/>
    </row>
    <row r="862" ht="9" customHeight="1" hidden="1">
      <c r="A862" t="s" s="13">
        <v>3356</v>
      </c>
      <c r="B862" s="14"/>
      <c r="C862" t="str" s="14" cm="1">
        <f t="array" ref="C862">_xlfn.IFERROR((VLOOKUP(A862,#REF!,2,FALSE)),"")</f>
      </c>
      <c r="D862" s="14"/>
      <c r="E862" s="14"/>
      <c r="F862" s="14"/>
      <c r="G862" t="s" s="15">
        <v>3357</v>
      </c>
      <c r="H862" t="s" s="15">
        <v>3358</v>
      </c>
      <c r="I862" t="s" s="15">
        <v>111</v>
      </c>
      <c r="J862" t="s" s="15">
        <v>122</v>
      </c>
      <c r="K862" t="s" s="15">
        <v>113</v>
      </c>
      <c r="L862" t="s" s="15">
        <v>76</v>
      </c>
      <c r="M862" t="s" s="15">
        <v>3357</v>
      </c>
      <c r="N862" t="s" s="15">
        <v>3357</v>
      </c>
      <c r="O862" s="14"/>
      <c r="P862" t="s" s="15">
        <v>122</v>
      </c>
      <c r="Q862" t="s" s="15">
        <v>69</v>
      </c>
      <c r="R862" t="s" s="15">
        <v>83</v>
      </c>
      <c r="S862" s="14"/>
      <c r="T862" s="14"/>
      <c r="U862" s="14"/>
      <c r="V862" t="s" s="15">
        <v>69</v>
      </c>
      <c r="W862" s="14"/>
      <c r="X862" t="s" s="15">
        <v>69</v>
      </c>
      <c r="Y862" s="14"/>
      <c r="Z862" t="s" s="15">
        <v>76</v>
      </c>
      <c r="AA862" s="14"/>
      <c r="AB862" t="s" s="15">
        <v>76</v>
      </c>
      <c r="AC862" t="s" s="15">
        <v>3356</v>
      </c>
      <c r="AD862" t="s" s="15">
        <v>3359</v>
      </c>
      <c r="AE862" s="14"/>
      <c r="AF862" s="14"/>
      <c r="AG862" t="s" s="15">
        <v>299</v>
      </c>
      <c r="AH862" t="s" s="15">
        <v>106</v>
      </c>
      <c r="AI862" t="s" s="15">
        <v>76</v>
      </c>
      <c r="AJ862" t="s" s="15">
        <v>76</v>
      </c>
      <c r="AK862" t="s" s="15">
        <v>79</v>
      </c>
      <c r="AL862" t="s" s="15">
        <v>293</v>
      </c>
      <c r="AM862" t="s" s="15">
        <v>294</v>
      </c>
      <c r="AN862" t="s" s="15">
        <v>128</v>
      </c>
      <c r="AO862" s="17">
        <v>4</v>
      </c>
      <c r="AP862" s="17">
        <v>16384</v>
      </c>
      <c r="AQ862" s="17">
        <v>273390</v>
      </c>
      <c r="AR862" s="17">
        <v>273390</v>
      </c>
      <c r="AS862" t="s" s="15">
        <v>3360</v>
      </c>
      <c r="AT862" s="14"/>
      <c r="AU862" s="14"/>
      <c r="AV862" s="14"/>
      <c r="AW862" s="14"/>
      <c r="AX862" s="14"/>
      <c r="AY862" s="14"/>
      <c r="AZ862" s="14"/>
      <c r="BA862" s="14"/>
      <c r="BB862" s="14"/>
      <c r="BC862" s="14"/>
      <c r="BD862" s="14"/>
      <c r="BE862" s="14"/>
      <c r="BF862" s="14"/>
      <c r="BG862" s="14"/>
      <c r="BH862" s="14"/>
      <c r="BI862" s="14"/>
      <c r="BJ862" s="14"/>
      <c r="BK862" s="14"/>
      <c r="BL862" s="14"/>
      <c r="BM862" s="14"/>
      <c r="BN862" t="s" s="15">
        <v>78</v>
      </c>
      <c r="BO862" s="16"/>
      <c r="BP862" s="8"/>
    </row>
    <row r="863" ht="9" customHeight="1" hidden="1">
      <c r="A863" t="s" s="9">
        <v>3361</v>
      </c>
      <c r="B863" s="11"/>
      <c r="C863" t="str" s="11" cm="1">
        <f t="array" ref="C863">_xlfn.IFERROR((VLOOKUP(A863,#REF!,2,FALSE)),"")</f>
      </c>
      <c r="D863" s="11"/>
      <c r="E863" s="11"/>
      <c r="F863" s="11"/>
      <c r="G863" t="s" s="10">
        <v>3362</v>
      </c>
      <c r="H863" t="s" s="10">
        <v>3358</v>
      </c>
      <c r="I863" t="s" s="10">
        <v>111</v>
      </c>
      <c r="J863" t="s" s="10">
        <v>122</v>
      </c>
      <c r="K863" t="s" s="10">
        <v>113</v>
      </c>
      <c r="L863" t="s" s="10">
        <v>76</v>
      </c>
      <c r="M863" t="s" s="10">
        <v>3362</v>
      </c>
      <c r="N863" t="s" s="10">
        <v>3362</v>
      </c>
      <c r="O863" s="11"/>
      <c r="P863" t="s" s="10">
        <v>122</v>
      </c>
      <c r="Q863" t="s" s="10">
        <v>69</v>
      </c>
      <c r="R863" t="s" s="10">
        <v>83</v>
      </c>
      <c r="S863" s="11"/>
      <c r="T863" s="11"/>
      <c r="U863" s="11"/>
      <c r="V863" t="s" s="10">
        <v>69</v>
      </c>
      <c r="W863" s="11"/>
      <c r="X863" t="s" s="10">
        <v>69</v>
      </c>
      <c r="Y863" s="11"/>
      <c r="Z863" t="s" s="10">
        <v>76</v>
      </c>
      <c r="AA863" s="11"/>
      <c r="AB863" t="s" s="10">
        <v>76</v>
      </c>
      <c r="AC863" t="s" s="10">
        <v>3361</v>
      </c>
      <c r="AD863" t="s" s="10">
        <v>3363</v>
      </c>
      <c r="AE863" s="11"/>
      <c r="AF863" s="11"/>
      <c r="AG863" t="s" s="10">
        <v>299</v>
      </c>
      <c r="AH863" t="s" s="10">
        <v>106</v>
      </c>
      <c r="AI863" t="s" s="10">
        <v>76</v>
      </c>
      <c r="AJ863" t="s" s="10">
        <v>76</v>
      </c>
      <c r="AK863" t="s" s="10">
        <v>79</v>
      </c>
      <c r="AL863" t="s" s="10">
        <v>293</v>
      </c>
      <c r="AM863" t="s" s="10">
        <v>294</v>
      </c>
      <c r="AN863" t="s" s="10">
        <v>128</v>
      </c>
      <c r="AO863" s="18">
        <v>4</v>
      </c>
      <c r="AP863" s="18">
        <v>16384</v>
      </c>
      <c r="AQ863" s="18">
        <v>273352</v>
      </c>
      <c r="AR863" s="18">
        <v>273352</v>
      </c>
      <c r="AS863" t="s" s="10">
        <v>3364</v>
      </c>
      <c r="AT863" s="11"/>
      <c r="AU863" s="11"/>
      <c r="AV863" s="11"/>
      <c r="AW863" s="11"/>
      <c r="AX863" s="11"/>
      <c r="AY863" s="11"/>
      <c r="AZ863" s="11"/>
      <c r="BA863" s="11"/>
      <c r="BB863" s="11"/>
      <c r="BC863" s="11"/>
      <c r="BD863" s="11"/>
      <c r="BE863" s="11"/>
      <c r="BF863" s="11"/>
      <c r="BG863" s="11"/>
      <c r="BH863" s="11"/>
      <c r="BI863" s="11"/>
      <c r="BJ863" s="11"/>
      <c r="BK863" s="11"/>
      <c r="BL863" s="11"/>
      <c r="BM863" s="11"/>
      <c r="BN863" t="s" s="10">
        <v>78</v>
      </c>
      <c r="BO863" s="12"/>
      <c r="BP863" s="8"/>
    </row>
    <row r="864" ht="9" customHeight="1" hidden="1">
      <c r="A864" t="s" s="13">
        <v>3365</v>
      </c>
      <c r="B864" s="14"/>
      <c r="C864" t="str" s="14" cm="1">
        <f t="array" ref="C864">_xlfn.IFERROR((VLOOKUP(A864,#REF!,2,FALSE)),"")</f>
      </c>
      <c r="D864" s="14"/>
      <c r="E864" s="14"/>
      <c r="F864" s="14"/>
      <c r="G864" t="s" s="15">
        <v>3366</v>
      </c>
      <c r="H864" t="s" s="15">
        <v>3366</v>
      </c>
      <c r="I864" t="s" s="15">
        <v>111</v>
      </c>
      <c r="J864" t="s" s="15">
        <v>122</v>
      </c>
      <c r="K864" t="s" s="15">
        <v>113</v>
      </c>
      <c r="L864" t="s" s="15">
        <v>76</v>
      </c>
      <c r="M864" t="s" s="15">
        <v>3366</v>
      </c>
      <c r="N864" t="s" s="15">
        <v>3366</v>
      </c>
      <c r="O864" s="14"/>
      <c r="P864" t="s" s="15">
        <v>122</v>
      </c>
      <c r="Q864" t="s" s="15">
        <v>69</v>
      </c>
      <c r="R864" t="s" s="15">
        <v>83</v>
      </c>
      <c r="S864" s="14"/>
      <c r="T864" s="14"/>
      <c r="U864" s="14"/>
      <c r="V864" t="s" s="15">
        <v>69</v>
      </c>
      <c r="W864" s="14"/>
      <c r="X864" t="s" s="15">
        <v>69</v>
      </c>
      <c r="Y864" s="14"/>
      <c r="Z864" t="s" s="15">
        <v>76</v>
      </c>
      <c r="AA864" s="14"/>
      <c r="AB864" t="s" s="15">
        <v>76</v>
      </c>
      <c r="AC864" t="s" s="15">
        <v>3365</v>
      </c>
      <c r="AD864" t="s" s="15">
        <v>3367</v>
      </c>
      <c r="AE864" s="14"/>
      <c r="AF864" s="14"/>
      <c r="AG864" t="s" s="15">
        <v>299</v>
      </c>
      <c r="AH864" t="s" s="15">
        <v>106</v>
      </c>
      <c r="AI864" t="s" s="15">
        <v>76</v>
      </c>
      <c r="AJ864" t="s" s="15">
        <v>76</v>
      </c>
      <c r="AK864" t="s" s="15">
        <v>79</v>
      </c>
      <c r="AL864" t="s" s="15">
        <v>293</v>
      </c>
      <c r="AM864" t="s" s="15">
        <v>294</v>
      </c>
      <c r="AN864" t="s" s="15">
        <v>128</v>
      </c>
      <c r="AO864" s="17">
        <v>2</v>
      </c>
      <c r="AP864" s="17">
        <v>6144</v>
      </c>
      <c r="AQ864" s="17">
        <v>186394</v>
      </c>
      <c r="AR864" s="17">
        <v>186394</v>
      </c>
      <c r="AS864" t="s" s="15">
        <v>3368</v>
      </c>
      <c r="AT864" s="14"/>
      <c r="AU864" s="14"/>
      <c r="AV864" s="14"/>
      <c r="AW864" s="14"/>
      <c r="AX864" s="14"/>
      <c r="AY864" s="14"/>
      <c r="AZ864" s="14"/>
      <c r="BA864" s="14"/>
      <c r="BB864" s="14"/>
      <c r="BC864" s="14"/>
      <c r="BD864" s="14"/>
      <c r="BE864" s="14"/>
      <c r="BF864" s="14"/>
      <c r="BG864" s="14"/>
      <c r="BH864" s="14"/>
      <c r="BI864" s="14"/>
      <c r="BJ864" s="14"/>
      <c r="BK864" s="14"/>
      <c r="BL864" s="14"/>
      <c r="BM864" s="14"/>
      <c r="BN864" t="s" s="15">
        <v>69</v>
      </c>
      <c r="BO864" s="16"/>
      <c r="BP864" s="8"/>
    </row>
    <row r="865" ht="9" customHeight="1" hidden="1">
      <c r="A865" t="s" s="9">
        <v>3369</v>
      </c>
      <c r="B865" s="11"/>
      <c r="C865" t="str" s="11" cm="1">
        <f t="array" ref="C865">_xlfn.IFERROR((VLOOKUP(A865,#REF!,2,FALSE)),"")</f>
      </c>
      <c r="D865" s="11"/>
      <c r="E865" s="11"/>
      <c r="F865" s="11"/>
      <c r="G865" t="s" s="10">
        <v>3370</v>
      </c>
      <c r="H865" t="s" s="10">
        <v>3370</v>
      </c>
      <c r="I865" t="s" s="10">
        <v>111</v>
      </c>
      <c r="J865" t="s" s="10">
        <v>122</v>
      </c>
      <c r="K865" t="s" s="10">
        <v>113</v>
      </c>
      <c r="L865" t="s" s="10">
        <v>76</v>
      </c>
      <c r="M865" t="s" s="10">
        <v>3370</v>
      </c>
      <c r="N865" t="s" s="10">
        <v>3370</v>
      </c>
      <c r="O865" s="11"/>
      <c r="P865" t="s" s="10">
        <v>122</v>
      </c>
      <c r="Q865" t="s" s="10">
        <v>69</v>
      </c>
      <c r="R865" t="s" s="10">
        <v>83</v>
      </c>
      <c r="S865" s="11"/>
      <c r="T865" s="11"/>
      <c r="U865" s="11"/>
      <c r="V865" t="s" s="10">
        <v>69</v>
      </c>
      <c r="W865" s="11"/>
      <c r="X865" t="s" s="10">
        <v>69</v>
      </c>
      <c r="Y865" s="11"/>
      <c r="Z865" t="s" s="10">
        <v>76</v>
      </c>
      <c r="AA865" s="11"/>
      <c r="AB865" t="s" s="10">
        <v>76</v>
      </c>
      <c r="AC865" t="s" s="10">
        <v>3369</v>
      </c>
      <c r="AD865" t="s" s="10">
        <v>3371</v>
      </c>
      <c r="AE865" s="11"/>
      <c r="AF865" s="11"/>
      <c r="AG865" t="s" s="10">
        <v>299</v>
      </c>
      <c r="AH865" t="s" s="10">
        <v>106</v>
      </c>
      <c r="AI865" t="s" s="10">
        <v>76</v>
      </c>
      <c r="AJ865" t="s" s="10">
        <v>76</v>
      </c>
      <c r="AK865" t="s" s="10">
        <v>79</v>
      </c>
      <c r="AL865" t="s" s="10">
        <v>293</v>
      </c>
      <c r="AM865" t="s" s="10">
        <v>294</v>
      </c>
      <c r="AN865" t="s" s="10">
        <v>128</v>
      </c>
      <c r="AO865" s="18">
        <v>2</v>
      </c>
      <c r="AP865" s="18">
        <v>6144</v>
      </c>
      <c r="AQ865" s="18">
        <v>186306</v>
      </c>
      <c r="AR865" s="18">
        <v>186306</v>
      </c>
      <c r="AS865" t="s" s="10">
        <v>3372</v>
      </c>
      <c r="AT865" s="11"/>
      <c r="AU865" s="11"/>
      <c r="AV865" s="11"/>
      <c r="AW865" s="11"/>
      <c r="AX865" s="11"/>
      <c r="AY865" s="11"/>
      <c r="AZ865" s="11"/>
      <c r="BA865" s="11"/>
      <c r="BB865" s="11"/>
      <c r="BC865" s="11"/>
      <c r="BD865" s="11"/>
      <c r="BE865" s="11"/>
      <c r="BF865" s="11"/>
      <c r="BG865" s="11"/>
      <c r="BH865" s="11"/>
      <c r="BI865" s="11"/>
      <c r="BJ865" s="11"/>
      <c r="BK865" s="11"/>
      <c r="BL865" s="11"/>
      <c r="BM865" s="11"/>
      <c r="BN865" t="s" s="10">
        <v>78</v>
      </c>
      <c r="BO865" s="12"/>
      <c r="BP865" s="8"/>
    </row>
    <row r="866" ht="9" customHeight="1" hidden="1">
      <c r="A866" t="s" s="13">
        <v>3373</v>
      </c>
      <c r="B866" s="14"/>
      <c r="C866" t="str" s="14" cm="1">
        <f t="array" ref="C866">_xlfn.IFERROR((VLOOKUP(A866,#REF!,2,FALSE)),"")</f>
      </c>
      <c r="D866" s="14"/>
      <c r="E866" s="14"/>
      <c r="F866" s="14"/>
      <c r="G866" t="s" s="15">
        <v>3374</v>
      </c>
      <c r="H866" t="s" s="15">
        <v>3374</v>
      </c>
      <c r="I866" t="s" s="15">
        <v>111</v>
      </c>
      <c r="J866" t="s" s="15">
        <v>122</v>
      </c>
      <c r="K866" t="s" s="15">
        <v>113</v>
      </c>
      <c r="L866" t="s" s="15">
        <v>76</v>
      </c>
      <c r="M866" t="s" s="15">
        <v>3374</v>
      </c>
      <c r="N866" t="s" s="15">
        <v>3374</v>
      </c>
      <c r="O866" s="14"/>
      <c r="P866" t="s" s="15">
        <v>122</v>
      </c>
      <c r="Q866" t="s" s="15">
        <v>69</v>
      </c>
      <c r="R866" t="s" s="15">
        <v>83</v>
      </c>
      <c r="S866" s="14"/>
      <c r="T866" s="14"/>
      <c r="U866" s="14"/>
      <c r="V866" t="s" s="15">
        <v>69</v>
      </c>
      <c r="W866" s="14"/>
      <c r="X866" t="s" s="15">
        <v>69</v>
      </c>
      <c r="Y866" s="14"/>
      <c r="Z866" t="s" s="15">
        <v>76</v>
      </c>
      <c r="AA866" s="14"/>
      <c r="AB866" t="s" s="15">
        <v>76</v>
      </c>
      <c r="AC866" t="s" s="15">
        <v>3373</v>
      </c>
      <c r="AD866" t="s" s="15">
        <v>3375</v>
      </c>
      <c r="AE866" s="14"/>
      <c r="AF866" s="14"/>
      <c r="AG866" t="s" s="15">
        <v>299</v>
      </c>
      <c r="AH866" t="s" s="15">
        <v>106</v>
      </c>
      <c r="AI866" t="s" s="15">
        <v>76</v>
      </c>
      <c r="AJ866" t="s" s="15">
        <v>76</v>
      </c>
      <c r="AK866" t="s" s="15">
        <v>79</v>
      </c>
      <c r="AL866" t="s" s="15">
        <v>293</v>
      </c>
      <c r="AM866" t="s" s="15">
        <v>294</v>
      </c>
      <c r="AN866" t="s" s="15">
        <v>128</v>
      </c>
      <c r="AO866" s="17">
        <v>2</v>
      </c>
      <c r="AP866" s="17">
        <v>6144</v>
      </c>
      <c r="AQ866" s="17">
        <v>186308</v>
      </c>
      <c r="AR866" s="17">
        <v>186308</v>
      </c>
      <c r="AS866" t="s" s="15">
        <v>3376</v>
      </c>
      <c r="AT866" s="14"/>
      <c r="AU866" s="14"/>
      <c r="AV866" s="14"/>
      <c r="AW866" s="14"/>
      <c r="AX866" s="14"/>
      <c r="AY866" s="14"/>
      <c r="AZ866" s="14"/>
      <c r="BA866" s="14"/>
      <c r="BB866" s="14"/>
      <c r="BC866" s="14"/>
      <c r="BD866" s="14"/>
      <c r="BE866" s="14"/>
      <c r="BF866" s="14"/>
      <c r="BG866" s="14"/>
      <c r="BH866" s="14"/>
      <c r="BI866" s="14"/>
      <c r="BJ866" s="14"/>
      <c r="BK866" s="14"/>
      <c r="BL866" s="14"/>
      <c r="BM866" s="14"/>
      <c r="BN866" t="s" s="15">
        <v>78</v>
      </c>
      <c r="BO866" s="16"/>
      <c r="BP866" s="8"/>
    </row>
    <row r="867" ht="9" customHeight="1" hidden="1">
      <c r="A867" t="s" s="9">
        <v>3377</v>
      </c>
      <c r="B867" s="11"/>
      <c r="C867" t="str" s="11" cm="1">
        <f t="array" ref="C867">_xlfn.IFERROR((VLOOKUP(A867,#REF!,2,FALSE)),"")</f>
      </c>
      <c r="D867" s="11"/>
      <c r="E867" s="11"/>
      <c r="F867" s="11"/>
      <c r="G867" t="s" s="10">
        <v>3378</v>
      </c>
      <c r="H867" t="s" s="10">
        <v>3378</v>
      </c>
      <c r="I867" t="s" s="10">
        <v>111</v>
      </c>
      <c r="J867" t="s" s="10">
        <v>122</v>
      </c>
      <c r="K867" t="s" s="10">
        <v>113</v>
      </c>
      <c r="L867" t="s" s="10">
        <v>76</v>
      </c>
      <c r="M867" t="s" s="10">
        <v>3378</v>
      </c>
      <c r="N867" t="s" s="10">
        <v>3378</v>
      </c>
      <c r="O867" s="11"/>
      <c r="P867" t="s" s="10">
        <v>122</v>
      </c>
      <c r="Q867" t="s" s="10">
        <v>69</v>
      </c>
      <c r="R867" t="s" s="10">
        <v>83</v>
      </c>
      <c r="S867" s="11"/>
      <c r="T867" s="11"/>
      <c r="U867" s="11"/>
      <c r="V867" t="s" s="10">
        <v>69</v>
      </c>
      <c r="W867" s="11"/>
      <c r="X867" t="s" s="10">
        <v>69</v>
      </c>
      <c r="Y867" s="11"/>
      <c r="Z867" t="s" s="10">
        <v>76</v>
      </c>
      <c r="AA867" s="11"/>
      <c r="AB867" t="s" s="10">
        <v>76</v>
      </c>
      <c r="AC867" t="s" s="10">
        <v>3377</v>
      </c>
      <c r="AD867" t="s" s="10">
        <v>3379</v>
      </c>
      <c r="AE867" s="11"/>
      <c r="AF867" s="11"/>
      <c r="AG867" t="s" s="10">
        <v>299</v>
      </c>
      <c r="AH867" t="s" s="10">
        <v>106</v>
      </c>
      <c r="AI867" t="s" s="10">
        <v>76</v>
      </c>
      <c r="AJ867" t="s" s="10">
        <v>76</v>
      </c>
      <c r="AK867" t="s" s="10">
        <v>79</v>
      </c>
      <c r="AL867" t="s" s="10">
        <v>293</v>
      </c>
      <c r="AM867" t="s" s="10">
        <v>294</v>
      </c>
      <c r="AN867" t="s" s="10">
        <v>635</v>
      </c>
      <c r="AO867" s="18">
        <v>2</v>
      </c>
      <c r="AP867" s="18">
        <v>6144</v>
      </c>
      <c r="AQ867" s="18">
        <v>186312</v>
      </c>
      <c r="AR867" s="18">
        <v>186312</v>
      </c>
      <c r="AS867" t="s" s="10">
        <v>3380</v>
      </c>
      <c r="AT867" s="11"/>
      <c r="AU867" s="11"/>
      <c r="AV867" s="11"/>
      <c r="AW867" s="11"/>
      <c r="AX867" s="11"/>
      <c r="AY867" s="11"/>
      <c r="AZ867" s="11"/>
      <c r="BA867" s="11"/>
      <c r="BB867" s="11"/>
      <c r="BC867" s="11"/>
      <c r="BD867" s="11"/>
      <c r="BE867" s="11"/>
      <c r="BF867" s="11"/>
      <c r="BG867" s="11"/>
      <c r="BH867" s="11"/>
      <c r="BI867" s="11"/>
      <c r="BJ867" s="11"/>
      <c r="BK867" s="11"/>
      <c r="BL867" s="11"/>
      <c r="BM867" s="11"/>
      <c r="BN867" t="s" s="10">
        <v>78</v>
      </c>
      <c r="BO867" s="12"/>
      <c r="BP867" s="8"/>
    </row>
    <row r="868" ht="9" customHeight="1" hidden="1">
      <c r="A868" t="s" s="13">
        <v>3381</v>
      </c>
      <c r="B868" s="14"/>
      <c r="C868" t="str" s="14" cm="1">
        <f t="array" ref="C868">_xlfn.IFERROR((VLOOKUP(A868,#REF!,2,FALSE)),"")</f>
      </c>
      <c r="D868" s="14"/>
      <c r="E868" s="14"/>
      <c r="F868" s="14"/>
      <c r="G868" t="s" s="15">
        <v>3382</v>
      </c>
      <c r="H868" t="s" s="15">
        <v>3382</v>
      </c>
      <c r="I868" t="s" s="15">
        <v>111</v>
      </c>
      <c r="J868" t="s" s="15">
        <v>122</v>
      </c>
      <c r="K868" t="s" s="15">
        <v>113</v>
      </c>
      <c r="L868" t="s" s="15">
        <v>76</v>
      </c>
      <c r="M868" t="s" s="15">
        <v>3382</v>
      </c>
      <c r="N868" t="s" s="15">
        <v>3382</v>
      </c>
      <c r="O868" s="14"/>
      <c r="P868" t="s" s="15">
        <v>122</v>
      </c>
      <c r="Q868" t="s" s="15">
        <v>69</v>
      </c>
      <c r="R868" t="s" s="15">
        <v>83</v>
      </c>
      <c r="S868" s="14"/>
      <c r="T868" s="14"/>
      <c r="U868" s="14"/>
      <c r="V868" t="s" s="15">
        <v>69</v>
      </c>
      <c r="W868" s="14"/>
      <c r="X868" t="s" s="15">
        <v>69</v>
      </c>
      <c r="Y868" s="14"/>
      <c r="Z868" t="s" s="15">
        <v>76</v>
      </c>
      <c r="AA868" s="14"/>
      <c r="AB868" t="s" s="15">
        <v>76</v>
      </c>
      <c r="AC868" t="s" s="15">
        <v>3381</v>
      </c>
      <c r="AD868" t="s" s="15">
        <v>3383</v>
      </c>
      <c r="AE868" s="14"/>
      <c r="AF868" s="14"/>
      <c r="AG868" t="s" s="15">
        <v>299</v>
      </c>
      <c r="AH868" t="s" s="15">
        <v>106</v>
      </c>
      <c r="AI868" t="s" s="15">
        <v>76</v>
      </c>
      <c r="AJ868" t="s" s="15">
        <v>76</v>
      </c>
      <c r="AK868" t="s" s="15">
        <v>79</v>
      </c>
      <c r="AL868" t="s" s="15">
        <v>293</v>
      </c>
      <c r="AM868" t="s" s="15">
        <v>294</v>
      </c>
      <c r="AN868" t="s" s="15">
        <v>650</v>
      </c>
      <c r="AO868" s="17">
        <v>8</v>
      </c>
      <c r="AP868" s="17">
        <v>12288</v>
      </c>
      <c r="AQ868" s="17">
        <v>269181</v>
      </c>
      <c r="AR868" s="17">
        <v>269181</v>
      </c>
      <c r="AS868" t="s" s="15">
        <v>3384</v>
      </c>
      <c r="AT868" s="14"/>
      <c r="AU868" s="14"/>
      <c r="AV868" s="14"/>
      <c r="AW868" s="14"/>
      <c r="AX868" s="14"/>
      <c r="AY868" s="14"/>
      <c r="AZ868" s="14"/>
      <c r="BA868" s="14"/>
      <c r="BB868" s="14"/>
      <c r="BC868" s="14"/>
      <c r="BD868" s="14"/>
      <c r="BE868" s="14"/>
      <c r="BF868" s="14"/>
      <c r="BG868" s="14"/>
      <c r="BH868" s="14"/>
      <c r="BI868" s="14"/>
      <c r="BJ868" s="14"/>
      <c r="BK868" s="14"/>
      <c r="BL868" s="14"/>
      <c r="BM868" s="14"/>
      <c r="BN868" t="s" s="15">
        <v>69</v>
      </c>
      <c r="BO868" s="16"/>
      <c r="BP868" s="8"/>
    </row>
    <row r="869" ht="9" customHeight="1" hidden="1">
      <c r="A869" t="s" s="9">
        <v>3385</v>
      </c>
      <c r="B869" s="11"/>
      <c r="C869" t="str" s="11" cm="1">
        <f t="array" ref="C869">_xlfn.IFERROR((VLOOKUP(A869,#REF!,2,FALSE)),"")</f>
      </c>
      <c r="D869" s="11"/>
      <c r="E869" s="11"/>
      <c r="F869" s="11"/>
      <c r="G869" t="s" s="10">
        <v>3386</v>
      </c>
      <c r="H869" t="s" s="10">
        <v>3386</v>
      </c>
      <c r="I869" t="s" s="10">
        <v>111</v>
      </c>
      <c r="J869" t="s" s="10">
        <v>122</v>
      </c>
      <c r="K869" t="s" s="10">
        <v>113</v>
      </c>
      <c r="L869" t="s" s="10">
        <v>76</v>
      </c>
      <c r="M869" t="s" s="10">
        <v>3386</v>
      </c>
      <c r="N869" t="s" s="10">
        <v>3386</v>
      </c>
      <c r="O869" s="11"/>
      <c r="P869" t="s" s="10">
        <v>122</v>
      </c>
      <c r="Q869" t="s" s="10">
        <v>69</v>
      </c>
      <c r="R869" t="s" s="10">
        <v>83</v>
      </c>
      <c r="S869" s="11"/>
      <c r="T869" s="11"/>
      <c r="U869" s="11"/>
      <c r="V869" t="s" s="10">
        <v>69</v>
      </c>
      <c r="W869" s="11"/>
      <c r="X869" t="s" s="10">
        <v>69</v>
      </c>
      <c r="Y869" s="11"/>
      <c r="Z869" t="s" s="10">
        <v>76</v>
      </c>
      <c r="AA869" s="11"/>
      <c r="AB869" t="s" s="10">
        <v>76</v>
      </c>
      <c r="AC869" t="s" s="10">
        <v>3385</v>
      </c>
      <c r="AD869" t="s" s="10">
        <v>3387</v>
      </c>
      <c r="AE869" s="11"/>
      <c r="AF869" s="11"/>
      <c r="AG869" t="s" s="10">
        <v>299</v>
      </c>
      <c r="AH869" t="s" s="10">
        <v>106</v>
      </c>
      <c r="AI869" t="s" s="10">
        <v>76</v>
      </c>
      <c r="AJ869" t="s" s="10">
        <v>76</v>
      </c>
      <c r="AK869" t="s" s="10">
        <v>79</v>
      </c>
      <c r="AL869" t="s" s="10">
        <v>293</v>
      </c>
      <c r="AM869" t="s" s="10">
        <v>294</v>
      </c>
      <c r="AN869" t="s" s="10">
        <v>650</v>
      </c>
      <c r="AO869" s="18">
        <v>4</v>
      </c>
      <c r="AP869" s="18">
        <v>6144</v>
      </c>
      <c r="AQ869" s="18">
        <v>539686</v>
      </c>
      <c r="AR869" s="18">
        <v>539686</v>
      </c>
      <c r="AS869" t="s" s="10">
        <v>3388</v>
      </c>
      <c r="AT869" s="11"/>
      <c r="AU869" s="11"/>
      <c r="AV869" s="11"/>
      <c r="AW869" s="11"/>
      <c r="AX869" s="11"/>
      <c r="AY869" s="11"/>
      <c r="AZ869" s="11"/>
      <c r="BA869" s="11"/>
      <c r="BB869" s="11"/>
      <c r="BC869" s="11"/>
      <c r="BD869" s="11"/>
      <c r="BE869" s="11"/>
      <c r="BF869" s="11"/>
      <c r="BG869" s="11"/>
      <c r="BH869" s="11"/>
      <c r="BI869" s="11"/>
      <c r="BJ869" s="11"/>
      <c r="BK869" s="11"/>
      <c r="BL869" s="11"/>
      <c r="BM869" s="11"/>
      <c r="BN869" t="s" s="10">
        <v>69</v>
      </c>
      <c r="BO869" s="12"/>
      <c r="BP869" s="8"/>
    </row>
    <row r="870" ht="15" customHeight="1">
      <c r="A870" t="s" s="13">
        <v>3389</v>
      </c>
      <c r="B870" s="14"/>
      <c r="C870" t="str" s="14" cm="1">
        <f t="array" ref="C870">_xlfn.IFERROR((VLOOKUP(A870,#REF!,2,FALSE)),"")</f>
      </c>
      <c r="D870" s="14"/>
      <c r="E870" s="14"/>
      <c r="F870" s="14"/>
      <c r="G870" t="s" s="15">
        <v>3390</v>
      </c>
      <c r="H870" t="s" s="15">
        <v>492</v>
      </c>
      <c r="I870" t="s" s="15">
        <v>111</v>
      </c>
      <c r="J870" t="s" s="15">
        <v>122</v>
      </c>
      <c r="K870" t="s" s="15">
        <v>113</v>
      </c>
      <c r="L870" t="s" s="15">
        <v>493</v>
      </c>
      <c r="M870" t="s" s="15">
        <v>3391</v>
      </c>
      <c r="N870" t="s" s="15">
        <v>3391</v>
      </c>
      <c r="O870" s="14"/>
      <c r="P870" t="s" s="15">
        <v>122</v>
      </c>
      <c r="Q870" t="s" s="15">
        <v>69</v>
      </c>
      <c r="R870" t="s" s="15">
        <v>83</v>
      </c>
      <c r="S870" s="14"/>
      <c r="T870" s="14"/>
      <c r="U870" s="14"/>
      <c r="V870" t="s" s="15">
        <v>69</v>
      </c>
      <c r="W870" s="14"/>
      <c r="X870" t="s" s="15">
        <v>69</v>
      </c>
      <c r="Y870" s="14"/>
      <c r="Z870" t="s" s="15">
        <v>495</v>
      </c>
      <c r="AA870" s="14"/>
      <c r="AB870" t="s" s="15">
        <v>495</v>
      </c>
      <c r="AC870" t="s" s="15">
        <v>3389</v>
      </c>
      <c r="AD870" t="s" s="15">
        <v>3392</v>
      </c>
      <c r="AE870" s="14"/>
      <c r="AF870" t="s" s="15">
        <v>492</v>
      </c>
      <c r="AG870" t="s" s="15">
        <v>299</v>
      </c>
      <c r="AH870" t="s" s="15">
        <v>114</v>
      </c>
      <c r="AI870" t="s" s="15">
        <v>332</v>
      </c>
      <c r="AJ870" t="s" s="15">
        <v>333</v>
      </c>
      <c r="AK870" t="s" s="15">
        <v>83</v>
      </c>
      <c r="AL870" t="s" s="15">
        <v>293</v>
      </c>
      <c r="AM870" t="s" s="15">
        <v>294</v>
      </c>
      <c r="AN870" t="s" s="15">
        <v>128</v>
      </c>
      <c r="AO870" s="17">
        <v>4</v>
      </c>
      <c r="AP870" s="17">
        <v>16384</v>
      </c>
      <c r="AQ870" s="17">
        <v>222225</v>
      </c>
      <c r="AR870" s="17">
        <v>222225</v>
      </c>
      <c r="AS870" t="s" s="15">
        <v>3393</v>
      </c>
      <c r="AT870" s="14"/>
      <c r="AU870" s="14"/>
      <c r="AV870" s="14"/>
      <c r="AW870" s="14"/>
      <c r="AX870" s="14"/>
      <c r="AY870" s="14"/>
      <c r="AZ870" s="14"/>
      <c r="BA870" s="14"/>
      <c r="BB870" s="14"/>
      <c r="BC870" s="14"/>
      <c r="BD870" t="s" s="15">
        <v>366</v>
      </c>
      <c r="BE870" t="s" s="15">
        <v>394</v>
      </c>
      <c r="BF870" s="17">
        <v>4</v>
      </c>
      <c r="BG870" s="17">
        <v>16</v>
      </c>
      <c r="BH870" s="14"/>
      <c r="BI870" s="14"/>
      <c r="BJ870" s="14"/>
      <c r="BK870" s="14"/>
      <c r="BL870" s="14"/>
      <c r="BM870" s="14"/>
      <c r="BN870" t="s" s="15">
        <v>69</v>
      </c>
      <c r="BO870" s="16"/>
      <c r="BP870" s="8"/>
    </row>
    <row r="871" ht="9" customHeight="1" hidden="1">
      <c r="A871" t="s" s="9">
        <v>3394</v>
      </c>
      <c r="B871" s="11"/>
      <c r="C871" t="str" s="11" cm="1">
        <f t="array" ref="C871">_xlfn.IFERROR((VLOOKUP(A871,#REF!,2,FALSE)),"")</f>
      </c>
      <c r="D871" s="11"/>
      <c r="E871" s="11"/>
      <c r="F871" s="11"/>
      <c r="G871" t="s" s="10">
        <v>3395</v>
      </c>
      <c r="H871" t="s" s="10">
        <v>492</v>
      </c>
      <c r="I871" t="s" s="10">
        <v>111</v>
      </c>
      <c r="J871" t="s" s="10">
        <v>122</v>
      </c>
      <c r="K871" t="s" s="10">
        <v>113</v>
      </c>
      <c r="L871" t="s" s="10">
        <v>493</v>
      </c>
      <c r="M871" t="s" s="10">
        <v>3396</v>
      </c>
      <c r="N871" t="s" s="10">
        <v>3396</v>
      </c>
      <c r="O871" s="11"/>
      <c r="P871" t="s" s="10">
        <v>122</v>
      </c>
      <c r="Q871" t="s" s="10">
        <v>69</v>
      </c>
      <c r="R871" t="s" s="10">
        <v>83</v>
      </c>
      <c r="S871" s="11"/>
      <c r="T871" s="11"/>
      <c r="U871" s="11"/>
      <c r="V871" t="s" s="10">
        <v>69</v>
      </c>
      <c r="W871" s="11"/>
      <c r="X871" t="s" s="10">
        <v>69</v>
      </c>
      <c r="Y871" s="11"/>
      <c r="Z871" t="s" s="10">
        <v>495</v>
      </c>
      <c r="AA871" s="11"/>
      <c r="AB871" t="s" s="10">
        <v>495</v>
      </c>
      <c r="AC871" t="s" s="10">
        <v>3394</v>
      </c>
      <c r="AD871" s="11"/>
      <c r="AE871" s="11"/>
      <c r="AF871" t="s" s="10">
        <v>492</v>
      </c>
      <c r="AG871" s="11"/>
      <c r="AH871" t="s" s="10">
        <v>114</v>
      </c>
      <c r="AI871" t="s" s="10">
        <v>332</v>
      </c>
      <c r="AJ871" t="s" s="10">
        <v>333</v>
      </c>
      <c r="AK871" t="s" s="10">
        <v>83</v>
      </c>
      <c r="AL871" t="s" s="10">
        <v>293</v>
      </c>
      <c r="AM871" t="s" s="10">
        <v>294</v>
      </c>
      <c r="AN871" t="s" s="10">
        <v>128</v>
      </c>
      <c r="AO871" s="18">
        <v>4</v>
      </c>
      <c r="AP871" s="18">
        <v>94208</v>
      </c>
      <c r="AQ871" s="18">
        <v>657302</v>
      </c>
      <c r="AR871" s="18">
        <v>657302</v>
      </c>
      <c r="AS871" t="s" s="10">
        <v>3397</v>
      </c>
      <c r="AT871" s="11"/>
      <c r="AU871" s="11"/>
      <c r="AV871" s="11"/>
      <c r="AW871" s="11"/>
      <c r="AX871" s="11"/>
      <c r="AY871" s="11"/>
      <c r="AZ871" s="11"/>
      <c r="BA871" s="11"/>
      <c r="BB871" s="11"/>
      <c r="BC871" s="11"/>
      <c r="BD871" t="s" s="10">
        <v>428</v>
      </c>
      <c r="BE871" t="s" s="10">
        <v>3398</v>
      </c>
      <c r="BF871" s="18">
        <v>4</v>
      </c>
      <c r="BG871" s="18">
        <v>128</v>
      </c>
      <c r="BH871" s="11"/>
      <c r="BI871" s="11"/>
      <c r="BJ871" s="11"/>
      <c r="BK871" s="11"/>
      <c r="BL871" s="11"/>
      <c r="BM871" s="11"/>
      <c r="BN871" t="s" s="10">
        <v>78</v>
      </c>
      <c r="BO871" s="12"/>
      <c r="BP871" s="8"/>
    </row>
    <row r="872" ht="9" customHeight="1" hidden="1">
      <c r="A872" t="s" s="13">
        <v>3399</v>
      </c>
      <c r="B872" s="14"/>
      <c r="C872" t="str" s="14" cm="1">
        <f t="array" ref="C872">_xlfn.IFERROR((VLOOKUP(A872,#REF!,2,FALSE)),"")</f>
      </c>
      <c r="D872" s="14"/>
      <c r="E872" s="14"/>
      <c r="F872" s="14"/>
      <c r="G872" t="s" s="15">
        <v>3400</v>
      </c>
      <c r="H872" t="s" s="15">
        <v>492</v>
      </c>
      <c r="I872" t="s" s="15">
        <v>111</v>
      </c>
      <c r="J872" t="s" s="15">
        <v>122</v>
      </c>
      <c r="K872" t="s" s="15">
        <v>113</v>
      </c>
      <c r="L872" t="s" s="15">
        <v>493</v>
      </c>
      <c r="M872" t="s" s="15">
        <v>3401</v>
      </c>
      <c r="N872" t="s" s="15">
        <v>3401</v>
      </c>
      <c r="O872" s="14"/>
      <c r="P872" t="s" s="15">
        <v>122</v>
      </c>
      <c r="Q872" t="s" s="15">
        <v>69</v>
      </c>
      <c r="R872" t="s" s="15">
        <v>83</v>
      </c>
      <c r="S872" s="14"/>
      <c r="T872" s="14"/>
      <c r="U872" s="14"/>
      <c r="V872" t="s" s="15">
        <v>69</v>
      </c>
      <c r="W872" s="14"/>
      <c r="X872" t="s" s="15">
        <v>69</v>
      </c>
      <c r="Y872" s="14"/>
      <c r="Z872" t="s" s="15">
        <v>495</v>
      </c>
      <c r="AA872" s="14"/>
      <c r="AB872" t="s" s="15">
        <v>495</v>
      </c>
      <c r="AC872" t="s" s="15">
        <v>3399</v>
      </c>
      <c r="AD872" s="14"/>
      <c r="AE872" s="14"/>
      <c r="AF872" t="s" s="15">
        <v>492</v>
      </c>
      <c r="AG872" s="14"/>
      <c r="AH872" t="s" s="15">
        <v>114</v>
      </c>
      <c r="AI872" t="s" s="15">
        <v>332</v>
      </c>
      <c r="AJ872" t="s" s="15">
        <v>333</v>
      </c>
      <c r="AK872" t="s" s="15">
        <v>83</v>
      </c>
      <c r="AL872" t="s" s="15">
        <v>293</v>
      </c>
      <c r="AM872" t="s" s="15">
        <v>294</v>
      </c>
      <c r="AN872" t="s" s="15">
        <v>128</v>
      </c>
      <c r="AO872" s="17">
        <v>4</v>
      </c>
      <c r="AP872" s="17">
        <v>94208</v>
      </c>
      <c r="AQ872" s="17">
        <v>657331</v>
      </c>
      <c r="AR872" s="17">
        <v>657331</v>
      </c>
      <c r="AS872" t="s" s="15">
        <v>3402</v>
      </c>
      <c r="AT872" s="14"/>
      <c r="AU872" s="14"/>
      <c r="AV872" s="14"/>
      <c r="AW872" s="14"/>
      <c r="AX872" s="14"/>
      <c r="AY872" s="14"/>
      <c r="AZ872" s="14"/>
      <c r="BA872" s="14"/>
      <c r="BB872" s="14"/>
      <c r="BC872" s="14"/>
      <c r="BD872" t="s" s="15">
        <v>428</v>
      </c>
      <c r="BE872" t="s" s="15">
        <v>3398</v>
      </c>
      <c r="BF872" s="17">
        <v>4</v>
      </c>
      <c r="BG872" s="17">
        <v>128</v>
      </c>
      <c r="BH872" s="14"/>
      <c r="BI872" s="14"/>
      <c r="BJ872" s="14"/>
      <c r="BK872" s="14"/>
      <c r="BL872" s="14"/>
      <c r="BM872" s="14"/>
      <c r="BN872" t="s" s="15">
        <v>78</v>
      </c>
      <c r="BO872" s="16"/>
      <c r="BP872" s="8"/>
    </row>
    <row r="873" ht="9" customHeight="1" hidden="1">
      <c r="A873" t="s" s="9">
        <v>3403</v>
      </c>
      <c r="B873" s="11"/>
      <c r="C873" t="str" s="11" cm="1">
        <f t="array" ref="C873">_xlfn.IFERROR((VLOOKUP(A873,#REF!,2,FALSE)),"")</f>
      </c>
      <c r="D873" s="11"/>
      <c r="E873" s="11"/>
      <c r="F873" s="11"/>
      <c r="G873" t="s" s="10">
        <v>3404</v>
      </c>
      <c r="H873" t="s" s="10">
        <v>3405</v>
      </c>
      <c r="I873" t="s" s="10">
        <v>111</v>
      </c>
      <c r="J873" t="s" s="10">
        <v>122</v>
      </c>
      <c r="K873" t="s" s="10">
        <v>113</v>
      </c>
      <c r="L873" t="s" s="10">
        <v>76</v>
      </c>
      <c r="M873" t="s" s="10">
        <v>3404</v>
      </c>
      <c r="N873" t="s" s="10">
        <v>3404</v>
      </c>
      <c r="O873" s="11"/>
      <c r="P873" t="s" s="10">
        <v>122</v>
      </c>
      <c r="Q873" t="s" s="10">
        <v>69</v>
      </c>
      <c r="R873" t="s" s="10">
        <v>83</v>
      </c>
      <c r="S873" s="11"/>
      <c r="T873" s="11"/>
      <c r="U873" s="11"/>
      <c r="V873" t="s" s="10">
        <v>69</v>
      </c>
      <c r="W873" s="11"/>
      <c r="X873" t="s" s="10">
        <v>69</v>
      </c>
      <c r="Y873" s="11"/>
      <c r="Z873" t="s" s="10">
        <v>76</v>
      </c>
      <c r="AA873" s="11"/>
      <c r="AB873" t="s" s="10">
        <v>76</v>
      </c>
      <c r="AC873" t="s" s="10">
        <v>3403</v>
      </c>
      <c r="AD873" t="s" s="10">
        <v>3406</v>
      </c>
      <c r="AE873" s="11"/>
      <c r="AF873" s="11"/>
      <c r="AG873" t="s" s="10">
        <v>299</v>
      </c>
      <c r="AH873" t="s" s="10">
        <v>106</v>
      </c>
      <c r="AI873" t="s" s="10">
        <v>76</v>
      </c>
      <c r="AJ873" t="s" s="10">
        <v>76</v>
      </c>
      <c r="AK873" t="s" s="10">
        <v>79</v>
      </c>
      <c r="AL873" t="s" s="10">
        <v>293</v>
      </c>
      <c r="AM873" t="s" s="10">
        <v>294</v>
      </c>
      <c r="AN873" t="s" s="10">
        <v>1138</v>
      </c>
      <c r="AO873" s="18">
        <v>2</v>
      </c>
      <c r="AP873" s="18">
        <v>4096</v>
      </c>
      <c r="AQ873" s="18">
        <v>235474</v>
      </c>
      <c r="AR873" s="18">
        <v>235474</v>
      </c>
      <c r="AS873" t="s" s="10">
        <v>3407</v>
      </c>
      <c r="AT873" s="11"/>
      <c r="AU873" s="11"/>
      <c r="AV873" s="11"/>
      <c r="AW873" s="11"/>
      <c r="AX873" s="11"/>
      <c r="AY873" s="11"/>
      <c r="AZ873" s="11"/>
      <c r="BA873" s="11"/>
      <c r="BB873" s="11"/>
      <c r="BC873" s="11"/>
      <c r="BD873" s="11"/>
      <c r="BE873" s="11"/>
      <c r="BF873" s="11"/>
      <c r="BG873" s="11"/>
      <c r="BH873" s="11"/>
      <c r="BI873" s="11"/>
      <c r="BJ873" s="11"/>
      <c r="BK873" s="11"/>
      <c r="BL873" s="11"/>
      <c r="BM873" s="11"/>
      <c r="BN873" t="s" s="10">
        <v>78</v>
      </c>
      <c r="BO873" s="12"/>
      <c r="BP873" s="8"/>
    </row>
    <row r="874" ht="9" customHeight="1" hidden="1">
      <c r="A874" t="s" s="13">
        <v>3408</v>
      </c>
      <c r="B874" s="14"/>
      <c r="C874" t="str" s="14" cm="1">
        <f t="array" ref="C874">_xlfn.IFERROR((VLOOKUP(A874,#REF!,2,FALSE)),"")</f>
      </c>
      <c r="D874" s="14"/>
      <c r="E874" s="14"/>
      <c r="F874" s="14"/>
      <c r="G874" t="s" s="15">
        <v>3409</v>
      </c>
      <c r="H874" t="s" s="15">
        <v>3410</v>
      </c>
      <c r="I874" t="s" s="15">
        <v>111</v>
      </c>
      <c r="J874" t="s" s="15">
        <v>122</v>
      </c>
      <c r="K874" t="s" s="15">
        <v>113</v>
      </c>
      <c r="L874" t="s" s="15">
        <v>76</v>
      </c>
      <c r="M874" t="s" s="15">
        <v>3409</v>
      </c>
      <c r="N874" t="s" s="15">
        <v>3409</v>
      </c>
      <c r="O874" s="14"/>
      <c r="P874" t="s" s="15">
        <v>122</v>
      </c>
      <c r="Q874" t="s" s="15">
        <v>69</v>
      </c>
      <c r="R874" t="s" s="15">
        <v>83</v>
      </c>
      <c r="S874" s="14"/>
      <c r="T874" s="14"/>
      <c r="U874" s="14"/>
      <c r="V874" t="s" s="15">
        <v>69</v>
      </c>
      <c r="W874" s="14"/>
      <c r="X874" t="s" s="15">
        <v>69</v>
      </c>
      <c r="Y874" s="14"/>
      <c r="Z874" t="s" s="15">
        <v>76</v>
      </c>
      <c r="AA874" s="14"/>
      <c r="AB874" t="s" s="15">
        <v>76</v>
      </c>
      <c r="AC874" t="s" s="15">
        <v>3408</v>
      </c>
      <c r="AD874" t="s" s="15">
        <v>3411</v>
      </c>
      <c r="AE874" s="14"/>
      <c r="AF874" s="14"/>
      <c r="AG874" t="s" s="15">
        <v>299</v>
      </c>
      <c r="AH874" t="s" s="15">
        <v>106</v>
      </c>
      <c r="AI874" t="s" s="15">
        <v>76</v>
      </c>
      <c r="AJ874" t="s" s="15">
        <v>76</v>
      </c>
      <c r="AK874" t="s" s="15">
        <v>79</v>
      </c>
      <c r="AL874" t="s" s="15">
        <v>293</v>
      </c>
      <c r="AM874" t="s" s="15">
        <v>294</v>
      </c>
      <c r="AN874" t="s" s="15">
        <v>1138</v>
      </c>
      <c r="AO874" s="17">
        <v>2</v>
      </c>
      <c r="AP874" s="17">
        <v>4096</v>
      </c>
      <c r="AQ874" s="17">
        <v>235367</v>
      </c>
      <c r="AR874" s="17">
        <v>235367</v>
      </c>
      <c r="AS874" t="s" s="15">
        <v>3412</v>
      </c>
      <c r="AT874" s="14"/>
      <c r="AU874" s="14"/>
      <c r="AV874" s="14"/>
      <c r="AW874" s="14"/>
      <c r="AX874" s="14"/>
      <c r="AY874" s="14"/>
      <c r="AZ874" s="14"/>
      <c r="BA874" s="14"/>
      <c r="BB874" s="14"/>
      <c r="BC874" s="14"/>
      <c r="BD874" s="14"/>
      <c r="BE874" s="14"/>
      <c r="BF874" s="14"/>
      <c r="BG874" s="14"/>
      <c r="BH874" s="14"/>
      <c r="BI874" s="14"/>
      <c r="BJ874" s="14"/>
      <c r="BK874" s="14"/>
      <c r="BL874" s="14"/>
      <c r="BM874" s="14"/>
      <c r="BN874" t="s" s="15">
        <v>78</v>
      </c>
      <c r="BO874" s="16"/>
      <c r="BP874" s="8"/>
    </row>
    <row r="875" ht="9" customHeight="1" hidden="1">
      <c r="A875" t="s" s="9">
        <v>3413</v>
      </c>
      <c r="B875" s="11"/>
      <c r="C875" t="str" s="11" cm="1">
        <f t="array" ref="C875">_xlfn.IFERROR((VLOOKUP(A875,#REF!,2,FALSE)),"")</f>
      </c>
      <c r="D875" s="11"/>
      <c r="E875" s="11"/>
      <c r="F875" s="11"/>
      <c r="G875" t="s" s="10">
        <v>3414</v>
      </c>
      <c r="H875" t="s" s="10">
        <v>3414</v>
      </c>
      <c r="I875" t="s" s="10">
        <v>111</v>
      </c>
      <c r="J875" t="s" s="10">
        <v>469</v>
      </c>
      <c r="K875" t="s" s="10">
        <v>351</v>
      </c>
      <c r="L875" t="s" s="10">
        <v>76</v>
      </c>
      <c r="M875" t="s" s="10">
        <v>3414</v>
      </c>
      <c r="N875" t="s" s="10">
        <v>3414</v>
      </c>
      <c r="O875" s="11"/>
      <c r="P875" t="s" s="10">
        <v>469</v>
      </c>
      <c r="Q875" t="s" s="10">
        <v>69</v>
      </c>
      <c r="R875" t="s" s="10">
        <v>83</v>
      </c>
      <c r="S875" s="11"/>
      <c r="T875" s="11"/>
      <c r="U875" s="11"/>
      <c r="V875" t="s" s="10">
        <v>69</v>
      </c>
      <c r="W875" s="11"/>
      <c r="X875" t="s" s="10">
        <v>69</v>
      </c>
      <c r="Y875" s="11"/>
      <c r="Z875" t="s" s="10">
        <v>76</v>
      </c>
      <c r="AA875" s="11"/>
      <c r="AB875" t="s" s="10">
        <v>76</v>
      </c>
      <c r="AC875" t="s" s="10">
        <v>3413</v>
      </c>
      <c r="AD875" t="s" s="10">
        <v>3415</v>
      </c>
      <c r="AE875" s="11"/>
      <c r="AF875" s="11"/>
      <c r="AG875" t="s" s="10">
        <v>299</v>
      </c>
      <c r="AH875" t="s" s="10">
        <v>106</v>
      </c>
      <c r="AI875" t="s" s="10">
        <v>76</v>
      </c>
      <c r="AJ875" t="s" s="10">
        <v>76</v>
      </c>
      <c r="AK875" t="s" s="10">
        <v>79</v>
      </c>
      <c r="AL875" t="s" s="10">
        <v>293</v>
      </c>
      <c r="AM875" t="s" s="10">
        <v>294</v>
      </c>
      <c r="AN875" t="s" s="10">
        <v>128</v>
      </c>
      <c r="AO875" s="18">
        <v>8</v>
      </c>
      <c r="AP875" s="18">
        <v>16384</v>
      </c>
      <c r="AQ875" s="18">
        <v>528491</v>
      </c>
      <c r="AR875" s="18">
        <v>83645</v>
      </c>
      <c r="AS875" t="s" s="10">
        <v>3416</v>
      </c>
      <c r="AT875" t="s" s="10">
        <v>301</v>
      </c>
      <c r="AU875" s="11"/>
      <c r="AV875" s="11"/>
      <c r="AW875" s="11"/>
      <c r="AX875" s="11"/>
      <c r="AY875" s="11"/>
      <c r="AZ875" s="11"/>
      <c r="BA875" s="11"/>
      <c r="BB875" s="11"/>
      <c r="BC875" s="11"/>
      <c r="BD875" s="11"/>
      <c r="BE875" s="11"/>
      <c r="BF875" s="11"/>
      <c r="BG875" s="11"/>
      <c r="BH875" s="11"/>
      <c r="BI875" s="11"/>
      <c r="BJ875" s="11"/>
      <c r="BK875" s="11"/>
      <c r="BL875" s="11"/>
      <c r="BM875" s="11"/>
      <c r="BN875" t="s" s="10">
        <v>78</v>
      </c>
      <c r="BO875" s="12"/>
      <c r="BP875" s="8"/>
    </row>
    <row r="876" ht="9" customHeight="1" hidden="1">
      <c r="A876" t="s" s="13">
        <v>3417</v>
      </c>
      <c r="B876" s="14"/>
      <c r="C876" t="str" s="14" cm="1">
        <f t="array" ref="C876">_xlfn.IFERROR((VLOOKUP(A876,#REF!,2,FALSE)),"")</f>
      </c>
      <c r="D876" s="14"/>
      <c r="E876" t="s" s="15">
        <v>3418</v>
      </c>
      <c r="F876" s="14"/>
      <c r="G876" t="s" s="15">
        <v>3419</v>
      </c>
      <c r="H876" t="s" s="15">
        <v>3420</v>
      </c>
      <c r="I876" t="s" s="15">
        <v>111</v>
      </c>
      <c r="J876" t="s" s="15">
        <v>112</v>
      </c>
      <c r="K876" t="s" s="15">
        <v>113</v>
      </c>
      <c r="L876" t="s" s="15">
        <v>76</v>
      </c>
      <c r="M876" t="s" s="15">
        <v>3421</v>
      </c>
      <c r="N876" t="s" s="15">
        <v>3421</v>
      </c>
      <c r="O876" t="s" s="15">
        <v>1162</v>
      </c>
      <c r="P876" t="s" s="15">
        <v>469</v>
      </c>
      <c r="Q876" t="s" s="15">
        <v>78</v>
      </c>
      <c r="R876" t="s" s="15">
        <v>83</v>
      </c>
      <c r="S876" s="14"/>
      <c r="T876" s="14"/>
      <c r="U876" s="14"/>
      <c r="V876" t="s" s="15">
        <v>69</v>
      </c>
      <c r="W876" s="14"/>
      <c r="X876" t="s" s="15">
        <v>69</v>
      </c>
      <c r="Y876" s="14"/>
      <c r="Z876" t="s" s="15">
        <v>76</v>
      </c>
      <c r="AA876" s="14"/>
      <c r="AB876" t="s" s="15">
        <v>76</v>
      </c>
      <c r="AC876" s="14"/>
      <c r="AD876" s="14"/>
      <c r="AE876" s="14"/>
      <c r="AF876" s="14"/>
      <c r="AG876" s="14"/>
      <c r="AH876" t="s" s="15">
        <v>106</v>
      </c>
      <c r="AI876" t="s" s="15">
        <v>76</v>
      </c>
      <c r="AJ876" t="s" s="15">
        <v>76</v>
      </c>
      <c r="AK876" t="s" s="15">
        <v>79</v>
      </c>
      <c r="AL876" t="s" s="15">
        <v>293</v>
      </c>
      <c r="AM876" t="s" s="15">
        <v>294</v>
      </c>
      <c r="AN876" t="s" s="15">
        <v>3422</v>
      </c>
      <c r="AO876" s="17">
        <v>1</v>
      </c>
      <c r="AP876" s="17">
        <v>4096</v>
      </c>
      <c r="AQ876" s="17">
        <v>70754</v>
      </c>
      <c r="AR876" s="17">
        <v>40613</v>
      </c>
      <c r="AS876" t="s" s="15">
        <v>3423</v>
      </c>
      <c r="AT876" s="14"/>
      <c r="AU876" s="14"/>
      <c r="AV876" s="14"/>
      <c r="AW876" s="14"/>
      <c r="AX876" s="14"/>
      <c r="AY876" s="14"/>
      <c r="AZ876" s="14"/>
      <c r="BA876" s="14"/>
      <c r="BB876" s="14"/>
      <c r="BC876" s="14"/>
      <c r="BD876" s="14"/>
      <c r="BE876" s="14"/>
      <c r="BF876" s="14"/>
      <c r="BG876" s="14"/>
      <c r="BH876" s="14"/>
      <c r="BI876" s="14"/>
      <c r="BJ876" s="14"/>
      <c r="BK876" s="14"/>
      <c r="BL876" s="14"/>
      <c r="BM876" s="14"/>
      <c r="BN876" t="s" s="15">
        <v>69</v>
      </c>
      <c r="BO876" s="16"/>
      <c r="BP876" s="8"/>
    </row>
    <row r="877" ht="9" customHeight="1" hidden="1">
      <c r="A877" t="s" s="9">
        <v>3424</v>
      </c>
      <c r="B877" s="11"/>
      <c r="C877" t="str" s="11" cm="1">
        <f t="array" ref="C877">_xlfn.IFERROR((VLOOKUP(A877,#REF!,2,FALSE)),"")</f>
      </c>
      <c r="D877" t="s" s="10">
        <v>70</v>
      </c>
      <c r="E877" t="s" s="10">
        <v>450</v>
      </c>
      <c r="F877" s="11"/>
      <c r="G877" t="s" s="10">
        <v>3425</v>
      </c>
      <c r="H877" t="s" s="10">
        <v>3425</v>
      </c>
      <c r="I877" t="s" s="10">
        <v>111</v>
      </c>
      <c r="J877" t="s" s="10">
        <v>452</v>
      </c>
      <c r="K877" t="s" s="10">
        <v>113</v>
      </c>
      <c r="L877" t="s" s="10">
        <v>76</v>
      </c>
      <c r="M877" t="s" s="10">
        <v>3425</v>
      </c>
      <c r="N877" t="s" s="10">
        <v>3425</v>
      </c>
      <c r="O877" s="11"/>
      <c r="P877" t="s" s="10">
        <v>452</v>
      </c>
      <c r="Q877" t="s" s="10">
        <v>69</v>
      </c>
      <c r="R877" t="s" s="10">
        <v>83</v>
      </c>
      <c r="S877" s="11"/>
      <c r="T877" s="11"/>
      <c r="U877" s="11"/>
      <c r="V877" t="s" s="10">
        <v>69</v>
      </c>
      <c r="W877" s="11"/>
      <c r="X877" t="s" s="10">
        <v>69</v>
      </c>
      <c r="Y877" s="11"/>
      <c r="Z877" t="s" s="10">
        <v>76</v>
      </c>
      <c r="AA877" s="11"/>
      <c r="AB877" t="s" s="10">
        <v>76</v>
      </c>
      <c r="AC877" t="s" s="10">
        <v>3424</v>
      </c>
      <c r="AD877" t="s" s="10">
        <v>3426</v>
      </c>
      <c r="AE877" s="11"/>
      <c r="AF877" s="11"/>
      <c r="AG877" t="s" s="10">
        <v>453</v>
      </c>
      <c r="AH877" t="s" s="10">
        <v>106</v>
      </c>
      <c r="AI877" t="s" s="10">
        <v>76</v>
      </c>
      <c r="AJ877" t="s" s="10">
        <v>76</v>
      </c>
      <c r="AK877" t="s" s="10">
        <v>79</v>
      </c>
      <c r="AL877" t="s" s="10">
        <v>293</v>
      </c>
      <c r="AM877" t="s" s="10">
        <v>294</v>
      </c>
      <c r="AN877" t="s" s="10">
        <v>650</v>
      </c>
      <c r="AO877" s="18">
        <v>8</v>
      </c>
      <c r="AP877" s="18">
        <v>6144</v>
      </c>
      <c r="AQ877" s="18">
        <v>424217</v>
      </c>
      <c r="AR877" s="18">
        <v>206834</v>
      </c>
      <c r="AS877" t="s" s="10">
        <v>3427</v>
      </c>
      <c r="AT877" s="11"/>
      <c r="AU877" s="11"/>
      <c r="AV877" s="11"/>
      <c r="AW877" s="11"/>
      <c r="AX877" s="11"/>
      <c r="AY877" s="11"/>
      <c r="AZ877" s="11"/>
      <c r="BA877" s="11"/>
      <c r="BB877" s="11"/>
      <c r="BC877" s="11"/>
      <c r="BD877" s="11"/>
      <c r="BE877" s="11"/>
      <c r="BF877" s="11"/>
      <c r="BG877" s="11"/>
      <c r="BH877" s="11"/>
      <c r="BI877" s="11"/>
      <c r="BJ877" s="11"/>
      <c r="BK877" s="11"/>
      <c r="BL877" s="11"/>
      <c r="BM877" s="11"/>
      <c r="BN877" t="s" s="10">
        <v>78</v>
      </c>
      <c r="BO877" s="12"/>
      <c r="BP877" s="8"/>
    </row>
    <row r="878" ht="9" customHeight="1" hidden="1">
      <c r="A878" t="s" s="13">
        <v>3428</v>
      </c>
      <c r="B878" s="14"/>
      <c r="C878" t="str" s="14" cm="1">
        <f t="array" ref="C878">_xlfn.IFERROR((VLOOKUP(A878,#REF!,2,FALSE)),"")</f>
      </c>
      <c r="D878" t="s" s="15">
        <v>70</v>
      </c>
      <c r="E878" t="s" s="15">
        <v>450</v>
      </c>
      <c r="F878" s="14"/>
      <c r="G878" t="s" s="15">
        <v>3429</v>
      </c>
      <c r="H878" t="s" s="15">
        <v>3430</v>
      </c>
      <c r="I878" t="s" s="15">
        <v>111</v>
      </c>
      <c r="J878" t="s" s="15">
        <v>452</v>
      </c>
      <c r="K878" t="s" s="15">
        <v>113</v>
      </c>
      <c r="L878" t="s" s="15">
        <v>76</v>
      </c>
      <c r="M878" t="s" s="15">
        <v>3429</v>
      </c>
      <c r="N878" t="s" s="15">
        <v>3429</v>
      </c>
      <c r="O878" s="14"/>
      <c r="P878" t="s" s="15">
        <v>452</v>
      </c>
      <c r="Q878" t="s" s="15">
        <v>69</v>
      </c>
      <c r="R878" t="s" s="15">
        <v>83</v>
      </c>
      <c r="S878" s="14"/>
      <c r="T878" s="14"/>
      <c r="U878" s="14"/>
      <c r="V878" t="s" s="15">
        <v>69</v>
      </c>
      <c r="W878" s="14"/>
      <c r="X878" t="s" s="15">
        <v>69</v>
      </c>
      <c r="Y878" s="14"/>
      <c r="Z878" t="s" s="15">
        <v>76</v>
      </c>
      <c r="AA878" s="14"/>
      <c r="AB878" t="s" s="15">
        <v>76</v>
      </c>
      <c r="AC878" t="s" s="15">
        <v>3428</v>
      </c>
      <c r="AD878" t="s" s="15">
        <v>3431</v>
      </c>
      <c r="AE878" s="14"/>
      <c r="AF878" s="14"/>
      <c r="AG878" t="s" s="15">
        <v>453</v>
      </c>
      <c r="AH878" t="s" s="15">
        <v>106</v>
      </c>
      <c r="AI878" t="s" s="15">
        <v>76</v>
      </c>
      <c r="AJ878" t="s" s="15">
        <v>76</v>
      </c>
      <c r="AK878" t="s" s="15">
        <v>79</v>
      </c>
      <c r="AL878" t="s" s="15">
        <v>293</v>
      </c>
      <c r="AM878" t="s" s="15">
        <v>294</v>
      </c>
      <c r="AN878" t="s" s="15">
        <v>650</v>
      </c>
      <c r="AO878" s="17">
        <v>2</v>
      </c>
      <c r="AP878" s="17">
        <v>8192</v>
      </c>
      <c r="AQ878" s="17">
        <v>1646710</v>
      </c>
      <c r="AR878" s="17">
        <v>855370</v>
      </c>
      <c r="AS878" t="s" s="15">
        <v>3432</v>
      </c>
      <c r="AT878" s="14"/>
      <c r="AU878" s="14"/>
      <c r="AV878" s="14"/>
      <c r="AW878" s="14"/>
      <c r="AX878" s="14"/>
      <c r="AY878" s="14"/>
      <c r="AZ878" s="14"/>
      <c r="BA878" s="14"/>
      <c r="BB878" s="14"/>
      <c r="BC878" s="14"/>
      <c r="BD878" s="14"/>
      <c r="BE878" s="14"/>
      <c r="BF878" s="14"/>
      <c r="BG878" s="14"/>
      <c r="BH878" s="14"/>
      <c r="BI878" s="14"/>
      <c r="BJ878" s="14"/>
      <c r="BK878" s="14"/>
      <c r="BL878" s="14"/>
      <c r="BM878" s="14"/>
      <c r="BN878" t="s" s="15">
        <v>78</v>
      </c>
      <c r="BO878" s="16"/>
      <c r="BP878" s="8"/>
    </row>
    <row r="879" ht="9" customHeight="1" hidden="1">
      <c r="A879" t="s" s="9">
        <v>3433</v>
      </c>
      <c r="B879" s="11"/>
      <c r="C879" t="str" s="11" cm="1">
        <f t="array" ref="C879">_xlfn.IFERROR((VLOOKUP(A879,#REF!,2,FALSE)),"")</f>
      </c>
      <c r="D879" t="s" s="10">
        <v>70</v>
      </c>
      <c r="E879" t="s" s="10">
        <v>450</v>
      </c>
      <c r="F879" s="11"/>
      <c r="G879" t="s" s="10">
        <v>3434</v>
      </c>
      <c r="H879" t="s" s="10">
        <v>3430</v>
      </c>
      <c r="I879" t="s" s="10">
        <v>111</v>
      </c>
      <c r="J879" t="s" s="10">
        <v>452</v>
      </c>
      <c r="K879" t="s" s="10">
        <v>113</v>
      </c>
      <c r="L879" t="s" s="10">
        <v>76</v>
      </c>
      <c r="M879" t="s" s="10">
        <v>3434</v>
      </c>
      <c r="N879" t="s" s="10">
        <v>3434</v>
      </c>
      <c r="O879" s="11"/>
      <c r="P879" t="s" s="10">
        <v>452</v>
      </c>
      <c r="Q879" t="s" s="10">
        <v>69</v>
      </c>
      <c r="R879" t="s" s="10">
        <v>83</v>
      </c>
      <c r="S879" s="11"/>
      <c r="T879" s="11"/>
      <c r="U879" s="11"/>
      <c r="V879" t="s" s="10">
        <v>69</v>
      </c>
      <c r="W879" s="11"/>
      <c r="X879" t="s" s="10">
        <v>69</v>
      </c>
      <c r="Y879" s="11"/>
      <c r="Z879" t="s" s="10">
        <v>76</v>
      </c>
      <c r="AA879" s="11"/>
      <c r="AB879" t="s" s="10">
        <v>76</v>
      </c>
      <c r="AC879" t="s" s="10">
        <v>3433</v>
      </c>
      <c r="AD879" t="s" s="10">
        <v>3435</v>
      </c>
      <c r="AE879" s="11"/>
      <c r="AF879" s="11"/>
      <c r="AG879" t="s" s="10">
        <v>453</v>
      </c>
      <c r="AH879" t="s" s="10">
        <v>106</v>
      </c>
      <c r="AI879" t="s" s="10">
        <v>76</v>
      </c>
      <c r="AJ879" t="s" s="10">
        <v>76</v>
      </c>
      <c r="AK879" t="s" s="10">
        <v>79</v>
      </c>
      <c r="AL879" t="s" s="10">
        <v>293</v>
      </c>
      <c r="AM879" t="s" s="10">
        <v>294</v>
      </c>
      <c r="AN879" t="s" s="10">
        <v>650</v>
      </c>
      <c r="AO879" s="18">
        <v>2</v>
      </c>
      <c r="AP879" s="18">
        <v>8192</v>
      </c>
      <c r="AQ879" s="18">
        <v>1646712</v>
      </c>
      <c r="AR879" s="18">
        <v>855849</v>
      </c>
      <c r="AS879" t="s" s="10">
        <v>3436</v>
      </c>
      <c r="AT879" s="11"/>
      <c r="AU879" s="11"/>
      <c r="AV879" s="11"/>
      <c r="AW879" s="11"/>
      <c r="AX879" s="11"/>
      <c r="AY879" s="11"/>
      <c r="AZ879" s="11"/>
      <c r="BA879" s="11"/>
      <c r="BB879" s="11"/>
      <c r="BC879" s="11"/>
      <c r="BD879" s="11"/>
      <c r="BE879" s="11"/>
      <c r="BF879" s="11"/>
      <c r="BG879" s="11"/>
      <c r="BH879" s="11"/>
      <c r="BI879" s="11"/>
      <c r="BJ879" s="11"/>
      <c r="BK879" s="11"/>
      <c r="BL879" s="11"/>
      <c r="BM879" s="11"/>
      <c r="BN879" t="s" s="10">
        <v>78</v>
      </c>
      <c r="BO879" s="12"/>
      <c r="BP879" s="8"/>
    </row>
    <row r="880" ht="9" customHeight="1" hidden="1">
      <c r="A880" t="s" s="13">
        <v>3437</v>
      </c>
      <c r="B880" s="14"/>
      <c r="C880" t="str" s="14" cm="1">
        <f t="array" ref="C880">_xlfn.IFERROR((VLOOKUP(A880,#REF!,2,FALSE)),"")</f>
      </c>
      <c r="D880" t="s" s="15">
        <v>70</v>
      </c>
      <c r="E880" t="s" s="15">
        <v>450</v>
      </c>
      <c r="F880" s="14"/>
      <c r="G880" t="s" s="15">
        <v>3438</v>
      </c>
      <c r="H880" t="s" s="15">
        <v>3438</v>
      </c>
      <c r="I880" t="s" s="15">
        <v>111</v>
      </c>
      <c r="J880" t="s" s="15">
        <v>452</v>
      </c>
      <c r="K880" t="s" s="15">
        <v>113</v>
      </c>
      <c r="L880" t="s" s="15">
        <v>76</v>
      </c>
      <c r="M880" t="s" s="15">
        <v>3438</v>
      </c>
      <c r="N880" t="s" s="15">
        <v>3438</v>
      </c>
      <c r="O880" s="14"/>
      <c r="P880" t="s" s="15">
        <v>452</v>
      </c>
      <c r="Q880" t="s" s="15">
        <v>69</v>
      </c>
      <c r="R880" t="s" s="15">
        <v>83</v>
      </c>
      <c r="S880" s="14"/>
      <c r="T880" s="14"/>
      <c r="U880" s="14"/>
      <c r="V880" t="s" s="15">
        <v>69</v>
      </c>
      <c r="W880" s="14"/>
      <c r="X880" t="s" s="15">
        <v>69</v>
      </c>
      <c r="Y880" s="14"/>
      <c r="Z880" t="s" s="15">
        <v>76</v>
      </c>
      <c r="AA880" s="14"/>
      <c r="AB880" t="s" s="15">
        <v>76</v>
      </c>
      <c r="AC880" t="s" s="15">
        <v>3437</v>
      </c>
      <c r="AD880" t="s" s="15">
        <v>3439</v>
      </c>
      <c r="AE880" s="14"/>
      <c r="AF880" s="14"/>
      <c r="AG880" t="s" s="15">
        <v>453</v>
      </c>
      <c r="AH880" t="s" s="15">
        <v>106</v>
      </c>
      <c r="AI880" t="s" s="15">
        <v>76</v>
      </c>
      <c r="AJ880" t="s" s="15">
        <v>76</v>
      </c>
      <c r="AK880" t="s" s="15">
        <v>79</v>
      </c>
      <c r="AL880" t="s" s="15">
        <v>293</v>
      </c>
      <c r="AM880" t="s" s="15">
        <v>294</v>
      </c>
      <c r="AN880" t="s" s="15">
        <v>650</v>
      </c>
      <c r="AO880" s="17">
        <v>2</v>
      </c>
      <c r="AP880" s="17">
        <v>6144</v>
      </c>
      <c r="AQ880" s="17">
        <v>364663</v>
      </c>
      <c r="AR880" s="17">
        <v>203595</v>
      </c>
      <c r="AS880" t="s" s="15">
        <v>3440</v>
      </c>
      <c r="AT880" s="14"/>
      <c r="AU880" s="14"/>
      <c r="AV880" s="14"/>
      <c r="AW880" s="14"/>
      <c r="AX880" s="14"/>
      <c r="AY880" s="14"/>
      <c r="AZ880" s="14"/>
      <c r="BA880" s="14"/>
      <c r="BB880" s="14"/>
      <c r="BC880" s="14"/>
      <c r="BD880" s="14"/>
      <c r="BE880" s="14"/>
      <c r="BF880" s="14"/>
      <c r="BG880" s="14"/>
      <c r="BH880" s="14"/>
      <c r="BI880" s="14"/>
      <c r="BJ880" s="14"/>
      <c r="BK880" s="14"/>
      <c r="BL880" s="14"/>
      <c r="BM880" s="14"/>
      <c r="BN880" t="s" s="15">
        <v>78</v>
      </c>
      <c r="BO880" s="16"/>
      <c r="BP880" s="8"/>
    </row>
    <row r="881" ht="9" customHeight="1" hidden="1">
      <c r="A881" t="s" s="9">
        <v>3441</v>
      </c>
      <c r="B881" s="11"/>
      <c r="C881" t="str" s="11" cm="1">
        <f t="array" ref="C881">_xlfn.IFERROR((VLOOKUP(A881,#REF!,2,FALSE)),"")</f>
      </c>
      <c r="D881" t="s" s="10">
        <v>70</v>
      </c>
      <c r="E881" t="s" s="10">
        <v>450</v>
      </c>
      <c r="F881" s="11"/>
      <c r="G881" t="s" s="10">
        <v>3442</v>
      </c>
      <c r="H881" t="s" s="10">
        <v>3442</v>
      </c>
      <c r="I881" t="s" s="10">
        <v>111</v>
      </c>
      <c r="J881" t="s" s="10">
        <v>452</v>
      </c>
      <c r="K881" t="s" s="10">
        <v>113</v>
      </c>
      <c r="L881" t="s" s="10">
        <v>76</v>
      </c>
      <c r="M881" t="s" s="10">
        <v>3442</v>
      </c>
      <c r="N881" t="s" s="10">
        <v>3442</v>
      </c>
      <c r="O881" s="11"/>
      <c r="P881" t="s" s="10">
        <v>452</v>
      </c>
      <c r="Q881" t="s" s="10">
        <v>69</v>
      </c>
      <c r="R881" t="s" s="10">
        <v>83</v>
      </c>
      <c r="S881" s="11"/>
      <c r="T881" s="11"/>
      <c r="U881" s="11"/>
      <c r="V881" t="s" s="10">
        <v>69</v>
      </c>
      <c r="W881" s="11"/>
      <c r="X881" t="s" s="10">
        <v>69</v>
      </c>
      <c r="Y881" s="11"/>
      <c r="Z881" t="s" s="10">
        <v>76</v>
      </c>
      <c r="AA881" s="11"/>
      <c r="AB881" t="s" s="10">
        <v>76</v>
      </c>
      <c r="AC881" t="s" s="10">
        <v>3441</v>
      </c>
      <c r="AD881" t="s" s="10">
        <v>3443</v>
      </c>
      <c r="AE881" s="11"/>
      <c r="AF881" s="11"/>
      <c r="AG881" t="s" s="10">
        <v>453</v>
      </c>
      <c r="AH881" t="s" s="10">
        <v>106</v>
      </c>
      <c r="AI881" t="s" s="10">
        <v>76</v>
      </c>
      <c r="AJ881" t="s" s="10">
        <v>76</v>
      </c>
      <c r="AK881" t="s" s="10">
        <v>79</v>
      </c>
      <c r="AL881" t="s" s="10">
        <v>293</v>
      </c>
      <c r="AM881" t="s" s="10">
        <v>294</v>
      </c>
      <c r="AN881" t="s" s="10">
        <v>650</v>
      </c>
      <c r="AO881" s="18">
        <v>2</v>
      </c>
      <c r="AP881" s="18">
        <v>6144</v>
      </c>
      <c r="AQ881" s="18">
        <v>364662</v>
      </c>
      <c r="AR881" s="18">
        <v>207125</v>
      </c>
      <c r="AS881" t="s" s="10">
        <v>3444</v>
      </c>
      <c r="AT881" s="11"/>
      <c r="AU881" s="11"/>
      <c r="AV881" s="11"/>
      <c r="AW881" s="11"/>
      <c r="AX881" s="11"/>
      <c r="AY881" s="11"/>
      <c r="AZ881" s="11"/>
      <c r="BA881" s="11"/>
      <c r="BB881" s="11"/>
      <c r="BC881" s="11"/>
      <c r="BD881" s="11"/>
      <c r="BE881" s="11"/>
      <c r="BF881" s="11"/>
      <c r="BG881" s="11"/>
      <c r="BH881" s="11"/>
      <c r="BI881" s="11"/>
      <c r="BJ881" s="11"/>
      <c r="BK881" s="11"/>
      <c r="BL881" s="11"/>
      <c r="BM881" s="11"/>
      <c r="BN881" t="s" s="10">
        <v>78</v>
      </c>
      <c r="BO881" s="12"/>
      <c r="BP881" s="8"/>
    </row>
    <row r="882" ht="9" customHeight="1" hidden="1">
      <c r="A882" t="s" s="13">
        <v>3445</v>
      </c>
      <c r="B882" s="14"/>
      <c r="C882" t="str" s="14" cm="1">
        <f t="array" ref="C882">_xlfn.IFERROR((VLOOKUP(A882,#REF!,2,FALSE)),"")</f>
      </c>
      <c r="D882" t="s" s="15">
        <v>70</v>
      </c>
      <c r="E882" t="s" s="15">
        <v>450</v>
      </c>
      <c r="F882" s="14"/>
      <c r="G882" t="s" s="15">
        <v>3446</v>
      </c>
      <c r="H882" t="s" s="15">
        <v>3447</v>
      </c>
      <c r="I882" t="s" s="15">
        <v>111</v>
      </c>
      <c r="J882" t="s" s="15">
        <v>452</v>
      </c>
      <c r="K882" t="s" s="15">
        <v>113</v>
      </c>
      <c r="L882" t="s" s="15">
        <v>76</v>
      </c>
      <c r="M882" t="s" s="15">
        <v>3446</v>
      </c>
      <c r="N882" t="s" s="15">
        <v>3446</v>
      </c>
      <c r="O882" s="14"/>
      <c r="P882" t="s" s="15">
        <v>452</v>
      </c>
      <c r="Q882" t="s" s="15">
        <v>69</v>
      </c>
      <c r="R882" t="s" s="15">
        <v>83</v>
      </c>
      <c r="S882" s="14"/>
      <c r="T882" s="14"/>
      <c r="U882" s="14"/>
      <c r="V882" t="s" s="15">
        <v>69</v>
      </c>
      <c r="W882" s="14"/>
      <c r="X882" t="s" s="15">
        <v>69</v>
      </c>
      <c r="Y882" s="14"/>
      <c r="Z882" t="s" s="15">
        <v>76</v>
      </c>
      <c r="AA882" s="14"/>
      <c r="AB882" t="s" s="15">
        <v>76</v>
      </c>
      <c r="AC882" t="s" s="15">
        <v>3445</v>
      </c>
      <c r="AD882" t="s" s="15">
        <v>3448</v>
      </c>
      <c r="AE882" s="14"/>
      <c r="AF882" s="14"/>
      <c r="AG882" t="s" s="15">
        <v>453</v>
      </c>
      <c r="AH882" t="s" s="15">
        <v>106</v>
      </c>
      <c r="AI882" t="s" s="15">
        <v>76</v>
      </c>
      <c r="AJ882" t="s" s="15">
        <v>76</v>
      </c>
      <c r="AK882" t="s" s="15">
        <v>79</v>
      </c>
      <c r="AL882" t="s" s="15">
        <v>293</v>
      </c>
      <c r="AM882" t="s" s="15">
        <v>294</v>
      </c>
      <c r="AN882" t="s" s="15">
        <v>128</v>
      </c>
      <c r="AO882" s="17">
        <v>4</v>
      </c>
      <c r="AP882" s="17">
        <v>16384</v>
      </c>
      <c r="AQ882" s="17">
        <v>528504</v>
      </c>
      <c r="AR882" s="17">
        <v>300794</v>
      </c>
      <c r="AS882" t="s" s="15">
        <v>3449</v>
      </c>
      <c r="AT882" s="14"/>
      <c r="AU882" s="14"/>
      <c r="AV882" s="14"/>
      <c r="AW882" s="14"/>
      <c r="AX882" s="14"/>
      <c r="AY882" s="14"/>
      <c r="AZ882" s="14"/>
      <c r="BA882" s="14"/>
      <c r="BB882" s="14"/>
      <c r="BC882" s="14"/>
      <c r="BD882" s="14"/>
      <c r="BE882" s="14"/>
      <c r="BF882" s="14"/>
      <c r="BG882" s="14"/>
      <c r="BH882" s="14"/>
      <c r="BI882" s="14"/>
      <c r="BJ882" s="14"/>
      <c r="BK882" s="14"/>
      <c r="BL882" s="14"/>
      <c r="BM882" s="14"/>
      <c r="BN882" t="s" s="15">
        <v>78</v>
      </c>
      <c r="BO882" s="16"/>
      <c r="BP882" s="8"/>
    </row>
    <row r="883" ht="9" customHeight="1" hidden="1">
      <c r="A883" t="s" s="9">
        <v>3450</v>
      </c>
      <c r="B883" s="11"/>
      <c r="C883" t="str" s="11" cm="1">
        <f t="array" ref="C883">_xlfn.IFERROR((VLOOKUP(A883,#REF!,2,FALSE)),"")</f>
      </c>
      <c r="D883" t="s" s="10">
        <v>70</v>
      </c>
      <c r="E883" t="s" s="10">
        <v>450</v>
      </c>
      <c r="F883" s="11"/>
      <c r="G883" t="s" s="10">
        <v>3451</v>
      </c>
      <c r="H883" t="s" s="10">
        <v>3447</v>
      </c>
      <c r="I883" t="s" s="10">
        <v>111</v>
      </c>
      <c r="J883" t="s" s="10">
        <v>452</v>
      </c>
      <c r="K883" t="s" s="10">
        <v>113</v>
      </c>
      <c r="L883" t="s" s="10">
        <v>76</v>
      </c>
      <c r="M883" t="s" s="10">
        <v>3451</v>
      </c>
      <c r="N883" t="s" s="10">
        <v>3451</v>
      </c>
      <c r="O883" s="11"/>
      <c r="P883" t="s" s="10">
        <v>452</v>
      </c>
      <c r="Q883" t="s" s="10">
        <v>69</v>
      </c>
      <c r="R883" t="s" s="10">
        <v>83</v>
      </c>
      <c r="S883" s="11"/>
      <c r="T883" s="11"/>
      <c r="U883" s="11"/>
      <c r="V883" t="s" s="10">
        <v>69</v>
      </c>
      <c r="W883" s="11"/>
      <c r="X883" t="s" s="10">
        <v>69</v>
      </c>
      <c r="Y883" s="11"/>
      <c r="Z883" t="s" s="10">
        <v>76</v>
      </c>
      <c r="AA883" s="11"/>
      <c r="AB883" t="s" s="10">
        <v>76</v>
      </c>
      <c r="AC883" t="s" s="10">
        <v>3450</v>
      </c>
      <c r="AD883" t="s" s="10">
        <v>3452</v>
      </c>
      <c r="AE883" s="11"/>
      <c r="AF883" s="11"/>
      <c r="AG883" t="s" s="10">
        <v>453</v>
      </c>
      <c r="AH883" t="s" s="10">
        <v>106</v>
      </c>
      <c r="AI883" t="s" s="10">
        <v>76</v>
      </c>
      <c r="AJ883" t="s" s="10">
        <v>76</v>
      </c>
      <c r="AK883" t="s" s="10">
        <v>79</v>
      </c>
      <c r="AL883" t="s" s="10">
        <v>293</v>
      </c>
      <c r="AM883" t="s" s="10">
        <v>294</v>
      </c>
      <c r="AN883" t="s" s="10">
        <v>128</v>
      </c>
      <c r="AO883" s="18">
        <v>4</v>
      </c>
      <c r="AP883" s="18">
        <v>16384</v>
      </c>
      <c r="AQ883" s="18">
        <v>528516</v>
      </c>
      <c r="AR883" s="18">
        <v>303963</v>
      </c>
      <c r="AS883" t="s" s="10">
        <v>3453</v>
      </c>
      <c r="AT883" s="11"/>
      <c r="AU883" s="11"/>
      <c r="AV883" s="11"/>
      <c r="AW883" s="11"/>
      <c r="AX883" s="11"/>
      <c r="AY883" s="11"/>
      <c r="AZ883" s="11"/>
      <c r="BA883" s="11"/>
      <c r="BB883" s="11"/>
      <c r="BC883" s="11"/>
      <c r="BD883" s="11"/>
      <c r="BE883" s="11"/>
      <c r="BF883" s="11"/>
      <c r="BG883" s="11"/>
      <c r="BH883" s="11"/>
      <c r="BI883" s="11"/>
      <c r="BJ883" s="11"/>
      <c r="BK883" s="11"/>
      <c r="BL883" s="11"/>
      <c r="BM883" s="11"/>
      <c r="BN883" t="s" s="10">
        <v>78</v>
      </c>
      <c r="BO883" s="12"/>
      <c r="BP883" s="8"/>
    </row>
    <row r="884" ht="9" customHeight="1" hidden="1">
      <c r="A884" t="s" s="13">
        <v>3454</v>
      </c>
      <c r="B884" s="14"/>
      <c r="C884" t="str" s="14" cm="1">
        <f t="array" ref="C884">_xlfn.IFERROR((VLOOKUP(A884,#REF!,2,FALSE)),"")</f>
      </c>
      <c r="D884" t="s" s="15">
        <v>70</v>
      </c>
      <c r="E884" t="s" s="15">
        <v>450</v>
      </c>
      <c r="F884" s="14"/>
      <c r="G884" t="s" s="15">
        <v>3455</v>
      </c>
      <c r="H884" t="s" s="15">
        <v>3455</v>
      </c>
      <c r="I884" t="s" s="15">
        <v>111</v>
      </c>
      <c r="J884" t="s" s="15">
        <v>452</v>
      </c>
      <c r="K884" t="s" s="15">
        <v>113</v>
      </c>
      <c r="L884" t="s" s="15">
        <v>76</v>
      </c>
      <c r="M884" t="s" s="15">
        <v>3455</v>
      </c>
      <c r="N884" t="s" s="15">
        <v>3455</v>
      </c>
      <c r="O884" s="14"/>
      <c r="P884" t="s" s="15">
        <v>452</v>
      </c>
      <c r="Q884" t="s" s="15">
        <v>69</v>
      </c>
      <c r="R884" t="s" s="15">
        <v>83</v>
      </c>
      <c r="S884" s="14"/>
      <c r="T884" s="14"/>
      <c r="U884" s="14"/>
      <c r="V884" t="s" s="15">
        <v>69</v>
      </c>
      <c r="W884" s="14"/>
      <c r="X884" t="s" s="15">
        <v>69</v>
      </c>
      <c r="Y884" s="14"/>
      <c r="Z884" t="s" s="15">
        <v>76</v>
      </c>
      <c r="AA884" s="14"/>
      <c r="AB884" t="s" s="15">
        <v>76</v>
      </c>
      <c r="AC884" t="s" s="15">
        <v>3454</v>
      </c>
      <c r="AD884" t="s" s="15">
        <v>3456</v>
      </c>
      <c r="AE884" s="14"/>
      <c r="AF884" s="14"/>
      <c r="AG884" t="s" s="15">
        <v>453</v>
      </c>
      <c r="AH884" t="s" s="15">
        <v>106</v>
      </c>
      <c r="AI884" t="s" s="15">
        <v>76</v>
      </c>
      <c r="AJ884" t="s" s="15">
        <v>76</v>
      </c>
      <c r="AK884" t="s" s="15">
        <v>79</v>
      </c>
      <c r="AL884" t="s" s="15">
        <v>293</v>
      </c>
      <c r="AM884" t="s" s="15">
        <v>294</v>
      </c>
      <c r="AN884" t="s" s="15">
        <v>128</v>
      </c>
      <c r="AO884" s="17">
        <v>4</v>
      </c>
      <c r="AP884" s="17">
        <v>6144</v>
      </c>
      <c r="AQ884" s="17">
        <v>364676</v>
      </c>
      <c r="AR884" s="17">
        <v>199076</v>
      </c>
      <c r="AS884" t="s" s="15">
        <v>3457</v>
      </c>
      <c r="AT884" s="14"/>
      <c r="AU884" s="14"/>
      <c r="AV884" s="14"/>
      <c r="AW884" s="14"/>
      <c r="AX884" s="14"/>
      <c r="AY884" s="14"/>
      <c r="AZ884" s="14"/>
      <c r="BA884" s="14"/>
      <c r="BB884" s="14"/>
      <c r="BC884" s="14"/>
      <c r="BD884" s="14"/>
      <c r="BE884" s="14"/>
      <c r="BF884" s="14"/>
      <c r="BG884" s="14"/>
      <c r="BH884" s="14"/>
      <c r="BI884" s="14"/>
      <c r="BJ884" s="14"/>
      <c r="BK884" s="14"/>
      <c r="BL884" s="14"/>
      <c r="BM884" s="14"/>
      <c r="BN884" t="s" s="15">
        <v>78</v>
      </c>
      <c r="BO884" s="16"/>
      <c r="BP884" s="8"/>
    </row>
    <row r="885" ht="9" customHeight="1" hidden="1">
      <c r="A885" t="s" s="9">
        <v>3458</v>
      </c>
      <c r="B885" s="11"/>
      <c r="C885" t="str" s="11" cm="1">
        <f t="array" ref="C885">_xlfn.IFERROR((VLOOKUP(A885,#REF!,2,FALSE)),"")</f>
      </c>
      <c r="D885" t="s" s="10">
        <v>70</v>
      </c>
      <c r="E885" t="s" s="10">
        <v>450</v>
      </c>
      <c r="F885" s="11"/>
      <c r="G885" t="s" s="10">
        <v>3459</v>
      </c>
      <c r="H885" t="s" s="10">
        <v>3459</v>
      </c>
      <c r="I885" t="s" s="10">
        <v>111</v>
      </c>
      <c r="J885" t="s" s="10">
        <v>452</v>
      </c>
      <c r="K885" t="s" s="10">
        <v>113</v>
      </c>
      <c r="L885" t="s" s="10">
        <v>76</v>
      </c>
      <c r="M885" t="s" s="10">
        <v>3459</v>
      </c>
      <c r="N885" t="s" s="10">
        <v>3459</v>
      </c>
      <c r="O885" s="11"/>
      <c r="P885" t="s" s="10">
        <v>452</v>
      </c>
      <c r="Q885" t="s" s="10">
        <v>69</v>
      </c>
      <c r="R885" t="s" s="10">
        <v>83</v>
      </c>
      <c r="S885" s="11"/>
      <c r="T885" s="11"/>
      <c r="U885" s="11"/>
      <c r="V885" t="s" s="10">
        <v>69</v>
      </c>
      <c r="W885" s="11"/>
      <c r="X885" t="s" s="10">
        <v>69</v>
      </c>
      <c r="Y885" s="11"/>
      <c r="Z885" t="s" s="10">
        <v>76</v>
      </c>
      <c r="AA885" s="11"/>
      <c r="AB885" t="s" s="10">
        <v>76</v>
      </c>
      <c r="AC885" t="s" s="10">
        <v>3458</v>
      </c>
      <c r="AD885" t="s" s="10">
        <v>3460</v>
      </c>
      <c r="AE885" s="11"/>
      <c r="AF885" s="11"/>
      <c r="AG885" t="s" s="10">
        <v>453</v>
      </c>
      <c r="AH885" t="s" s="10">
        <v>106</v>
      </c>
      <c r="AI885" t="s" s="10">
        <v>76</v>
      </c>
      <c r="AJ885" t="s" s="10">
        <v>76</v>
      </c>
      <c r="AK885" t="s" s="10">
        <v>79</v>
      </c>
      <c r="AL885" t="s" s="10">
        <v>293</v>
      </c>
      <c r="AM885" t="s" s="10">
        <v>294</v>
      </c>
      <c r="AN885" t="s" s="10">
        <v>128</v>
      </c>
      <c r="AO885" s="18">
        <v>4</v>
      </c>
      <c r="AP885" s="18">
        <v>6144</v>
      </c>
      <c r="AQ885" s="18">
        <v>364665</v>
      </c>
      <c r="AR885" s="18">
        <v>199762</v>
      </c>
      <c r="AS885" t="s" s="10">
        <v>3461</v>
      </c>
      <c r="AT885" s="11"/>
      <c r="AU885" s="11"/>
      <c r="AV885" s="11"/>
      <c r="AW885" s="11"/>
      <c r="AX885" s="11"/>
      <c r="AY885" s="11"/>
      <c r="AZ885" s="11"/>
      <c r="BA885" s="11"/>
      <c r="BB885" s="11"/>
      <c r="BC885" s="11"/>
      <c r="BD885" s="11"/>
      <c r="BE885" s="11"/>
      <c r="BF885" s="11"/>
      <c r="BG885" s="11"/>
      <c r="BH885" s="11"/>
      <c r="BI885" s="11"/>
      <c r="BJ885" s="11"/>
      <c r="BK885" s="11"/>
      <c r="BL885" s="11"/>
      <c r="BM885" s="11"/>
      <c r="BN885" t="s" s="10">
        <v>78</v>
      </c>
      <c r="BO885" s="12"/>
      <c r="BP885" s="8"/>
    </row>
    <row r="886" ht="9" customHeight="1" hidden="1">
      <c r="A886" t="s" s="13">
        <v>3462</v>
      </c>
      <c r="B886" s="14"/>
      <c r="C886" t="str" s="14" cm="1">
        <f t="array" ref="C886">_xlfn.IFERROR((VLOOKUP(A886,#REF!,2,FALSE)),"")</f>
      </c>
      <c r="D886" t="s" s="15">
        <v>70</v>
      </c>
      <c r="E886" t="s" s="15">
        <v>450</v>
      </c>
      <c r="F886" s="14"/>
      <c r="G886" t="s" s="15">
        <v>3463</v>
      </c>
      <c r="H886" t="s" s="15">
        <v>492</v>
      </c>
      <c r="I886" t="s" s="15">
        <v>111</v>
      </c>
      <c r="J886" t="s" s="15">
        <v>452</v>
      </c>
      <c r="K886" t="s" s="15">
        <v>113</v>
      </c>
      <c r="L886" t="s" s="15">
        <v>493</v>
      </c>
      <c r="M886" t="s" s="15">
        <v>3464</v>
      </c>
      <c r="N886" t="s" s="15">
        <v>3464</v>
      </c>
      <c r="O886" s="14"/>
      <c r="P886" t="s" s="15">
        <v>452</v>
      </c>
      <c r="Q886" t="s" s="15">
        <v>69</v>
      </c>
      <c r="R886" t="s" s="15">
        <v>83</v>
      </c>
      <c r="S886" s="14"/>
      <c r="T886" s="14"/>
      <c r="U886" s="14"/>
      <c r="V886" t="s" s="15">
        <v>69</v>
      </c>
      <c r="W886" s="14"/>
      <c r="X886" t="s" s="15">
        <v>69</v>
      </c>
      <c r="Y886" s="14"/>
      <c r="Z886" t="s" s="15">
        <v>495</v>
      </c>
      <c r="AA886" s="14"/>
      <c r="AB886" t="s" s="15">
        <v>495</v>
      </c>
      <c r="AC886" t="s" s="15">
        <v>3462</v>
      </c>
      <c r="AD886" t="s" s="15">
        <v>3465</v>
      </c>
      <c r="AE886" s="14"/>
      <c r="AF886" t="s" s="15">
        <v>492</v>
      </c>
      <c r="AG886" t="s" s="15">
        <v>453</v>
      </c>
      <c r="AH886" t="s" s="15">
        <v>114</v>
      </c>
      <c r="AI886" t="s" s="15">
        <v>332</v>
      </c>
      <c r="AJ886" t="s" s="15">
        <v>473</v>
      </c>
      <c r="AK886" t="s" s="15">
        <v>83</v>
      </c>
      <c r="AL886" t="s" s="15">
        <v>293</v>
      </c>
      <c r="AM886" t="s" s="15">
        <v>294</v>
      </c>
      <c r="AN886" t="s" s="15">
        <v>128</v>
      </c>
      <c r="AO886" s="17">
        <v>4</v>
      </c>
      <c r="AP886" s="17">
        <v>16384</v>
      </c>
      <c r="AQ886" s="17">
        <v>630904</v>
      </c>
      <c r="AR886" s="17">
        <v>334829</v>
      </c>
      <c r="AS886" t="s" s="15">
        <v>3466</v>
      </c>
      <c r="AT886" s="14"/>
      <c r="AU886" s="14"/>
      <c r="AV886" s="14"/>
      <c r="AW886" s="14"/>
      <c r="AX886" s="14"/>
      <c r="AY886" s="14"/>
      <c r="AZ886" s="14"/>
      <c r="BA886" s="14"/>
      <c r="BB886" s="14"/>
      <c r="BC886" s="14"/>
      <c r="BD886" t="s" s="15">
        <v>366</v>
      </c>
      <c r="BE886" t="s" s="15">
        <v>394</v>
      </c>
      <c r="BF886" s="17">
        <v>4</v>
      </c>
      <c r="BG886" s="17">
        <v>16</v>
      </c>
      <c r="BH886" s="14"/>
      <c r="BI886" s="14"/>
      <c r="BJ886" s="14"/>
      <c r="BK886" s="14"/>
      <c r="BL886" s="14"/>
      <c r="BM886" s="14"/>
      <c r="BN886" t="s" s="15">
        <v>78</v>
      </c>
      <c r="BO886" s="16"/>
      <c r="BP886" s="8"/>
    </row>
    <row r="887" ht="9" customHeight="1" hidden="1">
      <c r="A887" t="s" s="9">
        <v>3467</v>
      </c>
      <c r="B887" s="11"/>
      <c r="C887" t="str" s="11" cm="1">
        <f t="array" ref="C887">_xlfn.IFERROR((VLOOKUP(A887,#REF!,2,FALSE)),"")</f>
      </c>
      <c r="D887" t="s" s="10">
        <v>70</v>
      </c>
      <c r="E887" t="s" s="10">
        <v>450</v>
      </c>
      <c r="F887" s="11"/>
      <c r="G887" t="s" s="10">
        <v>3468</v>
      </c>
      <c r="H887" t="s" s="10">
        <v>492</v>
      </c>
      <c r="I887" t="s" s="10">
        <v>111</v>
      </c>
      <c r="J887" t="s" s="10">
        <v>452</v>
      </c>
      <c r="K887" t="s" s="10">
        <v>113</v>
      </c>
      <c r="L887" t="s" s="10">
        <v>493</v>
      </c>
      <c r="M887" t="s" s="10">
        <v>3469</v>
      </c>
      <c r="N887" t="s" s="10">
        <v>3469</v>
      </c>
      <c r="O887" s="11"/>
      <c r="P887" t="s" s="10">
        <v>452</v>
      </c>
      <c r="Q887" t="s" s="10">
        <v>69</v>
      </c>
      <c r="R887" t="s" s="10">
        <v>83</v>
      </c>
      <c r="S887" s="11"/>
      <c r="T887" s="11"/>
      <c r="U887" s="11"/>
      <c r="V887" t="s" s="10">
        <v>69</v>
      </c>
      <c r="W887" s="11"/>
      <c r="X887" t="s" s="10">
        <v>69</v>
      </c>
      <c r="Y887" s="11"/>
      <c r="Z887" t="s" s="10">
        <v>495</v>
      </c>
      <c r="AA887" s="11"/>
      <c r="AB887" t="s" s="10">
        <v>495</v>
      </c>
      <c r="AC887" t="s" s="10">
        <v>3467</v>
      </c>
      <c r="AD887" t="s" s="10">
        <v>3470</v>
      </c>
      <c r="AE887" s="11"/>
      <c r="AF887" t="s" s="10">
        <v>492</v>
      </c>
      <c r="AG887" t="s" s="10">
        <v>453</v>
      </c>
      <c r="AH887" t="s" s="10">
        <v>114</v>
      </c>
      <c r="AI887" t="s" s="10">
        <v>332</v>
      </c>
      <c r="AJ887" t="s" s="10">
        <v>473</v>
      </c>
      <c r="AK887" t="s" s="10">
        <v>83</v>
      </c>
      <c r="AL887" t="s" s="10">
        <v>293</v>
      </c>
      <c r="AM887" t="s" s="10">
        <v>294</v>
      </c>
      <c r="AN887" t="s" s="10">
        <v>128</v>
      </c>
      <c r="AO887" s="18">
        <v>4</v>
      </c>
      <c r="AP887" s="18">
        <v>94208</v>
      </c>
      <c r="AQ887" s="18">
        <v>1220726</v>
      </c>
      <c r="AR887" s="18">
        <v>711056</v>
      </c>
      <c r="AS887" t="s" s="10">
        <v>3471</v>
      </c>
      <c r="AT887" s="11"/>
      <c r="AU887" s="11"/>
      <c r="AV887" s="11"/>
      <c r="AW887" s="11"/>
      <c r="AX887" s="11"/>
      <c r="AY887" s="11"/>
      <c r="AZ887" s="11"/>
      <c r="BA887" s="11"/>
      <c r="BB887" s="11"/>
      <c r="BC887" s="11"/>
      <c r="BD887" t="s" s="10">
        <v>428</v>
      </c>
      <c r="BE887" t="s" s="10">
        <v>3398</v>
      </c>
      <c r="BF887" s="18">
        <v>4</v>
      </c>
      <c r="BG887" s="18">
        <v>128</v>
      </c>
      <c r="BH887" s="11"/>
      <c r="BI887" s="11"/>
      <c r="BJ887" s="11"/>
      <c r="BK887" s="11"/>
      <c r="BL887" s="11"/>
      <c r="BM887" s="11"/>
      <c r="BN887" t="s" s="10">
        <v>78</v>
      </c>
      <c r="BO887" s="12"/>
      <c r="BP887" s="8"/>
    </row>
    <row r="888" ht="9" customHeight="1" hidden="1">
      <c r="A888" t="s" s="13">
        <v>3472</v>
      </c>
      <c r="B888" s="14"/>
      <c r="C888" t="str" s="14" cm="1">
        <f t="array" ref="C888">_xlfn.IFERROR((VLOOKUP(A888,#REF!,2,FALSE)),"")</f>
      </c>
      <c r="D888" t="s" s="15">
        <v>70</v>
      </c>
      <c r="E888" t="s" s="15">
        <v>450</v>
      </c>
      <c r="F888" s="14"/>
      <c r="G888" t="s" s="15">
        <v>3473</v>
      </c>
      <c r="H888" t="s" s="15">
        <v>3474</v>
      </c>
      <c r="I888" t="s" s="15">
        <v>111</v>
      </c>
      <c r="J888" t="s" s="15">
        <v>452</v>
      </c>
      <c r="K888" t="s" s="15">
        <v>113</v>
      </c>
      <c r="L888" t="s" s="15">
        <v>76</v>
      </c>
      <c r="M888" t="s" s="15">
        <v>3473</v>
      </c>
      <c r="N888" t="s" s="15">
        <v>3473</v>
      </c>
      <c r="O888" s="14"/>
      <c r="P888" t="s" s="15">
        <v>452</v>
      </c>
      <c r="Q888" t="s" s="15">
        <v>69</v>
      </c>
      <c r="R888" t="s" s="15">
        <v>83</v>
      </c>
      <c r="S888" s="14"/>
      <c r="T888" s="14"/>
      <c r="U888" s="14"/>
      <c r="V888" t="s" s="15">
        <v>69</v>
      </c>
      <c r="W888" s="14"/>
      <c r="X888" t="s" s="15">
        <v>69</v>
      </c>
      <c r="Y888" s="14"/>
      <c r="Z888" t="s" s="15">
        <v>76</v>
      </c>
      <c r="AA888" s="14"/>
      <c r="AB888" t="s" s="15">
        <v>76</v>
      </c>
      <c r="AC888" t="s" s="15">
        <v>3472</v>
      </c>
      <c r="AD888" t="s" s="15">
        <v>3475</v>
      </c>
      <c r="AE888" s="14"/>
      <c r="AF888" s="14"/>
      <c r="AG888" t="s" s="15">
        <v>453</v>
      </c>
      <c r="AH888" t="s" s="15">
        <v>106</v>
      </c>
      <c r="AI888" t="s" s="15">
        <v>76</v>
      </c>
      <c r="AJ888" t="s" s="15">
        <v>76</v>
      </c>
      <c r="AK888" t="s" s="15">
        <v>79</v>
      </c>
      <c r="AL888" t="s" s="15">
        <v>293</v>
      </c>
      <c r="AM888" t="s" s="15">
        <v>294</v>
      </c>
      <c r="AN888" t="s" s="15">
        <v>128</v>
      </c>
      <c r="AO888" s="17">
        <v>4</v>
      </c>
      <c r="AP888" s="17">
        <v>4096</v>
      </c>
      <c r="AQ888" s="17">
        <v>618616</v>
      </c>
      <c r="AR888" s="17">
        <v>319529</v>
      </c>
      <c r="AS888" t="s" s="15">
        <v>3476</v>
      </c>
      <c r="AT888" s="14"/>
      <c r="AU888" s="14"/>
      <c r="AV888" s="14"/>
      <c r="AW888" s="14"/>
      <c r="AX888" s="14"/>
      <c r="AY888" s="14"/>
      <c r="AZ888" s="14"/>
      <c r="BA888" s="14"/>
      <c r="BB888" s="14"/>
      <c r="BC888" s="14"/>
      <c r="BD888" s="14"/>
      <c r="BE888" s="14"/>
      <c r="BF888" s="14"/>
      <c r="BG888" s="14"/>
      <c r="BH888" s="14"/>
      <c r="BI888" s="14"/>
      <c r="BJ888" s="14"/>
      <c r="BK888" s="14"/>
      <c r="BL888" s="14"/>
      <c r="BM888" s="14"/>
      <c r="BN888" t="s" s="15">
        <v>78</v>
      </c>
      <c r="BO888" s="16"/>
      <c r="BP888" s="8"/>
    </row>
    <row r="889" ht="9" customHeight="1" hidden="1">
      <c r="A889" t="s" s="9">
        <v>3477</v>
      </c>
      <c r="B889" s="11"/>
      <c r="C889" t="str" s="11" cm="1">
        <f t="array" ref="C889">_xlfn.IFERROR((VLOOKUP(A889,#REF!,2,FALSE)),"")</f>
      </c>
      <c r="D889" s="11"/>
      <c r="E889" s="11"/>
      <c r="F889" s="11"/>
      <c r="G889" t="s" s="10">
        <v>3478</v>
      </c>
      <c r="H889" t="s" s="10">
        <v>3478</v>
      </c>
      <c r="I889" t="s" s="10">
        <v>111</v>
      </c>
      <c r="J889" t="s" s="10">
        <v>452</v>
      </c>
      <c r="K889" t="s" s="10">
        <v>113</v>
      </c>
      <c r="L889" t="s" s="10">
        <v>76</v>
      </c>
      <c r="M889" t="s" s="10">
        <v>3478</v>
      </c>
      <c r="N889" t="s" s="10">
        <v>3478</v>
      </c>
      <c r="O889" s="11"/>
      <c r="P889" t="s" s="10">
        <v>452</v>
      </c>
      <c r="Q889" t="s" s="10">
        <v>69</v>
      </c>
      <c r="R889" t="s" s="10">
        <v>83</v>
      </c>
      <c r="S889" s="11"/>
      <c r="T889" s="11"/>
      <c r="U889" s="11"/>
      <c r="V889" t="s" s="10">
        <v>69</v>
      </c>
      <c r="W889" s="11"/>
      <c r="X889" t="s" s="10">
        <v>69</v>
      </c>
      <c r="Y889" s="11"/>
      <c r="Z889" t="s" s="10">
        <v>76</v>
      </c>
      <c r="AA889" s="11"/>
      <c r="AB889" t="s" s="10">
        <v>76</v>
      </c>
      <c r="AC889" t="s" s="10">
        <v>3477</v>
      </c>
      <c r="AD889" t="s" s="10">
        <v>3479</v>
      </c>
      <c r="AE889" s="11"/>
      <c r="AF889" s="11"/>
      <c r="AG889" t="s" s="10">
        <v>453</v>
      </c>
      <c r="AH889" t="s" s="10">
        <v>106</v>
      </c>
      <c r="AI889" t="s" s="10">
        <v>76</v>
      </c>
      <c r="AJ889" t="s" s="10">
        <v>76</v>
      </c>
      <c r="AK889" t="s" s="10">
        <v>79</v>
      </c>
      <c r="AL889" t="s" s="10">
        <v>293</v>
      </c>
      <c r="AM889" t="s" s="10">
        <v>294</v>
      </c>
      <c r="AN889" t="s" s="10">
        <v>635</v>
      </c>
      <c r="AO889" s="18">
        <v>4</v>
      </c>
      <c r="AP889" s="18">
        <v>4096</v>
      </c>
      <c r="AQ889" s="18">
        <v>1847418</v>
      </c>
      <c r="AR889" s="18">
        <v>951716</v>
      </c>
      <c r="AS889" t="s" s="10">
        <v>3480</v>
      </c>
      <c r="AT889" s="11"/>
      <c r="AU889" s="11"/>
      <c r="AV889" s="11"/>
      <c r="AW889" s="11"/>
      <c r="AX889" s="11"/>
      <c r="AY889" s="11"/>
      <c r="AZ889" s="11"/>
      <c r="BA889" s="11"/>
      <c r="BB889" s="11"/>
      <c r="BC889" s="11"/>
      <c r="BD889" s="11"/>
      <c r="BE889" s="11"/>
      <c r="BF889" s="11"/>
      <c r="BG889" s="11"/>
      <c r="BH889" s="11"/>
      <c r="BI889" s="11"/>
      <c r="BJ889" s="11"/>
      <c r="BK889" s="11"/>
      <c r="BL889" s="11"/>
      <c r="BM889" s="11"/>
      <c r="BN889" t="s" s="10">
        <v>78</v>
      </c>
      <c r="BO889" s="12"/>
      <c r="BP889" s="8"/>
    </row>
    <row r="890" ht="9" customHeight="1" hidden="1">
      <c r="A890" t="s" s="13">
        <v>3481</v>
      </c>
      <c r="B890" s="14"/>
      <c r="C890" t="str" s="14" cm="1">
        <f t="array" ref="C890">_xlfn.IFERROR((VLOOKUP(A890,#REF!,2,FALSE)),"")</f>
      </c>
      <c r="D890" t="s" s="15">
        <v>70</v>
      </c>
      <c r="E890" t="s" s="15">
        <v>450</v>
      </c>
      <c r="F890" s="14"/>
      <c r="G890" t="s" s="15">
        <v>3482</v>
      </c>
      <c r="H890" t="s" s="15">
        <v>3483</v>
      </c>
      <c r="I890" t="s" s="15">
        <v>111</v>
      </c>
      <c r="J890" t="s" s="15">
        <v>452</v>
      </c>
      <c r="K890" t="s" s="15">
        <v>113</v>
      </c>
      <c r="L890" t="s" s="15">
        <v>76</v>
      </c>
      <c r="M890" t="s" s="15">
        <v>3482</v>
      </c>
      <c r="N890" t="s" s="15">
        <v>3482</v>
      </c>
      <c r="O890" s="14"/>
      <c r="P890" t="s" s="15">
        <v>452</v>
      </c>
      <c r="Q890" t="s" s="15">
        <v>69</v>
      </c>
      <c r="R890" t="s" s="15">
        <v>83</v>
      </c>
      <c r="S890" s="14"/>
      <c r="T890" s="14"/>
      <c r="U890" s="14"/>
      <c r="V890" t="s" s="15">
        <v>69</v>
      </c>
      <c r="W890" s="14"/>
      <c r="X890" t="s" s="15">
        <v>69</v>
      </c>
      <c r="Y890" s="14"/>
      <c r="Z890" t="s" s="15">
        <v>76</v>
      </c>
      <c r="AA890" s="14"/>
      <c r="AB890" t="s" s="15">
        <v>76</v>
      </c>
      <c r="AC890" t="s" s="15">
        <v>3481</v>
      </c>
      <c r="AD890" t="s" s="15">
        <v>3484</v>
      </c>
      <c r="AE890" s="14"/>
      <c r="AF890" s="14"/>
      <c r="AG890" t="s" s="15">
        <v>453</v>
      </c>
      <c r="AH890" t="s" s="15">
        <v>106</v>
      </c>
      <c r="AI890" t="s" s="15">
        <v>76</v>
      </c>
      <c r="AJ890" t="s" s="15">
        <v>76</v>
      </c>
      <c r="AK890" t="s" s="15">
        <v>79</v>
      </c>
      <c r="AL890" t="s" s="15">
        <v>293</v>
      </c>
      <c r="AM890" t="s" s="15">
        <v>294</v>
      </c>
      <c r="AN890" t="s" s="15">
        <v>635</v>
      </c>
      <c r="AO890" s="17">
        <v>4</v>
      </c>
      <c r="AP890" s="17">
        <v>4096</v>
      </c>
      <c r="AQ890" s="17">
        <v>413816</v>
      </c>
      <c r="AR890" s="17">
        <v>221758</v>
      </c>
      <c r="AS890" t="s" s="15">
        <v>3485</v>
      </c>
      <c r="AT890" s="14"/>
      <c r="AU890" s="14"/>
      <c r="AV890" s="14"/>
      <c r="AW890" s="14"/>
      <c r="AX890" s="14"/>
      <c r="AY890" s="14"/>
      <c r="AZ890" s="14"/>
      <c r="BA890" s="14"/>
      <c r="BB890" s="14"/>
      <c r="BC890" s="14"/>
      <c r="BD890" s="14"/>
      <c r="BE890" s="14"/>
      <c r="BF890" s="14"/>
      <c r="BG890" s="14"/>
      <c r="BH890" s="14"/>
      <c r="BI890" s="14"/>
      <c r="BJ890" s="14"/>
      <c r="BK890" s="14"/>
      <c r="BL890" s="14"/>
      <c r="BM890" s="14"/>
      <c r="BN890" t="s" s="15">
        <v>78</v>
      </c>
      <c r="BO890" s="16"/>
      <c r="BP890" s="8"/>
    </row>
    <row r="891" ht="9" customHeight="1" hidden="1">
      <c r="A891" t="s" s="9">
        <v>3486</v>
      </c>
      <c r="B891" s="11"/>
      <c r="C891" t="str" s="11" cm="1">
        <f t="array" ref="C891">_xlfn.IFERROR((VLOOKUP(A891,#REF!,2,FALSE)),"")</f>
      </c>
      <c r="D891" t="s" s="10">
        <v>70</v>
      </c>
      <c r="E891" t="s" s="10">
        <v>450</v>
      </c>
      <c r="F891" s="11"/>
      <c r="G891" t="s" s="10">
        <v>3487</v>
      </c>
      <c r="H891" t="s" s="10">
        <v>3488</v>
      </c>
      <c r="I891" t="s" s="10">
        <v>111</v>
      </c>
      <c r="J891" t="s" s="10">
        <v>452</v>
      </c>
      <c r="K891" t="s" s="10">
        <v>113</v>
      </c>
      <c r="L891" t="s" s="10">
        <v>76</v>
      </c>
      <c r="M891" t="s" s="10">
        <v>3487</v>
      </c>
      <c r="N891" t="s" s="10">
        <v>3487</v>
      </c>
      <c r="O891" s="11"/>
      <c r="P891" t="s" s="10">
        <v>452</v>
      </c>
      <c r="Q891" t="s" s="10">
        <v>69</v>
      </c>
      <c r="R891" t="s" s="10">
        <v>83</v>
      </c>
      <c r="S891" s="11"/>
      <c r="T891" s="11"/>
      <c r="U891" s="11"/>
      <c r="V891" t="s" s="10">
        <v>69</v>
      </c>
      <c r="W891" s="11"/>
      <c r="X891" t="s" s="10">
        <v>69</v>
      </c>
      <c r="Y891" s="11"/>
      <c r="Z891" t="s" s="10">
        <v>76</v>
      </c>
      <c r="AA891" s="11"/>
      <c r="AB891" t="s" s="10">
        <v>76</v>
      </c>
      <c r="AC891" t="s" s="10">
        <v>3486</v>
      </c>
      <c r="AD891" t="s" s="10">
        <v>3489</v>
      </c>
      <c r="AE891" s="11"/>
      <c r="AF891" s="11"/>
      <c r="AG891" t="s" s="10">
        <v>453</v>
      </c>
      <c r="AH891" t="s" s="10">
        <v>106</v>
      </c>
      <c r="AI891" t="s" s="10">
        <v>76</v>
      </c>
      <c r="AJ891" t="s" s="10">
        <v>76</v>
      </c>
      <c r="AK891" t="s" s="10">
        <v>79</v>
      </c>
      <c r="AL891" t="s" s="10">
        <v>293</v>
      </c>
      <c r="AM891" t="s" s="10">
        <v>294</v>
      </c>
      <c r="AN891" t="s" s="10">
        <v>650</v>
      </c>
      <c r="AO891" s="18">
        <v>4</v>
      </c>
      <c r="AP891" s="18">
        <v>4096</v>
      </c>
      <c r="AQ891" s="18">
        <v>413816</v>
      </c>
      <c r="AR891" s="18">
        <v>222420</v>
      </c>
      <c r="AS891" t="s" s="10">
        <v>3490</v>
      </c>
      <c r="AT891" s="11"/>
      <c r="AU891" s="11"/>
      <c r="AV891" s="11"/>
      <c r="AW891" s="11"/>
      <c r="AX891" s="11"/>
      <c r="AY891" s="11"/>
      <c r="AZ891" s="11"/>
      <c r="BA891" s="11"/>
      <c r="BB891" s="11"/>
      <c r="BC891" s="11"/>
      <c r="BD891" s="11"/>
      <c r="BE891" s="11"/>
      <c r="BF891" s="11"/>
      <c r="BG891" s="11"/>
      <c r="BH891" s="11"/>
      <c r="BI891" s="11"/>
      <c r="BJ891" s="11"/>
      <c r="BK891" s="11"/>
      <c r="BL891" s="11"/>
      <c r="BM891" s="11"/>
      <c r="BN891" t="s" s="10">
        <v>78</v>
      </c>
      <c r="BO891" s="12"/>
      <c r="BP891" s="8"/>
    </row>
    <row r="892" ht="9" customHeight="1" hidden="1">
      <c r="A892" t="s" s="13">
        <v>3491</v>
      </c>
      <c r="B892" s="14"/>
      <c r="C892" t="str" s="14" cm="1">
        <f t="array" ref="C892">_xlfn.IFERROR((VLOOKUP(A892,#REF!,2,FALSE)),"")</f>
      </c>
      <c r="D892" t="s" s="15">
        <v>70</v>
      </c>
      <c r="E892" t="s" s="15">
        <v>450</v>
      </c>
      <c r="F892" s="14"/>
      <c r="G892" t="s" s="15">
        <v>3492</v>
      </c>
      <c r="H892" t="s" s="15">
        <v>3492</v>
      </c>
      <c r="I892" t="s" s="15">
        <v>111</v>
      </c>
      <c r="J892" t="s" s="15">
        <v>452</v>
      </c>
      <c r="K892" t="s" s="15">
        <v>113</v>
      </c>
      <c r="L892" t="s" s="15">
        <v>76</v>
      </c>
      <c r="M892" t="s" s="15">
        <v>3492</v>
      </c>
      <c r="N892" t="s" s="15">
        <v>3492</v>
      </c>
      <c r="O892" s="14"/>
      <c r="P892" t="s" s="15">
        <v>452</v>
      </c>
      <c r="Q892" t="s" s="15">
        <v>69</v>
      </c>
      <c r="R892" t="s" s="15">
        <v>83</v>
      </c>
      <c r="S892" s="14"/>
      <c r="T892" s="14"/>
      <c r="U892" s="14"/>
      <c r="V892" t="s" s="15">
        <v>69</v>
      </c>
      <c r="W892" s="14"/>
      <c r="X892" t="s" s="15">
        <v>69</v>
      </c>
      <c r="Y892" s="14"/>
      <c r="Z892" t="s" s="15">
        <v>76</v>
      </c>
      <c r="AA892" s="14"/>
      <c r="AB892" t="s" s="15">
        <v>76</v>
      </c>
      <c r="AC892" t="s" s="15">
        <v>3491</v>
      </c>
      <c r="AD892" t="s" s="15">
        <v>3493</v>
      </c>
      <c r="AE892" s="14"/>
      <c r="AF892" s="14"/>
      <c r="AG892" t="s" s="15">
        <v>453</v>
      </c>
      <c r="AH892" t="s" s="15">
        <v>106</v>
      </c>
      <c r="AI892" t="s" s="15">
        <v>76</v>
      </c>
      <c r="AJ892" t="s" s="15">
        <v>76</v>
      </c>
      <c r="AK892" t="s" s="15">
        <v>79</v>
      </c>
      <c r="AL892" t="s" s="15">
        <v>293</v>
      </c>
      <c r="AM892" t="s" s="15">
        <v>294</v>
      </c>
      <c r="AN892" t="s" s="15">
        <v>128</v>
      </c>
      <c r="AO892" s="17">
        <v>4</v>
      </c>
      <c r="AP892" s="17">
        <v>4096</v>
      </c>
      <c r="AQ892" s="17">
        <v>11728607</v>
      </c>
      <c r="AR892" s="17">
        <v>5877218</v>
      </c>
      <c r="AS892" t="s" s="15">
        <v>3494</v>
      </c>
      <c r="AT892" s="14"/>
      <c r="AU892" s="14"/>
      <c r="AV892" s="14"/>
      <c r="AW892" s="14"/>
      <c r="AX892" s="14"/>
      <c r="AY892" s="14"/>
      <c r="AZ892" s="14"/>
      <c r="BA892" s="14"/>
      <c r="BB892" s="14"/>
      <c r="BC892" s="14"/>
      <c r="BD892" s="14"/>
      <c r="BE892" s="14"/>
      <c r="BF892" s="14"/>
      <c r="BG892" s="14"/>
      <c r="BH892" s="14"/>
      <c r="BI892" s="14"/>
      <c r="BJ892" s="14"/>
      <c r="BK892" s="14"/>
      <c r="BL892" s="14"/>
      <c r="BM892" s="14"/>
      <c r="BN892" t="s" s="15">
        <v>78</v>
      </c>
      <c r="BO892" s="16"/>
      <c r="BP892" s="8"/>
    </row>
    <row r="893" ht="9" customHeight="1" hidden="1">
      <c r="A893" t="s" s="9">
        <v>3495</v>
      </c>
      <c r="B893" s="11"/>
      <c r="C893" t="str" s="11" cm="1">
        <f t="array" ref="C893">_xlfn.IFERROR((VLOOKUP(A893,#REF!,2,FALSE)),"")</f>
      </c>
      <c r="D893" t="s" s="10">
        <v>70</v>
      </c>
      <c r="E893" t="s" s="10">
        <v>450</v>
      </c>
      <c r="F893" s="11"/>
      <c r="G893" t="s" s="10">
        <v>3496</v>
      </c>
      <c r="H893" t="s" s="10">
        <v>3496</v>
      </c>
      <c r="I893" t="s" s="10">
        <v>111</v>
      </c>
      <c r="J893" t="s" s="10">
        <v>452</v>
      </c>
      <c r="K893" t="s" s="10">
        <v>113</v>
      </c>
      <c r="L893" t="s" s="10">
        <v>76</v>
      </c>
      <c r="M893" t="s" s="10">
        <v>3496</v>
      </c>
      <c r="N893" t="s" s="10">
        <v>3496</v>
      </c>
      <c r="O893" s="11"/>
      <c r="P893" t="s" s="10">
        <v>452</v>
      </c>
      <c r="Q893" t="s" s="10">
        <v>69</v>
      </c>
      <c r="R893" t="s" s="10">
        <v>83</v>
      </c>
      <c r="S893" s="11"/>
      <c r="T893" s="11"/>
      <c r="U893" s="11"/>
      <c r="V893" t="s" s="10">
        <v>69</v>
      </c>
      <c r="W893" s="11"/>
      <c r="X893" t="s" s="10">
        <v>69</v>
      </c>
      <c r="Y893" s="11"/>
      <c r="Z893" t="s" s="10">
        <v>76</v>
      </c>
      <c r="AA893" s="11"/>
      <c r="AB893" t="s" s="10">
        <v>76</v>
      </c>
      <c r="AC893" t="s" s="10">
        <v>3495</v>
      </c>
      <c r="AD893" t="s" s="10">
        <v>3497</v>
      </c>
      <c r="AE893" s="11"/>
      <c r="AF893" s="11"/>
      <c r="AG893" t="s" s="10">
        <v>453</v>
      </c>
      <c r="AH893" t="s" s="10">
        <v>106</v>
      </c>
      <c r="AI893" t="s" s="10">
        <v>76</v>
      </c>
      <c r="AJ893" t="s" s="10">
        <v>76</v>
      </c>
      <c r="AK893" t="s" s="10">
        <v>79</v>
      </c>
      <c r="AL893" t="s" s="10">
        <v>293</v>
      </c>
      <c r="AM893" t="s" s="10">
        <v>294</v>
      </c>
      <c r="AN893" t="s" s="10">
        <v>650</v>
      </c>
      <c r="AO893" s="18">
        <v>4</v>
      </c>
      <c r="AP893" s="18">
        <v>4096</v>
      </c>
      <c r="AQ893" s="18">
        <v>413816</v>
      </c>
      <c r="AR893" s="18">
        <v>222267</v>
      </c>
      <c r="AS893" t="s" s="10">
        <v>3498</v>
      </c>
      <c r="AT893" s="11"/>
      <c r="AU893" s="11"/>
      <c r="AV893" s="11"/>
      <c r="AW893" s="11"/>
      <c r="AX893" s="11"/>
      <c r="AY893" s="11"/>
      <c r="AZ893" s="11"/>
      <c r="BA893" s="11"/>
      <c r="BB893" s="11"/>
      <c r="BC893" s="11"/>
      <c r="BD893" s="11"/>
      <c r="BE893" s="11"/>
      <c r="BF893" s="11"/>
      <c r="BG893" s="11"/>
      <c r="BH893" s="11"/>
      <c r="BI893" s="11"/>
      <c r="BJ893" s="11"/>
      <c r="BK893" s="11"/>
      <c r="BL893" s="11"/>
      <c r="BM893" s="11"/>
      <c r="BN893" t="s" s="10">
        <v>78</v>
      </c>
      <c r="BO893" s="12"/>
      <c r="BP893" s="8"/>
    </row>
    <row r="894" ht="9" customHeight="1" hidden="1">
      <c r="A894" t="s" s="13">
        <v>3499</v>
      </c>
      <c r="B894" s="14"/>
      <c r="C894" t="str" s="14" cm="1">
        <f t="array" ref="C894">_xlfn.IFERROR((VLOOKUP(A894,#REF!,2,FALSE)),"")</f>
      </c>
      <c r="D894" s="14"/>
      <c r="E894" s="14"/>
      <c r="F894" s="14"/>
      <c r="G894" t="s" s="15">
        <v>3500</v>
      </c>
      <c r="H894" t="s" s="15">
        <v>3500</v>
      </c>
      <c r="I894" t="s" s="15">
        <v>111</v>
      </c>
      <c r="J894" t="s" s="15">
        <v>122</v>
      </c>
      <c r="K894" t="s" s="15">
        <v>113</v>
      </c>
      <c r="L894" t="s" s="15">
        <v>76</v>
      </c>
      <c r="M894" t="s" s="15">
        <v>3500</v>
      </c>
      <c r="N894" t="s" s="15">
        <v>3500</v>
      </c>
      <c r="O894" s="14"/>
      <c r="P894" t="s" s="15">
        <v>122</v>
      </c>
      <c r="Q894" t="s" s="15">
        <v>69</v>
      </c>
      <c r="R894" t="s" s="15">
        <v>83</v>
      </c>
      <c r="S894" s="14"/>
      <c r="T894" s="14"/>
      <c r="U894" s="14"/>
      <c r="V894" t="s" s="15">
        <v>69</v>
      </c>
      <c r="W894" s="14"/>
      <c r="X894" t="s" s="15">
        <v>69</v>
      </c>
      <c r="Y894" s="14"/>
      <c r="Z894" t="s" s="15">
        <v>76</v>
      </c>
      <c r="AA894" s="14"/>
      <c r="AB894" t="s" s="15">
        <v>76</v>
      </c>
      <c r="AC894" t="s" s="15">
        <v>3499</v>
      </c>
      <c r="AD894" t="s" s="15">
        <v>3501</v>
      </c>
      <c r="AE894" s="14"/>
      <c r="AF894" s="14"/>
      <c r="AG894" t="s" s="15">
        <v>299</v>
      </c>
      <c r="AH894" t="s" s="15">
        <v>106</v>
      </c>
      <c r="AI894" t="s" s="15">
        <v>76</v>
      </c>
      <c r="AJ894" t="s" s="15">
        <v>76</v>
      </c>
      <c r="AK894" t="s" s="15">
        <v>79</v>
      </c>
      <c r="AL894" t="s" s="15">
        <v>293</v>
      </c>
      <c r="AM894" t="s" s="15">
        <v>294</v>
      </c>
      <c r="AN894" t="s" s="15">
        <v>635</v>
      </c>
      <c r="AO894" s="17">
        <v>8</v>
      </c>
      <c r="AP894" s="17">
        <v>16384</v>
      </c>
      <c r="AQ894" s="17">
        <v>283539</v>
      </c>
      <c r="AR894" s="17">
        <v>283539</v>
      </c>
      <c r="AS894" t="s" s="15">
        <v>3502</v>
      </c>
      <c r="AT894" s="14"/>
      <c r="AU894" s="14"/>
      <c r="AV894" s="14"/>
      <c r="AW894" s="14"/>
      <c r="AX894" s="14"/>
      <c r="AY894" s="14"/>
      <c r="AZ894" s="14"/>
      <c r="BA894" s="14"/>
      <c r="BB894" s="14"/>
      <c r="BC894" s="14"/>
      <c r="BD894" s="14"/>
      <c r="BE894" s="14"/>
      <c r="BF894" s="14"/>
      <c r="BG894" s="14"/>
      <c r="BH894" s="14"/>
      <c r="BI894" s="14"/>
      <c r="BJ894" s="14"/>
      <c r="BK894" s="14"/>
      <c r="BL894" s="14"/>
      <c r="BM894" s="14"/>
      <c r="BN894" t="s" s="15">
        <v>78</v>
      </c>
      <c r="BO894" s="16"/>
      <c r="BP894" s="8"/>
    </row>
    <row r="895" ht="9" customHeight="1" hidden="1">
      <c r="A895" t="s" s="9">
        <v>3503</v>
      </c>
      <c r="B895" s="11"/>
      <c r="C895" t="str" s="11" cm="1">
        <f t="array" ref="C895">_xlfn.IFERROR((VLOOKUP(A895,#REF!,2,FALSE)),"")</f>
      </c>
      <c r="D895" s="11"/>
      <c r="E895" s="11"/>
      <c r="F895" s="11"/>
      <c r="G895" t="s" s="10">
        <v>3504</v>
      </c>
      <c r="H895" t="s" s="10">
        <v>3505</v>
      </c>
      <c r="I895" t="s" s="10">
        <v>111</v>
      </c>
      <c r="J895" t="s" s="10">
        <v>122</v>
      </c>
      <c r="K895" t="s" s="10">
        <v>113</v>
      </c>
      <c r="L895" t="s" s="10">
        <v>76</v>
      </c>
      <c r="M895" t="s" s="10">
        <v>3504</v>
      </c>
      <c r="N895" t="s" s="10">
        <v>3504</v>
      </c>
      <c r="O895" s="11"/>
      <c r="P895" t="s" s="10">
        <v>122</v>
      </c>
      <c r="Q895" t="s" s="10">
        <v>69</v>
      </c>
      <c r="R895" t="s" s="10">
        <v>83</v>
      </c>
      <c r="S895" s="11"/>
      <c r="T895" s="11"/>
      <c r="U895" s="11"/>
      <c r="V895" t="s" s="10">
        <v>69</v>
      </c>
      <c r="W895" s="11"/>
      <c r="X895" t="s" s="10">
        <v>69</v>
      </c>
      <c r="Y895" s="11"/>
      <c r="Z895" t="s" s="10">
        <v>76</v>
      </c>
      <c r="AA895" s="11"/>
      <c r="AB895" t="s" s="10">
        <v>76</v>
      </c>
      <c r="AC895" t="s" s="10">
        <v>3503</v>
      </c>
      <c r="AD895" t="s" s="10">
        <v>3506</v>
      </c>
      <c r="AE895" s="11"/>
      <c r="AF895" s="11"/>
      <c r="AG895" t="s" s="10">
        <v>299</v>
      </c>
      <c r="AH895" t="s" s="10">
        <v>106</v>
      </c>
      <c r="AI895" t="s" s="10">
        <v>76</v>
      </c>
      <c r="AJ895" t="s" s="10">
        <v>76</v>
      </c>
      <c r="AK895" t="s" s="10">
        <v>79</v>
      </c>
      <c r="AL895" t="s" s="10">
        <v>293</v>
      </c>
      <c r="AM895" t="s" s="10">
        <v>294</v>
      </c>
      <c r="AN895" t="s" s="10">
        <v>635</v>
      </c>
      <c r="AO895" s="18">
        <v>2</v>
      </c>
      <c r="AP895" s="18">
        <v>4096</v>
      </c>
      <c r="AQ895" s="18">
        <v>291820</v>
      </c>
      <c r="AR895" s="18">
        <v>291820</v>
      </c>
      <c r="AS895" t="s" s="10">
        <v>3507</v>
      </c>
      <c r="AT895" s="11"/>
      <c r="AU895" s="11"/>
      <c r="AV895" s="11"/>
      <c r="AW895" s="11"/>
      <c r="AX895" s="11"/>
      <c r="AY895" s="11"/>
      <c r="AZ895" s="11"/>
      <c r="BA895" s="11"/>
      <c r="BB895" s="11"/>
      <c r="BC895" s="11"/>
      <c r="BD895" s="11"/>
      <c r="BE895" s="11"/>
      <c r="BF895" s="11"/>
      <c r="BG895" s="11"/>
      <c r="BH895" s="11"/>
      <c r="BI895" s="11"/>
      <c r="BJ895" s="11"/>
      <c r="BK895" s="11"/>
      <c r="BL895" s="11"/>
      <c r="BM895" s="11"/>
      <c r="BN895" t="s" s="10">
        <v>78</v>
      </c>
      <c r="BO895" s="12"/>
      <c r="BP895" s="8"/>
    </row>
    <row r="896" ht="9" customHeight="1" hidden="1">
      <c r="A896" t="s" s="13">
        <v>3508</v>
      </c>
      <c r="B896" s="14"/>
      <c r="C896" t="str" s="14" cm="1">
        <f t="array" ref="C896">_xlfn.IFERROR((VLOOKUP(A896,#REF!,2,FALSE)),"")</f>
      </c>
      <c r="D896" s="14"/>
      <c r="E896" t="s" s="15">
        <v>303</v>
      </c>
      <c r="F896" s="14"/>
      <c r="G896" t="s" s="15">
        <v>3509</v>
      </c>
      <c r="H896" t="s" s="15">
        <v>3509</v>
      </c>
      <c r="I896" t="s" s="15">
        <v>73</v>
      </c>
      <c r="J896" t="s" s="15">
        <v>74</v>
      </c>
      <c r="K896" t="s" s="15">
        <v>113</v>
      </c>
      <c r="L896" t="s" s="15">
        <v>76</v>
      </c>
      <c r="M896" t="s" s="15">
        <v>3509</v>
      </c>
      <c r="N896" t="s" s="15">
        <v>3509</v>
      </c>
      <c r="O896" t="s" s="15">
        <v>71</v>
      </c>
      <c r="P896" t="s" s="15">
        <v>74</v>
      </c>
      <c r="Q896" t="s" s="15">
        <v>78</v>
      </c>
      <c r="R896" t="s" s="15">
        <v>71</v>
      </c>
      <c r="S896" s="14"/>
      <c r="T896" s="14"/>
      <c r="U896" s="14"/>
      <c r="V896" t="s" s="15">
        <v>78</v>
      </c>
      <c r="W896" t="s" s="15">
        <v>3508</v>
      </c>
      <c r="X896" t="s" s="15">
        <v>69</v>
      </c>
      <c r="Y896" s="14"/>
      <c r="Z896" t="s" s="15">
        <v>76</v>
      </c>
      <c r="AA896" s="14"/>
      <c r="AB896" t="s" s="15">
        <v>76</v>
      </c>
      <c r="AC896" s="14"/>
      <c r="AD896" s="14"/>
      <c r="AE896" s="14"/>
      <c r="AF896" s="14"/>
      <c r="AG896" s="14"/>
      <c r="AH896" t="s" s="15">
        <v>106</v>
      </c>
      <c r="AI896" t="s" s="15">
        <v>76</v>
      </c>
      <c r="AJ896" t="s" s="15">
        <v>76</v>
      </c>
      <c r="AK896" t="s" s="15">
        <v>79</v>
      </c>
      <c r="AL896" s="14"/>
      <c r="AM896" s="14"/>
      <c r="AN896" s="14"/>
      <c r="AO896" s="14"/>
      <c r="AP896" s="14"/>
      <c r="AQ896" s="14"/>
      <c r="AR896" s="14"/>
      <c r="AS896" s="14"/>
      <c r="AT896" s="14"/>
      <c r="AU896" s="14"/>
      <c r="AV896" s="14"/>
      <c r="AW896" s="14"/>
      <c r="AX896" s="14"/>
      <c r="AY896" s="14"/>
      <c r="AZ896" s="14"/>
      <c r="BA896" s="14"/>
      <c r="BB896" s="14"/>
      <c r="BC896" s="14"/>
      <c r="BD896" s="14"/>
      <c r="BE896" s="14"/>
      <c r="BF896" s="14"/>
      <c r="BG896" s="14"/>
      <c r="BH896" s="14"/>
      <c r="BI896" s="14"/>
      <c r="BJ896" s="14"/>
      <c r="BK896" s="14"/>
      <c r="BL896" s="14"/>
      <c r="BM896" s="14"/>
      <c r="BN896" s="14"/>
      <c r="BO896" s="16"/>
      <c r="BP896" s="8"/>
    </row>
    <row r="897" ht="9" customHeight="1" hidden="1">
      <c r="A897" t="s" s="9">
        <v>3510</v>
      </c>
      <c r="B897" s="11"/>
      <c r="C897" t="str" s="11" cm="1">
        <f t="array" ref="C897">_xlfn.IFERROR((VLOOKUP(A897,#REF!,2,FALSE)),"")</f>
      </c>
      <c r="D897" s="11"/>
      <c r="E897" t="s" s="10">
        <v>303</v>
      </c>
      <c r="F897" s="11"/>
      <c r="G897" t="s" s="10">
        <v>3511</v>
      </c>
      <c r="H897" t="s" s="10">
        <v>3511</v>
      </c>
      <c r="I897" t="s" s="10">
        <v>73</v>
      </c>
      <c r="J897" t="s" s="10">
        <v>74</v>
      </c>
      <c r="K897" t="s" s="10">
        <v>113</v>
      </c>
      <c r="L897" t="s" s="10">
        <v>76</v>
      </c>
      <c r="M897" t="s" s="10">
        <v>3511</v>
      </c>
      <c r="N897" t="s" s="10">
        <v>3511</v>
      </c>
      <c r="O897" t="s" s="10">
        <v>71</v>
      </c>
      <c r="P897" t="s" s="10">
        <v>74</v>
      </c>
      <c r="Q897" t="s" s="10">
        <v>78</v>
      </c>
      <c r="R897" t="s" s="10">
        <v>71</v>
      </c>
      <c r="S897" s="11"/>
      <c r="T897" s="11"/>
      <c r="U897" s="11"/>
      <c r="V897" t="s" s="10">
        <v>78</v>
      </c>
      <c r="W897" t="s" s="10">
        <v>3510</v>
      </c>
      <c r="X897" t="s" s="10">
        <v>69</v>
      </c>
      <c r="Y897" s="11"/>
      <c r="Z897" t="s" s="10">
        <v>76</v>
      </c>
      <c r="AA897" s="11"/>
      <c r="AB897" t="s" s="10">
        <v>76</v>
      </c>
      <c r="AC897" s="11"/>
      <c r="AD897" s="11"/>
      <c r="AE897" s="11"/>
      <c r="AF897" s="11"/>
      <c r="AG897" s="11"/>
      <c r="AH897" t="s" s="10">
        <v>106</v>
      </c>
      <c r="AI897" t="s" s="10">
        <v>76</v>
      </c>
      <c r="AJ897" t="s" s="10">
        <v>76</v>
      </c>
      <c r="AK897" t="s" s="10">
        <v>79</v>
      </c>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2"/>
      <c r="BP897" s="8"/>
    </row>
    <row r="898" ht="9" customHeight="1" hidden="1">
      <c r="A898" t="s" s="13">
        <v>3512</v>
      </c>
      <c r="B898" s="14"/>
      <c r="C898" t="str" s="14" cm="1">
        <f t="array" ref="C898">_xlfn.IFERROR((VLOOKUP(A898,#REF!,2,FALSE)),"")</f>
      </c>
      <c r="D898" s="14"/>
      <c r="E898" t="s" s="15">
        <v>303</v>
      </c>
      <c r="F898" s="14"/>
      <c r="G898" t="s" s="15">
        <v>3513</v>
      </c>
      <c r="H898" t="s" s="15">
        <v>3514</v>
      </c>
      <c r="I898" t="s" s="15">
        <v>73</v>
      </c>
      <c r="J898" t="s" s="15">
        <v>74</v>
      </c>
      <c r="K898" t="s" s="15">
        <v>113</v>
      </c>
      <c r="L898" t="s" s="15">
        <v>76</v>
      </c>
      <c r="M898" t="s" s="15">
        <v>3513</v>
      </c>
      <c r="N898" t="s" s="15">
        <v>3513</v>
      </c>
      <c r="O898" t="s" s="15">
        <v>71</v>
      </c>
      <c r="P898" t="s" s="15">
        <v>74</v>
      </c>
      <c r="Q898" t="s" s="15">
        <v>78</v>
      </c>
      <c r="R898" t="s" s="15">
        <v>71</v>
      </c>
      <c r="S898" s="14"/>
      <c r="T898" s="14"/>
      <c r="U898" s="14"/>
      <c r="V898" t="s" s="15">
        <v>78</v>
      </c>
      <c r="W898" t="s" s="15">
        <v>3512</v>
      </c>
      <c r="X898" t="s" s="15">
        <v>69</v>
      </c>
      <c r="Y898" s="14"/>
      <c r="Z898" t="s" s="15">
        <v>76</v>
      </c>
      <c r="AA898" s="14"/>
      <c r="AB898" t="s" s="15">
        <v>76</v>
      </c>
      <c r="AC898" s="14"/>
      <c r="AD898" s="14"/>
      <c r="AE898" s="14"/>
      <c r="AF898" s="14"/>
      <c r="AG898" s="14"/>
      <c r="AH898" t="s" s="15">
        <v>106</v>
      </c>
      <c r="AI898" t="s" s="15">
        <v>76</v>
      </c>
      <c r="AJ898" t="s" s="15">
        <v>76</v>
      </c>
      <c r="AK898" t="s" s="15">
        <v>79</v>
      </c>
      <c r="AL898" s="14"/>
      <c r="AM898" s="14"/>
      <c r="AN898" s="14"/>
      <c r="AO898" s="14"/>
      <c r="AP898" s="14"/>
      <c r="AQ898" s="14"/>
      <c r="AR898" s="14"/>
      <c r="AS898" s="14"/>
      <c r="AT898" s="14"/>
      <c r="AU898" s="14"/>
      <c r="AV898" s="14"/>
      <c r="AW898" s="14"/>
      <c r="AX898" s="14"/>
      <c r="AY898" s="14"/>
      <c r="AZ898" s="14"/>
      <c r="BA898" s="14"/>
      <c r="BB898" s="14"/>
      <c r="BC898" s="14"/>
      <c r="BD898" s="14"/>
      <c r="BE898" s="14"/>
      <c r="BF898" s="14"/>
      <c r="BG898" s="14"/>
      <c r="BH898" s="14"/>
      <c r="BI898" s="14"/>
      <c r="BJ898" s="14"/>
      <c r="BK898" s="14"/>
      <c r="BL898" s="14"/>
      <c r="BM898" s="14"/>
      <c r="BN898" s="14"/>
      <c r="BO898" s="16"/>
      <c r="BP898" s="8"/>
    </row>
    <row r="899" ht="9" customHeight="1" hidden="1">
      <c r="A899" t="s" s="9">
        <v>3515</v>
      </c>
      <c r="B899" s="11"/>
      <c r="C899" t="str" s="11" cm="1">
        <f t="array" ref="C899">_xlfn.IFERROR((VLOOKUP(A899,#REF!,2,FALSE)),"")</f>
      </c>
      <c r="D899" s="11"/>
      <c r="E899" s="11"/>
      <c r="F899" s="11"/>
      <c r="G899" t="s" s="10">
        <v>3516</v>
      </c>
      <c r="H899" t="s" s="10">
        <v>3516</v>
      </c>
      <c r="I899" t="s" s="10">
        <v>111</v>
      </c>
      <c r="J899" t="s" s="10">
        <v>122</v>
      </c>
      <c r="K899" t="s" s="10">
        <v>113</v>
      </c>
      <c r="L899" t="s" s="10">
        <v>76</v>
      </c>
      <c r="M899" t="s" s="10">
        <v>3516</v>
      </c>
      <c r="N899" t="s" s="10">
        <v>3516</v>
      </c>
      <c r="O899" s="11"/>
      <c r="P899" t="s" s="10">
        <v>122</v>
      </c>
      <c r="Q899" t="s" s="10">
        <v>69</v>
      </c>
      <c r="R899" t="s" s="10">
        <v>123</v>
      </c>
      <c r="S899" s="11"/>
      <c r="T899" s="11"/>
      <c r="U899" s="11"/>
      <c r="V899" t="s" s="10">
        <v>69</v>
      </c>
      <c r="W899" s="11"/>
      <c r="X899" t="s" s="10">
        <v>69</v>
      </c>
      <c r="Y899" s="11"/>
      <c r="Z899" t="s" s="10">
        <v>76</v>
      </c>
      <c r="AA899" s="11"/>
      <c r="AB899" t="s" s="10">
        <v>76</v>
      </c>
      <c r="AC899" t="s" s="10">
        <v>3515</v>
      </c>
      <c r="AD899" t="s" s="10">
        <v>3517</v>
      </c>
      <c r="AE899" s="11"/>
      <c r="AF899" s="11"/>
      <c r="AG899" t="s" s="10">
        <v>299</v>
      </c>
      <c r="AH899" t="s" s="10">
        <v>106</v>
      </c>
      <c r="AI899" t="s" s="10">
        <v>76</v>
      </c>
      <c r="AJ899" t="s" s="10">
        <v>76</v>
      </c>
      <c r="AK899" t="s" s="10">
        <v>79</v>
      </c>
      <c r="AL899" t="s" s="10">
        <v>293</v>
      </c>
      <c r="AM899" t="s" s="10">
        <v>294</v>
      </c>
      <c r="AN899" t="s" s="10">
        <v>116</v>
      </c>
      <c r="AO899" s="18">
        <v>4</v>
      </c>
      <c r="AP899" s="18">
        <v>4096</v>
      </c>
      <c r="AQ899" s="18">
        <v>8101754</v>
      </c>
      <c r="AR899" s="18">
        <v>8101754</v>
      </c>
      <c r="AS899" t="s" s="10">
        <v>3518</v>
      </c>
      <c r="AT899" s="11"/>
      <c r="AU899" s="11"/>
      <c r="AV899" s="11"/>
      <c r="AW899" s="11"/>
      <c r="AX899" s="11"/>
      <c r="AY899" s="11"/>
      <c r="AZ899" s="11"/>
      <c r="BA899" s="11"/>
      <c r="BB899" s="11"/>
      <c r="BC899" s="11"/>
      <c r="BD899" s="11"/>
      <c r="BE899" s="11"/>
      <c r="BF899" s="11"/>
      <c r="BG899" s="11"/>
      <c r="BH899" s="11"/>
      <c r="BI899" s="11"/>
      <c r="BJ899" s="11"/>
      <c r="BK899" s="11"/>
      <c r="BL899" s="11"/>
      <c r="BM899" s="11"/>
      <c r="BN899" t="s" s="10">
        <v>78</v>
      </c>
      <c r="BO899" s="12"/>
      <c r="BP899" s="8"/>
    </row>
    <row r="900" ht="9" customHeight="1" hidden="1">
      <c r="A900" t="s" s="13">
        <v>3519</v>
      </c>
      <c r="B900" s="14"/>
      <c r="C900" t="str" s="14" cm="1">
        <f t="array" ref="C900">_xlfn.IFERROR((VLOOKUP(A900,#REF!,2,FALSE)),"")</f>
      </c>
      <c r="D900" s="14"/>
      <c r="E900" s="14"/>
      <c r="F900" s="14"/>
      <c r="G900" t="s" s="15">
        <v>3520</v>
      </c>
      <c r="H900" t="s" s="15">
        <v>3520</v>
      </c>
      <c r="I900" t="s" s="15">
        <v>111</v>
      </c>
      <c r="J900" t="s" s="15">
        <v>122</v>
      </c>
      <c r="K900" t="s" s="15">
        <v>113</v>
      </c>
      <c r="L900" t="s" s="15">
        <v>76</v>
      </c>
      <c r="M900" t="s" s="15">
        <v>3520</v>
      </c>
      <c r="N900" s="14"/>
      <c r="O900" s="14"/>
      <c r="P900" t="s" s="15">
        <v>122</v>
      </c>
      <c r="Q900" t="s" s="15">
        <v>69</v>
      </c>
      <c r="R900" t="s" s="15">
        <v>123</v>
      </c>
      <c r="S900" s="14"/>
      <c r="T900" s="14"/>
      <c r="U900" s="14"/>
      <c r="V900" t="s" s="15">
        <v>69</v>
      </c>
      <c r="W900" s="14"/>
      <c r="X900" t="s" s="15">
        <v>78</v>
      </c>
      <c r="Y900" s="14"/>
      <c r="Z900" t="s" s="15">
        <v>76</v>
      </c>
      <c r="AA900" s="14"/>
      <c r="AB900" t="s" s="15">
        <v>76</v>
      </c>
      <c r="AC900" t="s" s="15">
        <v>3519</v>
      </c>
      <c r="AD900" t="s" s="15">
        <v>3521</v>
      </c>
      <c r="AE900" s="14"/>
      <c r="AF900" s="14"/>
      <c r="AG900" t="s" s="15">
        <v>299</v>
      </c>
      <c r="AH900" t="s" s="15">
        <v>106</v>
      </c>
      <c r="AI900" t="s" s="15">
        <v>76</v>
      </c>
      <c r="AJ900" t="s" s="15">
        <v>76</v>
      </c>
      <c r="AK900" t="s" s="15">
        <v>79</v>
      </c>
      <c r="AL900" t="s" s="15">
        <v>293</v>
      </c>
      <c r="AM900" t="s" s="15">
        <v>294</v>
      </c>
      <c r="AN900" t="s" s="15">
        <v>116</v>
      </c>
      <c r="AO900" s="17">
        <v>4</v>
      </c>
      <c r="AP900" s="17">
        <v>4096</v>
      </c>
      <c r="AQ900" s="17">
        <v>516987</v>
      </c>
      <c r="AR900" s="17">
        <v>516987</v>
      </c>
      <c r="AS900" t="s" s="15">
        <v>3522</v>
      </c>
      <c r="AT900" s="14"/>
      <c r="AU900" s="14"/>
      <c r="AV900" s="14"/>
      <c r="AW900" s="14"/>
      <c r="AX900" s="14"/>
      <c r="AY900" s="14"/>
      <c r="AZ900" s="14"/>
      <c r="BA900" s="14"/>
      <c r="BB900" s="14"/>
      <c r="BC900" s="14"/>
      <c r="BD900" s="14"/>
      <c r="BE900" s="14"/>
      <c r="BF900" s="14"/>
      <c r="BG900" s="14"/>
      <c r="BH900" s="14"/>
      <c r="BI900" s="14"/>
      <c r="BJ900" s="14"/>
      <c r="BK900" s="14"/>
      <c r="BL900" s="14"/>
      <c r="BM900" s="14"/>
      <c r="BN900" t="s" s="15">
        <v>78</v>
      </c>
      <c r="BO900" s="16"/>
      <c r="BP900" s="8"/>
    </row>
    <row r="901" ht="9" customHeight="1" hidden="1">
      <c r="A901" t="s" s="9">
        <v>3523</v>
      </c>
      <c r="B901" s="11"/>
      <c r="C901" t="str" s="11" cm="1">
        <f t="array" ref="C901">_xlfn.IFERROR((VLOOKUP(A901,#REF!,2,FALSE)),"")</f>
      </c>
      <c r="D901" s="11"/>
      <c r="E901" t="s" s="10">
        <v>303</v>
      </c>
      <c r="F901" s="11"/>
      <c r="G901" t="s" s="10">
        <v>3524</v>
      </c>
      <c r="H901" t="s" s="10">
        <v>3524</v>
      </c>
      <c r="I901" t="s" s="10">
        <v>73</v>
      </c>
      <c r="J901" t="s" s="10">
        <v>74</v>
      </c>
      <c r="K901" t="s" s="10">
        <v>113</v>
      </c>
      <c r="L901" t="s" s="10">
        <v>76</v>
      </c>
      <c r="M901" t="s" s="10">
        <v>3524</v>
      </c>
      <c r="N901" t="s" s="10">
        <v>3524</v>
      </c>
      <c r="O901" t="s" s="10">
        <v>71</v>
      </c>
      <c r="P901" t="s" s="10">
        <v>74</v>
      </c>
      <c r="Q901" t="s" s="10">
        <v>78</v>
      </c>
      <c r="R901" t="s" s="10">
        <v>71</v>
      </c>
      <c r="S901" s="11"/>
      <c r="T901" s="11"/>
      <c r="U901" s="11"/>
      <c r="V901" t="s" s="10">
        <v>78</v>
      </c>
      <c r="W901" t="s" s="10">
        <v>3523</v>
      </c>
      <c r="X901" t="s" s="10">
        <v>69</v>
      </c>
      <c r="Y901" s="11"/>
      <c r="Z901" t="s" s="10">
        <v>76</v>
      </c>
      <c r="AA901" s="11"/>
      <c r="AB901" t="s" s="10">
        <v>76</v>
      </c>
      <c r="AC901" s="11"/>
      <c r="AD901" s="11"/>
      <c r="AE901" s="11"/>
      <c r="AF901" s="11"/>
      <c r="AG901" s="11"/>
      <c r="AH901" t="s" s="10">
        <v>106</v>
      </c>
      <c r="AI901" t="s" s="10">
        <v>76</v>
      </c>
      <c r="AJ901" t="s" s="10">
        <v>76</v>
      </c>
      <c r="AK901" t="s" s="10">
        <v>79</v>
      </c>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O901" s="12"/>
      <c r="BP901" s="8"/>
    </row>
    <row r="902" ht="9" customHeight="1" hidden="1">
      <c r="A902" t="s" s="13">
        <v>3525</v>
      </c>
      <c r="B902" s="14"/>
      <c r="C902" t="str" s="14" cm="1">
        <f t="array" ref="C902">_xlfn.IFERROR((VLOOKUP(A902,#REF!,2,FALSE)),"")</f>
      </c>
      <c r="D902" s="14"/>
      <c r="E902" t="s" s="15">
        <v>3526</v>
      </c>
      <c r="F902" s="14"/>
      <c r="G902" t="s" s="15">
        <v>3527</v>
      </c>
      <c r="H902" t="s" s="15">
        <v>3527</v>
      </c>
      <c r="I902" t="s" s="15">
        <v>111</v>
      </c>
      <c r="J902" t="s" s="15">
        <v>122</v>
      </c>
      <c r="K902" t="s" s="15">
        <v>113</v>
      </c>
      <c r="L902" t="s" s="15">
        <v>76</v>
      </c>
      <c r="M902" t="s" s="15">
        <v>3527</v>
      </c>
      <c r="N902" t="s" s="15">
        <v>3527</v>
      </c>
      <c r="O902" s="14"/>
      <c r="P902" t="s" s="15">
        <v>122</v>
      </c>
      <c r="Q902" t="s" s="15">
        <v>69</v>
      </c>
      <c r="R902" t="s" s="15">
        <v>83</v>
      </c>
      <c r="S902" s="14"/>
      <c r="T902" s="14"/>
      <c r="U902" s="14"/>
      <c r="V902" t="s" s="15">
        <v>69</v>
      </c>
      <c r="W902" s="14"/>
      <c r="X902" t="s" s="15">
        <v>69</v>
      </c>
      <c r="Y902" s="14"/>
      <c r="Z902" t="s" s="15">
        <v>76</v>
      </c>
      <c r="AA902" s="14"/>
      <c r="AB902" t="s" s="15">
        <v>76</v>
      </c>
      <c r="AC902" t="s" s="15">
        <v>3525</v>
      </c>
      <c r="AD902" t="s" s="15">
        <v>3528</v>
      </c>
      <c r="AE902" s="14"/>
      <c r="AF902" s="14"/>
      <c r="AG902" t="s" s="15">
        <v>299</v>
      </c>
      <c r="AH902" t="s" s="15">
        <v>114</v>
      </c>
      <c r="AI902" t="s" s="15">
        <v>76</v>
      </c>
      <c r="AJ902" t="s" s="15">
        <v>76</v>
      </c>
      <c r="AK902" t="s" s="15">
        <v>79</v>
      </c>
      <c r="AL902" t="s" s="15">
        <v>293</v>
      </c>
      <c r="AM902" t="s" s="15">
        <v>294</v>
      </c>
      <c r="AN902" t="s" s="15">
        <v>187</v>
      </c>
      <c r="AO902" s="17">
        <v>4</v>
      </c>
      <c r="AP902" s="17">
        <v>8192</v>
      </c>
      <c r="AQ902" s="17">
        <v>90198</v>
      </c>
      <c r="AR902" s="17">
        <v>90198</v>
      </c>
      <c r="AS902" t="s" s="15">
        <v>3529</v>
      </c>
      <c r="AT902" t="s" s="15">
        <v>301</v>
      </c>
      <c r="AU902" s="14"/>
      <c r="AV902" s="14"/>
      <c r="AW902" s="14"/>
      <c r="AX902" s="14"/>
      <c r="AY902" s="14"/>
      <c r="AZ902" s="14"/>
      <c r="BA902" s="14"/>
      <c r="BB902" s="14"/>
      <c r="BC902" s="14"/>
      <c r="BD902" t="s" s="15">
        <v>310</v>
      </c>
      <c r="BE902" t="s" s="15">
        <v>356</v>
      </c>
      <c r="BF902" s="17">
        <v>4</v>
      </c>
      <c r="BG902" s="17">
        <v>8</v>
      </c>
      <c r="BH902" s="14"/>
      <c r="BI902" s="14"/>
      <c r="BJ902" s="14"/>
      <c r="BK902" s="14"/>
      <c r="BL902" s="14"/>
      <c r="BM902" s="14"/>
      <c r="BN902" t="s" s="15">
        <v>69</v>
      </c>
      <c r="BO902" s="16"/>
      <c r="BP902" s="8"/>
    </row>
    <row r="903" ht="9" customHeight="1" hidden="1">
      <c r="A903" t="s" s="9">
        <v>3530</v>
      </c>
      <c r="B903" s="11"/>
      <c r="C903" t="str" s="11" cm="1">
        <f t="array" ref="C903">_xlfn.IFERROR((VLOOKUP(A903,#REF!,2,FALSE)),"")</f>
      </c>
      <c r="D903" s="11"/>
      <c r="E903" t="s" s="10">
        <v>303</v>
      </c>
      <c r="F903" s="11"/>
      <c r="G903" t="s" s="10">
        <v>3531</v>
      </c>
      <c r="H903" t="s" s="10">
        <v>3532</v>
      </c>
      <c r="I903" t="s" s="10">
        <v>73</v>
      </c>
      <c r="J903" t="s" s="10">
        <v>74</v>
      </c>
      <c r="K903" t="s" s="10">
        <v>113</v>
      </c>
      <c r="L903" t="s" s="10">
        <v>76</v>
      </c>
      <c r="M903" t="s" s="10">
        <v>3531</v>
      </c>
      <c r="N903" t="s" s="10">
        <v>3531</v>
      </c>
      <c r="O903" t="s" s="10">
        <v>71</v>
      </c>
      <c r="P903" t="s" s="10">
        <v>74</v>
      </c>
      <c r="Q903" t="s" s="10">
        <v>78</v>
      </c>
      <c r="R903" t="s" s="10">
        <v>71</v>
      </c>
      <c r="S903" s="11"/>
      <c r="T903" s="11"/>
      <c r="U903" s="11"/>
      <c r="V903" t="s" s="10">
        <v>78</v>
      </c>
      <c r="W903" t="s" s="10">
        <v>3530</v>
      </c>
      <c r="X903" t="s" s="10">
        <v>69</v>
      </c>
      <c r="Y903" s="11"/>
      <c r="Z903" t="s" s="10">
        <v>76</v>
      </c>
      <c r="AA903" s="11"/>
      <c r="AB903" t="s" s="10">
        <v>76</v>
      </c>
      <c r="AC903" s="11"/>
      <c r="AD903" s="11"/>
      <c r="AE903" s="11"/>
      <c r="AF903" s="11"/>
      <c r="AG903" s="11"/>
      <c r="AH903" t="s" s="10">
        <v>106</v>
      </c>
      <c r="AI903" t="s" s="10">
        <v>76</v>
      </c>
      <c r="AJ903" t="s" s="10">
        <v>76</v>
      </c>
      <c r="AK903" t="s" s="10">
        <v>79</v>
      </c>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O903" s="12"/>
      <c r="BP903" s="8"/>
    </row>
    <row r="904" ht="9" customHeight="1" hidden="1">
      <c r="A904" t="s" s="13">
        <v>3533</v>
      </c>
      <c r="B904" s="14"/>
      <c r="C904" t="str" s="14" cm="1">
        <f t="array" ref="C904">_xlfn.IFERROR((VLOOKUP(A904,#REF!,2,FALSE)),"")</f>
      </c>
      <c r="D904" s="14"/>
      <c r="E904" s="14"/>
      <c r="F904" s="14"/>
      <c r="G904" t="s" s="15">
        <v>3534</v>
      </c>
      <c r="H904" t="s" s="15">
        <v>3535</v>
      </c>
      <c r="I904" t="s" s="15">
        <v>111</v>
      </c>
      <c r="J904" t="s" s="15">
        <v>122</v>
      </c>
      <c r="K904" t="s" s="15">
        <v>113</v>
      </c>
      <c r="L904" t="s" s="15">
        <v>76</v>
      </c>
      <c r="M904" t="s" s="15">
        <v>3536</v>
      </c>
      <c r="N904" t="s" s="15">
        <v>3536</v>
      </c>
      <c r="O904" s="14"/>
      <c r="P904" t="s" s="15">
        <v>122</v>
      </c>
      <c r="Q904" t="s" s="15">
        <v>69</v>
      </c>
      <c r="R904" t="s" s="15">
        <v>83</v>
      </c>
      <c r="S904" s="14"/>
      <c r="T904" s="14"/>
      <c r="U904" s="14"/>
      <c r="V904" t="s" s="15">
        <v>69</v>
      </c>
      <c r="W904" s="14"/>
      <c r="X904" t="s" s="15">
        <v>69</v>
      </c>
      <c r="Y904" s="14"/>
      <c r="Z904" t="s" s="15">
        <v>76</v>
      </c>
      <c r="AA904" s="14"/>
      <c r="AB904" t="s" s="15">
        <v>76</v>
      </c>
      <c r="AC904" t="s" s="15">
        <v>3533</v>
      </c>
      <c r="AD904" t="s" s="15">
        <v>3537</v>
      </c>
      <c r="AE904" s="14"/>
      <c r="AF904" s="14"/>
      <c r="AG904" t="s" s="15">
        <v>299</v>
      </c>
      <c r="AH904" t="s" s="15">
        <v>114</v>
      </c>
      <c r="AI904" t="s" s="15">
        <v>717</v>
      </c>
      <c r="AJ904" s="14"/>
      <c r="AK904" t="s" s="15">
        <v>83</v>
      </c>
      <c r="AL904" t="s" s="15">
        <v>293</v>
      </c>
      <c r="AM904" t="s" s="15">
        <v>294</v>
      </c>
      <c r="AN904" t="s" s="15">
        <v>187</v>
      </c>
      <c r="AO904" s="17">
        <v>4</v>
      </c>
      <c r="AP904" s="17">
        <v>8192</v>
      </c>
      <c r="AQ904" s="17">
        <v>265062</v>
      </c>
      <c r="AR904" s="17">
        <v>265062</v>
      </c>
      <c r="AS904" t="s" s="15">
        <v>3538</v>
      </c>
      <c r="AT904" s="14"/>
      <c r="AU904" s="14"/>
      <c r="AV904" s="14"/>
      <c r="AW904" s="14"/>
      <c r="AX904" s="14"/>
      <c r="AY904" s="14"/>
      <c r="AZ904" s="14"/>
      <c r="BA904" s="14"/>
      <c r="BB904" s="14"/>
      <c r="BC904" s="14"/>
      <c r="BD904" t="s" s="15">
        <v>310</v>
      </c>
      <c r="BE904" t="s" s="15">
        <v>356</v>
      </c>
      <c r="BF904" s="17">
        <v>4</v>
      </c>
      <c r="BG904" s="17">
        <v>8</v>
      </c>
      <c r="BH904" s="14"/>
      <c r="BI904" s="14"/>
      <c r="BJ904" s="14"/>
      <c r="BK904" s="14"/>
      <c r="BL904" s="14"/>
      <c r="BM904" s="14"/>
      <c r="BN904" t="s" s="15">
        <v>78</v>
      </c>
      <c r="BO904" s="16"/>
      <c r="BP904" s="8"/>
    </row>
    <row r="905" ht="15" customHeight="1" hidden="1">
      <c r="A905" t="s" s="9">
        <v>3539</v>
      </c>
      <c r="B905" s="11"/>
      <c r="C905" t="str" s="11" cm="1">
        <f t="array" ref="C905">_xlfn.IFERROR((VLOOKUP(A905,#REF!,2,FALSE)),"")</f>
      </c>
      <c r="D905" t="s" s="10">
        <v>70</v>
      </c>
      <c r="E905" t="s" s="10">
        <v>3540</v>
      </c>
      <c r="F905" s="11"/>
      <c r="G905" t="s" s="10">
        <v>3541</v>
      </c>
      <c r="H905" t="s" s="10">
        <v>3542</v>
      </c>
      <c r="I905" t="s" s="10">
        <v>111</v>
      </c>
      <c r="J905" t="s" s="10">
        <v>322</v>
      </c>
      <c r="K905" t="s" s="10">
        <v>113</v>
      </c>
      <c r="L905" t="s" s="10">
        <v>76</v>
      </c>
      <c r="M905" t="s" s="10">
        <v>3543</v>
      </c>
      <c r="N905" t="s" s="10">
        <v>3543</v>
      </c>
      <c r="O905" s="11"/>
      <c r="P905" t="s" s="10">
        <v>322</v>
      </c>
      <c r="Q905" t="s" s="10">
        <v>69</v>
      </c>
      <c r="R905" t="s" s="10">
        <v>83</v>
      </c>
      <c r="S905" s="11"/>
      <c r="T905" s="11"/>
      <c r="U905" s="11"/>
      <c r="V905" t="s" s="10">
        <v>69</v>
      </c>
      <c r="W905" s="11"/>
      <c r="X905" t="s" s="10">
        <v>69</v>
      </c>
      <c r="Y905" s="11"/>
      <c r="Z905" t="s" s="10">
        <v>76</v>
      </c>
      <c r="AA905" s="11"/>
      <c r="AB905" t="s" s="10">
        <v>76</v>
      </c>
      <c r="AC905" t="s" s="10">
        <v>3539</v>
      </c>
      <c r="AD905" t="s" s="10">
        <v>3544</v>
      </c>
      <c r="AE905" s="11"/>
      <c r="AF905" s="11"/>
      <c r="AG905" t="s" s="10">
        <v>453</v>
      </c>
      <c r="AH905" t="s" s="10">
        <v>114</v>
      </c>
      <c r="AI905" t="s" s="10">
        <v>717</v>
      </c>
      <c r="AJ905" s="11"/>
      <c r="AK905" t="s" s="10">
        <v>83</v>
      </c>
      <c r="AL905" t="s" s="10">
        <v>293</v>
      </c>
      <c r="AM905" t="s" s="10">
        <v>294</v>
      </c>
      <c r="AN905" t="s" s="10">
        <v>187</v>
      </c>
      <c r="AO905" s="18">
        <v>4</v>
      </c>
      <c r="AP905" s="18">
        <v>8192</v>
      </c>
      <c r="AQ905" s="18">
        <v>296192</v>
      </c>
      <c r="AR905" s="18">
        <v>47975</v>
      </c>
      <c r="AS905" t="s" s="10">
        <v>3545</v>
      </c>
      <c r="AT905" s="11"/>
      <c r="AU905" s="11"/>
      <c r="AV905" s="11"/>
      <c r="AW905" s="11"/>
      <c r="AX905" s="11"/>
      <c r="AY905" s="11"/>
      <c r="AZ905" s="11"/>
      <c r="BA905" s="11"/>
      <c r="BB905" s="11"/>
      <c r="BC905" s="11"/>
      <c r="BD905" t="s" s="10">
        <v>310</v>
      </c>
      <c r="BE905" t="s" s="10">
        <v>356</v>
      </c>
      <c r="BF905" s="18">
        <v>4</v>
      </c>
      <c r="BG905" s="18">
        <v>8</v>
      </c>
      <c r="BH905" s="11"/>
      <c r="BI905" s="11"/>
      <c r="BJ905" s="11"/>
      <c r="BK905" s="11"/>
      <c r="BL905" s="11"/>
      <c r="BM905" s="11"/>
      <c r="BN905" t="s" s="10">
        <v>78</v>
      </c>
      <c r="BO905" s="12"/>
      <c r="BP905" s="8"/>
    </row>
    <row r="906" ht="15" customHeight="1" hidden="1">
      <c r="A906" t="s" s="13">
        <v>3546</v>
      </c>
      <c r="B906" s="14"/>
      <c r="C906" t="str" s="14" cm="1">
        <f t="array" ref="C906">_xlfn.IFERROR((VLOOKUP(A906,#REF!,2,FALSE)),"")</f>
      </c>
      <c r="D906" s="14"/>
      <c r="E906" s="14"/>
      <c r="F906" s="14"/>
      <c r="G906" t="s" s="15">
        <v>3547</v>
      </c>
      <c r="H906" t="s" s="15">
        <v>3535</v>
      </c>
      <c r="I906" t="s" s="15">
        <v>111</v>
      </c>
      <c r="J906" t="s" s="15">
        <v>122</v>
      </c>
      <c r="K906" t="s" s="15">
        <v>113</v>
      </c>
      <c r="L906" t="s" s="15">
        <v>76</v>
      </c>
      <c r="M906" t="s" s="15">
        <v>3548</v>
      </c>
      <c r="N906" t="s" s="15">
        <v>3548</v>
      </c>
      <c r="O906" s="14"/>
      <c r="P906" t="s" s="15">
        <v>122</v>
      </c>
      <c r="Q906" t="s" s="15">
        <v>78</v>
      </c>
      <c r="R906" t="s" s="15">
        <v>83</v>
      </c>
      <c r="S906" s="14"/>
      <c r="T906" s="14"/>
      <c r="U906" s="14"/>
      <c r="V906" t="s" s="15">
        <v>69</v>
      </c>
      <c r="W906" s="14"/>
      <c r="X906" t="s" s="15">
        <v>69</v>
      </c>
      <c r="Y906" s="14"/>
      <c r="Z906" t="s" s="15">
        <v>76</v>
      </c>
      <c r="AA906" s="14"/>
      <c r="AB906" t="s" s="15">
        <v>76</v>
      </c>
      <c r="AC906" s="14"/>
      <c r="AD906" s="14"/>
      <c r="AE906" s="14"/>
      <c r="AF906" s="14"/>
      <c r="AG906" t="s" s="15">
        <v>299</v>
      </c>
      <c r="AH906" t="s" s="15">
        <v>114</v>
      </c>
      <c r="AI906" t="s" s="15">
        <v>717</v>
      </c>
      <c r="AJ906" s="14"/>
      <c r="AK906" t="s" s="15">
        <v>83</v>
      </c>
      <c r="AL906" t="s" s="15">
        <v>293</v>
      </c>
      <c r="AM906" t="s" s="15">
        <v>294</v>
      </c>
      <c r="AN906" t="s" s="15">
        <v>3549</v>
      </c>
      <c r="AO906" s="17">
        <v>4</v>
      </c>
      <c r="AP906" s="17">
        <v>8192</v>
      </c>
      <c r="AQ906" s="17">
        <v>264279</v>
      </c>
      <c r="AR906" s="17">
        <v>264279</v>
      </c>
      <c r="AS906" t="s" s="15">
        <v>3550</v>
      </c>
      <c r="AT906" s="14"/>
      <c r="AU906" s="14"/>
      <c r="AV906" s="14"/>
      <c r="AW906" s="14"/>
      <c r="AX906" s="14"/>
      <c r="AY906" s="14"/>
      <c r="AZ906" s="14"/>
      <c r="BA906" s="14"/>
      <c r="BB906" s="14"/>
      <c r="BC906" s="14"/>
      <c r="BD906" t="s" s="15">
        <v>310</v>
      </c>
      <c r="BE906" t="s" s="15">
        <v>356</v>
      </c>
      <c r="BF906" s="17">
        <v>4</v>
      </c>
      <c r="BG906" s="17">
        <v>8</v>
      </c>
      <c r="BH906" s="14"/>
      <c r="BI906" s="14"/>
      <c r="BJ906" s="14"/>
      <c r="BK906" s="14"/>
      <c r="BL906" s="14"/>
      <c r="BM906" s="14"/>
      <c r="BN906" t="s" s="15">
        <v>78</v>
      </c>
      <c r="BO906" s="16"/>
      <c r="BP906" s="8"/>
    </row>
    <row r="907" ht="9" customHeight="1" hidden="1">
      <c r="A907" t="s" s="9">
        <v>3551</v>
      </c>
      <c r="B907" s="11"/>
      <c r="C907" t="str" s="11" cm="1">
        <f t="array" ref="C907">_xlfn.IFERROR((VLOOKUP(A907,#REF!,2,FALSE)),"")</f>
      </c>
      <c r="D907" s="11"/>
      <c r="E907" t="s" s="10">
        <v>3552</v>
      </c>
      <c r="F907" t="s" s="10">
        <v>76</v>
      </c>
      <c r="G907" t="s" s="10">
        <v>3553</v>
      </c>
      <c r="H907" t="s" s="10">
        <v>3554</v>
      </c>
      <c r="I907" t="s" s="10">
        <v>111</v>
      </c>
      <c r="J907" t="s" s="10">
        <v>469</v>
      </c>
      <c r="K907" t="s" s="10">
        <v>105</v>
      </c>
      <c r="L907" t="s" s="10">
        <v>3555</v>
      </c>
      <c r="M907" t="s" s="10">
        <v>3553</v>
      </c>
      <c r="N907" t="s" s="10">
        <v>3553</v>
      </c>
      <c r="O907" s="11"/>
      <c r="P907" t="s" s="10">
        <v>469</v>
      </c>
      <c r="Q907" t="s" s="10">
        <v>78</v>
      </c>
      <c r="R907" t="s" s="10">
        <v>323</v>
      </c>
      <c r="S907" s="11"/>
      <c r="T907" s="11"/>
      <c r="U907" s="11"/>
      <c r="V907" t="s" s="10">
        <v>78</v>
      </c>
      <c r="W907" s="11"/>
      <c r="X907" t="s" s="10">
        <v>69</v>
      </c>
      <c r="Y907" s="11"/>
      <c r="Z907" t="s" s="10">
        <v>76</v>
      </c>
      <c r="AA907" s="11"/>
      <c r="AB907" t="s" s="10">
        <v>76</v>
      </c>
      <c r="AC907" s="11"/>
      <c r="AD907" s="11"/>
      <c r="AE907" s="11"/>
      <c r="AF907" s="11"/>
      <c r="AG907" t="s" s="10">
        <v>299</v>
      </c>
      <c r="AH907" t="s" s="10">
        <v>106</v>
      </c>
      <c r="AI907" t="s" s="10">
        <v>76</v>
      </c>
      <c r="AJ907" t="s" s="10">
        <v>76</v>
      </c>
      <c r="AK907" t="s" s="10">
        <v>79</v>
      </c>
      <c r="AL907" t="s" s="10">
        <v>293</v>
      </c>
      <c r="AM907" t="s" s="10">
        <v>294</v>
      </c>
      <c r="AN907" s="11"/>
      <c r="AO907" s="11"/>
      <c r="AP907" s="11"/>
      <c r="AQ907" s="11"/>
      <c r="AR907" s="11"/>
      <c r="AS907" t="s" s="10">
        <v>3556</v>
      </c>
      <c r="AT907" t="s" s="10">
        <v>301</v>
      </c>
      <c r="AU907" s="11"/>
      <c r="AV907" s="11"/>
      <c r="AW907" s="11"/>
      <c r="AX907" s="11"/>
      <c r="AY907" s="11"/>
      <c r="AZ907" s="11"/>
      <c r="BA907" s="11"/>
      <c r="BB907" s="11"/>
      <c r="BC907" s="11"/>
      <c r="BD907" s="11"/>
      <c r="BE907" s="11"/>
      <c r="BF907" s="11"/>
      <c r="BG907" s="11"/>
      <c r="BH907" s="11"/>
      <c r="BI907" s="11"/>
      <c r="BJ907" s="11"/>
      <c r="BK907" s="11"/>
      <c r="BL907" s="11"/>
      <c r="BM907" s="11"/>
      <c r="BN907" t="s" s="10">
        <v>78</v>
      </c>
      <c r="BO907" s="12"/>
      <c r="BP907" s="8"/>
    </row>
    <row r="908" ht="13.55" customHeight="1">
      <c r="A908" t="s" s="13">
        <v>3557</v>
      </c>
      <c r="B908" s="14"/>
      <c r="C908" t="str" s="14" cm="1">
        <f t="array" ref="C908">_xlfn.IFERROR((VLOOKUP(A908,#REF!,2,FALSE)),"")</f>
      </c>
      <c r="D908" s="14"/>
      <c r="E908" s="14"/>
      <c r="F908" s="14"/>
      <c r="G908" t="s" s="15">
        <v>3558</v>
      </c>
      <c r="H908" t="s" s="15">
        <v>2113</v>
      </c>
      <c r="I908" t="s" s="15">
        <v>111</v>
      </c>
      <c r="J908" t="s" s="15">
        <v>122</v>
      </c>
      <c r="K908" t="s" s="15">
        <v>113</v>
      </c>
      <c r="L908" t="s" s="15">
        <v>2114</v>
      </c>
      <c r="M908" t="s" s="15">
        <v>3558</v>
      </c>
      <c r="N908" s="14"/>
      <c r="O908" s="14"/>
      <c r="P908" t="s" s="15">
        <v>122</v>
      </c>
      <c r="Q908" t="s" s="15">
        <v>69</v>
      </c>
      <c r="R908" t="s" s="15">
        <v>83</v>
      </c>
      <c r="S908" s="14"/>
      <c r="T908" s="14"/>
      <c r="U908" s="14"/>
      <c r="V908" t="s" s="15">
        <v>69</v>
      </c>
      <c r="W908" s="14"/>
      <c r="X908" t="s" s="15">
        <v>78</v>
      </c>
      <c r="Y908" s="14"/>
      <c r="Z908" t="s" s="15">
        <v>1639</v>
      </c>
      <c r="AA908" s="14"/>
      <c r="AB908" t="s" s="15">
        <v>2115</v>
      </c>
      <c r="AC908" t="s" s="15">
        <v>3557</v>
      </c>
      <c r="AD908" t="s" s="15">
        <v>3559</v>
      </c>
      <c r="AE908" s="14"/>
      <c r="AF908" t="s" s="15">
        <v>2116</v>
      </c>
      <c r="AG908" t="s" s="15">
        <v>299</v>
      </c>
      <c r="AH908" t="s" s="15">
        <v>114</v>
      </c>
      <c r="AI908" t="s" s="15">
        <v>332</v>
      </c>
      <c r="AJ908" t="s" s="15">
        <v>798</v>
      </c>
      <c r="AK908" t="s" s="15">
        <v>83</v>
      </c>
      <c r="AL908" t="s" s="15">
        <v>293</v>
      </c>
      <c r="AM908" t="s" s="15">
        <v>294</v>
      </c>
      <c r="AN908" t="s" s="15">
        <v>3560</v>
      </c>
      <c r="AO908" s="17">
        <v>4</v>
      </c>
      <c r="AP908" s="17">
        <v>8192</v>
      </c>
      <c r="AQ908" s="17">
        <v>161882</v>
      </c>
      <c r="AR908" s="17">
        <v>111974</v>
      </c>
      <c r="AS908" t="s" s="15">
        <v>3561</v>
      </c>
      <c r="AT908" t="s" s="15">
        <v>301</v>
      </c>
      <c r="AU908" s="14"/>
      <c r="AV908" s="14"/>
      <c r="AW908" s="14"/>
      <c r="AX908" s="14"/>
      <c r="AY908" s="14"/>
      <c r="AZ908" s="14"/>
      <c r="BA908" s="14"/>
      <c r="BB908" s="14"/>
      <c r="BC908" s="14"/>
      <c r="BD908" t="s" s="15">
        <v>310</v>
      </c>
      <c r="BE908" t="s" s="15">
        <v>356</v>
      </c>
      <c r="BF908" s="17">
        <v>4</v>
      </c>
      <c r="BG908" s="17">
        <v>8</v>
      </c>
      <c r="BH908" s="14"/>
      <c r="BI908" s="14"/>
      <c r="BJ908" s="14"/>
      <c r="BK908" s="14"/>
      <c r="BL908" s="14"/>
      <c r="BM908" s="14"/>
      <c r="BN908" t="s" s="15">
        <v>69</v>
      </c>
      <c r="BO908" s="16"/>
      <c r="BP908" s="8"/>
    </row>
    <row r="909" ht="13.55" customHeight="1">
      <c r="A909" t="s" s="9">
        <v>3562</v>
      </c>
      <c r="B909" s="11"/>
      <c r="C909" t="str" s="11" cm="1">
        <f t="array" ref="C909">_xlfn.IFERROR((VLOOKUP(A909,#REF!,2,FALSE)),"")</f>
      </c>
      <c r="D909" s="11"/>
      <c r="E909" s="11"/>
      <c r="F909" s="11"/>
      <c r="G909" t="s" s="10">
        <v>3558</v>
      </c>
      <c r="H909" t="s" s="10">
        <v>2113</v>
      </c>
      <c r="I909" t="s" s="10">
        <v>111</v>
      </c>
      <c r="J909" t="s" s="10">
        <v>122</v>
      </c>
      <c r="K909" t="s" s="10">
        <v>113</v>
      </c>
      <c r="L909" t="s" s="10">
        <v>2114</v>
      </c>
      <c r="M909" t="s" s="10">
        <v>3558</v>
      </c>
      <c r="N909" s="11"/>
      <c r="O909" s="11"/>
      <c r="P909" t="s" s="10">
        <v>122</v>
      </c>
      <c r="Q909" t="s" s="10">
        <v>69</v>
      </c>
      <c r="R909" t="s" s="10">
        <v>83</v>
      </c>
      <c r="S909" s="11"/>
      <c r="T909" s="11"/>
      <c r="U909" s="11"/>
      <c r="V909" t="s" s="10">
        <v>69</v>
      </c>
      <c r="W909" s="11"/>
      <c r="X909" t="s" s="10">
        <v>78</v>
      </c>
      <c r="Y909" s="11"/>
      <c r="Z909" t="s" s="10">
        <v>1639</v>
      </c>
      <c r="AA909" s="11"/>
      <c r="AB909" t="s" s="10">
        <v>2115</v>
      </c>
      <c r="AC909" t="s" s="10">
        <v>3562</v>
      </c>
      <c r="AD909" t="s" s="10">
        <v>3563</v>
      </c>
      <c r="AE909" s="11"/>
      <c r="AF909" t="s" s="10">
        <v>2116</v>
      </c>
      <c r="AG909" t="s" s="10">
        <v>299</v>
      </c>
      <c r="AH909" t="s" s="10">
        <v>114</v>
      </c>
      <c r="AI909" t="s" s="10">
        <v>332</v>
      </c>
      <c r="AJ909" t="s" s="10">
        <v>798</v>
      </c>
      <c r="AK909" t="s" s="10">
        <v>83</v>
      </c>
      <c r="AL909" t="s" s="10">
        <v>293</v>
      </c>
      <c r="AM909" t="s" s="10">
        <v>294</v>
      </c>
      <c r="AN909" t="s" s="10">
        <v>190</v>
      </c>
      <c r="AO909" s="18">
        <v>4</v>
      </c>
      <c r="AP909" s="18">
        <v>8192</v>
      </c>
      <c r="AQ909" s="18">
        <v>161877</v>
      </c>
      <c r="AR909" s="18">
        <v>53233</v>
      </c>
      <c r="AS909" t="s" s="10">
        <v>3564</v>
      </c>
      <c r="AT909" t="s" s="10">
        <v>301</v>
      </c>
      <c r="AU909" s="11"/>
      <c r="AV909" s="11"/>
      <c r="AW909" s="11"/>
      <c r="AX909" s="11"/>
      <c r="AY909" s="11"/>
      <c r="AZ909" s="11"/>
      <c r="BA909" s="11"/>
      <c r="BB909" s="11"/>
      <c r="BC909" s="11"/>
      <c r="BD909" t="s" s="10">
        <v>310</v>
      </c>
      <c r="BE909" t="s" s="10">
        <v>356</v>
      </c>
      <c r="BF909" s="18">
        <v>4</v>
      </c>
      <c r="BG909" s="18">
        <v>8</v>
      </c>
      <c r="BH909" s="11"/>
      <c r="BI909" s="11"/>
      <c r="BJ909" s="11"/>
      <c r="BK909" s="11"/>
      <c r="BL909" s="11"/>
      <c r="BM909" s="11"/>
      <c r="BN909" t="s" s="10">
        <v>69</v>
      </c>
      <c r="BO909" s="12"/>
      <c r="BP909" s="8"/>
    </row>
    <row r="910" ht="15" customHeight="1" hidden="1">
      <c r="A910" t="s" s="13">
        <v>3565</v>
      </c>
      <c r="B910" s="14"/>
      <c r="C910" t="str" s="14" cm="1">
        <f t="array" ref="C910">_xlfn.IFERROR((VLOOKUP(A910,#REF!,2,FALSE)),"")</f>
      </c>
      <c r="D910" s="14"/>
      <c r="E910" t="s" s="41">
        <v>3566</v>
      </c>
      <c r="F910" t="s" s="15">
        <v>76</v>
      </c>
      <c r="G910" t="s" s="15">
        <v>3567</v>
      </c>
      <c r="H910" t="s" s="15">
        <v>3568</v>
      </c>
      <c r="I910" t="s" s="15">
        <v>111</v>
      </c>
      <c r="J910" t="s" s="15">
        <v>469</v>
      </c>
      <c r="K910" t="s" s="15">
        <v>113</v>
      </c>
      <c r="L910" t="s" s="15">
        <v>2114</v>
      </c>
      <c r="M910" t="s" s="15">
        <v>3567</v>
      </c>
      <c r="N910" s="14"/>
      <c r="O910" t="s" s="15">
        <v>1162</v>
      </c>
      <c r="P910" t="s" s="15">
        <v>469</v>
      </c>
      <c r="Q910" t="s" s="15">
        <v>69</v>
      </c>
      <c r="R910" t="s" s="15">
        <v>83</v>
      </c>
      <c r="S910" t="s" s="15">
        <v>69</v>
      </c>
      <c r="T910" s="14"/>
      <c r="U910" s="14"/>
      <c r="V910" t="s" s="15">
        <v>69</v>
      </c>
      <c r="W910" s="14"/>
      <c r="X910" t="s" s="15">
        <v>78</v>
      </c>
      <c r="Y910" s="14"/>
      <c r="Z910" t="s" s="15">
        <v>1639</v>
      </c>
      <c r="AA910" s="14"/>
      <c r="AB910" t="s" s="15">
        <v>3569</v>
      </c>
      <c r="AC910" t="s" s="15">
        <v>3565</v>
      </c>
      <c r="AD910" s="14"/>
      <c r="AE910" s="14"/>
      <c r="AF910" s="14"/>
      <c r="AG910" t="s" s="15">
        <v>299</v>
      </c>
      <c r="AH910" t="s" s="15">
        <v>114</v>
      </c>
      <c r="AI910" t="s" s="15">
        <v>290</v>
      </c>
      <c r="AJ910" t="s" s="15">
        <v>798</v>
      </c>
      <c r="AK910" t="s" s="15">
        <v>292</v>
      </c>
      <c r="AL910" t="s" s="15">
        <v>293</v>
      </c>
      <c r="AM910" t="s" s="15">
        <v>294</v>
      </c>
      <c r="AN910" t="s" s="15">
        <v>128</v>
      </c>
      <c r="AO910" s="17">
        <v>4</v>
      </c>
      <c r="AP910" s="17">
        <v>4096</v>
      </c>
      <c r="AQ910" s="17">
        <v>208998</v>
      </c>
      <c r="AR910" s="17">
        <v>208998</v>
      </c>
      <c r="AS910" t="s" s="15">
        <v>3570</v>
      </c>
      <c r="AT910" t="s" s="15">
        <v>301</v>
      </c>
      <c r="AU910" t="s" s="15">
        <v>3571</v>
      </c>
      <c r="AV910" t="s" s="15">
        <v>76</v>
      </c>
      <c r="AW910" t="s" s="15">
        <v>83</v>
      </c>
      <c r="AX910" t="s" s="15">
        <v>83</v>
      </c>
      <c r="AY910" t="s" s="15">
        <v>309</v>
      </c>
      <c r="AZ910" t="s" s="15">
        <v>83</v>
      </c>
      <c r="BA910" t="s" s="15">
        <v>76</v>
      </c>
      <c r="BB910" t="s" s="15">
        <v>76</v>
      </c>
      <c r="BC910" t="s" s="15">
        <v>76</v>
      </c>
      <c r="BD910" t="s" s="15">
        <v>310</v>
      </c>
      <c r="BE910" t="s" s="15">
        <v>356</v>
      </c>
      <c r="BF910" s="17">
        <v>4</v>
      </c>
      <c r="BG910" s="17">
        <v>8</v>
      </c>
      <c r="BH910" t="s" s="15">
        <v>83</v>
      </c>
      <c r="BI910" t="s" s="15">
        <v>83</v>
      </c>
      <c r="BJ910" t="s" s="15">
        <v>83</v>
      </c>
      <c r="BK910" t="s" s="15">
        <v>83</v>
      </c>
      <c r="BL910" t="s" s="15">
        <v>83</v>
      </c>
      <c r="BM910" t="s" s="15">
        <v>312</v>
      </c>
      <c r="BN910" t="s" s="15">
        <v>78</v>
      </c>
      <c r="BO910" t="s" s="21">
        <v>76</v>
      </c>
      <c r="BP910" s="8"/>
    </row>
    <row r="911" ht="15" customHeight="1" hidden="1">
      <c r="A911" t="s" s="9">
        <v>3572</v>
      </c>
      <c r="B911" s="11"/>
      <c r="C911" t="str" s="11" cm="1">
        <f t="array" ref="C911">_xlfn.IFERROR((VLOOKUP(A911,#REF!,2,FALSE)),"")</f>
      </c>
      <c r="D911" s="11"/>
      <c r="E911" t="s" s="10">
        <v>3573</v>
      </c>
      <c r="F911" s="11"/>
      <c r="G911" t="s" s="10">
        <v>3574</v>
      </c>
      <c r="H911" t="s" s="10">
        <v>3568</v>
      </c>
      <c r="I911" t="s" s="10">
        <v>111</v>
      </c>
      <c r="J911" t="s" s="10">
        <v>469</v>
      </c>
      <c r="K911" t="s" s="10">
        <v>113</v>
      </c>
      <c r="L911" t="s" s="10">
        <v>2114</v>
      </c>
      <c r="M911" t="s" s="10">
        <v>3574</v>
      </c>
      <c r="N911" s="11"/>
      <c r="O911" s="11"/>
      <c r="P911" t="s" s="10">
        <v>469</v>
      </c>
      <c r="Q911" t="s" s="10">
        <v>69</v>
      </c>
      <c r="R911" t="s" s="10">
        <v>83</v>
      </c>
      <c r="S911" s="11"/>
      <c r="T911" s="11"/>
      <c r="U911" s="11"/>
      <c r="V911" t="s" s="10">
        <v>69</v>
      </c>
      <c r="W911" s="11"/>
      <c r="X911" t="s" s="10">
        <v>78</v>
      </c>
      <c r="Y911" s="11"/>
      <c r="Z911" t="s" s="10">
        <v>1639</v>
      </c>
      <c r="AA911" s="11"/>
      <c r="AB911" t="s" s="10">
        <v>3569</v>
      </c>
      <c r="AC911" t="s" s="10">
        <v>3572</v>
      </c>
      <c r="AD911" t="s" s="10">
        <v>3575</v>
      </c>
      <c r="AE911" s="11"/>
      <c r="AF911" t="s" s="10">
        <v>3568</v>
      </c>
      <c r="AG911" t="s" s="10">
        <v>299</v>
      </c>
      <c r="AH911" t="s" s="10">
        <v>114</v>
      </c>
      <c r="AI911" t="s" s="10">
        <v>332</v>
      </c>
      <c r="AJ911" t="s" s="10">
        <v>798</v>
      </c>
      <c r="AK911" t="s" s="10">
        <v>292</v>
      </c>
      <c r="AL911" t="s" s="10">
        <v>293</v>
      </c>
      <c r="AM911" t="s" s="10">
        <v>294</v>
      </c>
      <c r="AN911" t="s" s="10">
        <v>187</v>
      </c>
      <c r="AO911" s="18">
        <v>4</v>
      </c>
      <c r="AP911" s="18">
        <v>4096</v>
      </c>
      <c r="AQ911" s="18">
        <v>208990</v>
      </c>
      <c r="AR911" s="18">
        <v>208990</v>
      </c>
      <c r="AS911" t="s" s="10">
        <v>3576</v>
      </c>
      <c r="AT911" t="s" s="10">
        <v>301</v>
      </c>
      <c r="AU911" s="11"/>
      <c r="AV911" s="11"/>
      <c r="AW911" s="11"/>
      <c r="AX911" s="11"/>
      <c r="AY911" s="11"/>
      <c r="AZ911" s="11"/>
      <c r="BA911" s="11"/>
      <c r="BB911" s="11"/>
      <c r="BC911" s="11"/>
      <c r="BD911" t="s" s="10">
        <v>310</v>
      </c>
      <c r="BE911" t="s" s="10">
        <v>356</v>
      </c>
      <c r="BF911" s="18">
        <v>4</v>
      </c>
      <c r="BG911" s="18">
        <v>8</v>
      </c>
      <c r="BH911" s="11"/>
      <c r="BI911" s="11"/>
      <c r="BJ911" s="11"/>
      <c r="BK911" s="11"/>
      <c r="BL911" s="11"/>
      <c r="BM911" s="11"/>
      <c r="BN911" t="s" s="10">
        <v>78</v>
      </c>
      <c r="BO911" s="12"/>
      <c r="BP911" s="8"/>
    </row>
    <row r="912" ht="15" customHeight="1" hidden="1">
      <c r="A912" t="s" s="13">
        <v>3577</v>
      </c>
      <c r="B912" s="14"/>
      <c r="C912" t="str" s="14" cm="1">
        <f t="array" ref="C912">_xlfn.IFERROR((VLOOKUP(A912,#REF!,2,FALSE)),"")</f>
      </c>
      <c r="D912" t="s" s="15">
        <v>70</v>
      </c>
      <c r="E912" t="s" s="15">
        <v>3573</v>
      </c>
      <c r="F912" s="14"/>
      <c r="G912" t="s" s="15">
        <v>3578</v>
      </c>
      <c r="H912" t="s" s="15">
        <v>3568</v>
      </c>
      <c r="I912" t="s" s="15">
        <v>111</v>
      </c>
      <c r="J912" t="s" s="15">
        <v>469</v>
      </c>
      <c r="K912" t="s" s="15">
        <v>113</v>
      </c>
      <c r="L912" t="s" s="15">
        <v>2114</v>
      </c>
      <c r="M912" t="s" s="15">
        <v>3579</v>
      </c>
      <c r="N912" t="s" s="15">
        <v>3578</v>
      </c>
      <c r="O912" s="14"/>
      <c r="P912" t="s" s="15">
        <v>469</v>
      </c>
      <c r="Q912" t="s" s="15">
        <v>78</v>
      </c>
      <c r="R912" t="s" s="15">
        <v>83</v>
      </c>
      <c r="S912" s="14"/>
      <c r="T912" s="14"/>
      <c r="U912" s="14"/>
      <c r="V912" t="s" s="15">
        <v>69</v>
      </c>
      <c r="W912" s="14"/>
      <c r="X912" t="s" s="15">
        <v>78</v>
      </c>
      <c r="Y912" s="14"/>
      <c r="Z912" t="s" s="15">
        <v>1639</v>
      </c>
      <c r="AA912" s="14"/>
      <c r="AB912" t="s" s="15">
        <v>3569</v>
      </c>
      <c r="AC912" s="14"/>
      <c r="AD912" s="14"/>
      <c r="AE912" s="14"/>
      <c r="AF912" t="s" s="15">
        <v>3568</v>
      </c>
      <c r="AG912" t="s" s="15">
        <v>299</v>
      </c>
      <c r="AH912" t="s" s="15">
        <v>114</v>
      </c>
      <c r="AI912" t="s" s="15">
        <v>332</v>
      </c>
      <c r="AJ912" t="s" s="15">
        <v>827</v>
      </c>
      <c r="AK912" t="s" s="15">
        <v>292</v>
      </c>
      <c r="AL912" t="s" s="15">
        <v>293</v>
      </c>
      <c r="AM912" t="s" s="15">
        <v>294</v>
      </c>
      <c r="AN912" t="s" s="15">
        <v>3580</v>
      </c>
      <c r="AO912" s="17">
        <v>4</v>
      </c>
      <c r="AP912" s="17">
        <v>8192</v>
      </c>
      <c r="AQ912" s="17">
        <v>161933</v>
      </c>
      <c r="AR912" s="17">
        <v>161933</v>
      </c>
      <c r="AS912" t="s" s="15">
        <v>3250</v>
      </c>
      <c r="AT912" t="s" s="15">
        <v>301</v>
      </c>
      <c r="AU912" s="14"/>
      <c r="AV912" s="14"/>
      <c r="AW912" s="14"/>
      <c r="AX912" s="14"/>
      <c r="AY912" s="14"/>
      <c r="AZ912" s="14"/>
      <c r="BA912" s="14"/>
      <c r="BB912" s="14"/>
      <c r="BC912" s="14"/>
      <c r="BD912" t="s" s="15">
        <v>310</v>
      </c>
      <c r="BE912" t="s" s="15">
        <v>356</v>
      </c>
      <c r="BF912" s="17">
        <v>4</v>
      </c>
      <c r="BG912" s="17">
        <v>8</v>
      </c>
      <c r="BH912" s="14"/>
      <c r="BI912" s="14"/>
      <c r="BJ912" s="14"/>
      <c r="BK912" s="14"/>
      <c r="BL912" s="14"/>
      <c r="BM912" s="14"/>
      <c r="BN912" t="s" s="15">
        <v>78</v>
      </c>
      <c r="BO912" s="16"/>
      <c r="BP912" s="8"/>
    </row>
    <row r="913" ht="9" customHeight="1" hidden="1">
      <c r="A913" t="s" s="9">
        <v>3581</v>
      </c>
      <c r="B913" s="11"/>
      <c r="C913" t="str" s="11" cm="1">
        <f t="array" ref="C913">_xlfn.IFERROR((VLOOKUP(A913,#REF!,2,FALSE)),"")</f>
      </c>
      <c r="D913" t="s" s="10">
        <v>70</v>
      </c>
      <c r="E913" t="s" s="10">
        <v>3573</v>
      </c>
      <c r="F913" s="11"/>
      <c r="G913" t="s" s="10">
        <v>3582</v>
      </c>
      <c r="H913" t="s" s="10">
        <v>3568</v>
      </c>
      <c r="I913" t="s" s="10">
        <v>111</v>
      </c>
      <c r="J913" t="s" s="10">
        <v>112</v>
      </c>
      <c r="K913" t="s" s="10">
        <v>113</v>
      </c>
      <c r="L913" t="s" s="10">
        <v>2114</v>
      </c>
      <c r="M913" t="s" s="10">
        <v>3583</v>
      </c>
      <c r="N913" t="s" s="10">
        <v>3582</v>
      </c>
      <c r="O913" s="11"/>
      <c r="P913" t="s" s="10">
        <v>469</v>
      </c>
      <c r="Q913" t="s" s="10">
        <v>78</v>
      </c>
      <c r="R913" t="s" s="10">
        <v>83</v>
      </c>
      <c r="S913" s="11"/>
      <c r="T913" s="11"/>
      <c r="U913" s="11"/>
      <c r="V913" t="s" s="10">
        <v>78</v>
      </c>
      <c r="W913" s="11"/>
      <c r="X913" t="s" s="10">
        <v>78</v>
      </c>
      <c r="Y913" s="11"/>
      <c r="Z913" t="s" s="10">
        <v>1639</v>
      </c>
      <c r="AA913" s="11"/>
      <c r="AB913" t="s" s="10">
        <v>3569</v>
      </c>
      <c r="AC913" s="11"/>
      <c r="AD913" s="11"/>
      <c r="AE913" s="11"/>
      <c r="AF913" t="s" s="10">
        <v>3584</v>
      </c>
      <c r="AG913" t="s" s="10">
        <v>299</v>
      </c>
      <c r="AH913" t="s" s="10">
        <v>114</v>
      </c>
      <c r="AI913" t="s" s="10">
        <v>332</v>
      </c>
      <c r="AJ913" t="s" s="10">
        <v>827</v>
      </c>
      <c r="AK913" t="s" s="10">
        <v>292</v>
      </c>
      <c r="AL913" t="s" s="10">
        <v>293</v>
      </c>
      <c r="AM913" t="s" s="10">
        <v>294</v>
      </c>
      <c r="AN913" s="11"/>
      <c r="AO913" s="18">
        <v>4</v>
      </c>
      <c r="AP913" s="18">
        <v>32768</v>
      </c>
      <c r="AQ913" s="18">
        <v>135264</v>
      </c>
      <c r="AR913" s="18">
        <v>135264</v>
      </c>
      <c r="AS913" t="s" s="10">
        <v>3585</v>
      </c>
      <c r="AT913" t="s" s="10">
        <v>301</v>
      </c>
      <c r="AU913" s="11"/>
      <c r="AV913" s="11"/>
      <c r="AW913" s="11"/>
      <c r="AX913" s="11"/>
      <c r="AY913" s="11"/>
      <c r="AZ913" s="11"/>
      <c r="BA913" s="11"/>
      <c r="BB913" s="11"/>
      <c r="BC913" s="11"/>
      <c r="BD913" t="s" s="10">
        <v>428</v>
      </c>
      <c r="BE913" t="s" s="10">
        <v>1482</v>
      </c>
      <c r="BF913" s="18">
        <v>4</v>
      </c>
      <c r="BG913" s="18">
        <v>32</v>
      </c>
      <c r="BH913" s="11"/>
      <c r="BI913" s="11"/>
      <c r="BJ913" s="11"/>
      <c r="BK913" s="11"/>
      <c r="BL913" s="11"/>
      <c r="BM913" s="11"/>
      <c r="BN913" t="s" s="10">
        <v>78</v>
      </c>
      <c r="BO913" s="12"/>
      <c r="BP913" s="8"/>
    </row>
    <row r="914" ht="9" customHeight="1" hidden="1">
      <c r="A914" t="s" s="13">
        <v>3586</v>
      </c>
      <c r="B914" s="14"/>
      <c r="C914" t="str" s="14" cm="1">
        <f t="array" ref="C914">_xlfn.IFERROR((VLOOKUP(A914,#REF!,2,FALSE)),"")</f>
      </c>
      <c r="D914" s="14"/>
      <c r="E914" t="s" s="15">
        <v>3587</v>
      </c>
      <c r="F914" s="14"/>
      <c r="G914" t="s" s="15">
        <v>3588</v>
      </c>
      <c r="H914" t="s" s="15">
        <v>3568</v>
      </c>
      <c r="I914" t="s" s="15">
        <v>111</v>
      </c>
      <c r="J914" t="s" s="15">
        <v>122</v>
      </c>
      <c r="K914" t="s" s="15">
        <v>113</v>
      </c>
      <c r="L914" t="s" s="15">
        <v>2114</v>
      </c>
      <c r="M914" s="14"/>
      <c r="N914" s="14"/>
      <c r="O914" t="s" s="15">
        <v>286</v>
      </c>
      <c r="P914" s="14"/>
      <c r="Q914" s="14"/>
      <c r="R914" t="s" s="15">
        <v>83</v>
      </c>
      <c r="S914" s="14"/>
      <c r="T914" s="14"/>
      <c r="U914" s="14"/>
      <c r="V914" s="14"/>
      <c r="W914" s="14"/>
      <c r="X914" s="14"/>
      <c r="Y914" s="14"/>
      <c r="Z914" t="s" s="15">
        <v>1639</v>
      </c>
      <c r="AA914" s="14"/>
      <c r="AB914" t="s" s="15">
        <v>3569</v>
      </c>
      <c r="AC914" s="14"/>
      <c r="AD914" s="14"/>
      <c r="AE914" s="14"/>
      <c r="AF914" s="14"/>
      <c r="AG914" t="s" s="15">
        <v>299</v>
      </c>
      <c r="AH914" t="s" s="15">
        <v>83</v>
      </c>
      <c r="AI914" t="s" s="15">
        <v>83</v>
      </c>
      <c r="AJ914" t="s" s="15">
        <v>83</v>
      </c>
      <c r="AK914" t="s" s="15">
        <v>292</v>
      </c>
      <c r="AL914" t="s" s="15">
        <v>293</v>
      </c>
      <c r="AM914" t="s" s="15">
        <v>294</v>
      </c>
      <c r="AN914" t="s" s="15">
        <v>2700</v>
      </c>
      <c r="AO914" s="14"/>
      <c r="AP914" s="14"/>
      <c r="AQ914" s="14"/>
      <c r="AR914" s="14"/>
      <c r="AS914" t="s" s="15">
        <v>3589</v>
      </c>
      <c r="AT914" s="14"/>
      <c r="AU914" s="14"/>
      <c r="AV914" s="14"/>
      <c r="AW914" s="14"/>
      <c r="AX914" s="14"/>
      <c r="AY914" s="14"/>
      <c r="AZ914" s="14"/>
      <c r="BA914" s="14"/>
      <c r="BB914" s="14"/>
      <c r="BC914" s="14"/>
      <c r="BD914" t="s" s="15">
        <v>366</v>
      </c>
      <c r="BE914" t="s" s="24">
        <v>489</v>
      </c>
      <c r="BF914" s="20"/>
      <c r="BG914" s="20"/>
      <c r="BH914" s="14"/>
      <c r="BI914" s="14"/>
      <c r="BJ914" s="14"/>
      <c r="BK914" s="14"/>
      <c r="BL914" s="14"/>
      <c r="BM914" s="14"/>
      <c r="BN914" t="s" s="15">
        <v>78</v>
      </c>
      <c r="BO914" s="16"/>
      <c r="BP914" s="8"/>
    </row>
    <row r="915" ht="9" customHeight="1" hidden="1">
      <c r="A915" t="s" s="9">
        <v>3590</v>
      </c>
      <c r="B915" s="11"/>
      <c r="C915" t="str" s="11" cm="1">
        <f t="array" ref="C915">_xlfn.IFERROR((VLOOKUP(A915,#REF!,2,FALSE)),"")</f>
      </c>
      <c r="D915" s="11"/>
      <c r="E915" s="11"/>
      <c r="F915" s="11"/>
      <c r="G915" t="s" s="10">
        <v>3591</v>
      </c>
      <c r="H915" t="s" s="10">
        <v>3592</v>
      </c>
      <c r="I915" t="s" s="10">
        <v>111</v>
      </c>
      <c r="J915" t="s" s="10">
        <v>122</v>
      </c>
      <c r="K915" t="s" s="10">
        <v>210</v>
      </c>
      <c r="L915" t="s" s="10">
        <v>76</v>
      </c>
      <c r="M915" t="s" s="10">
        <v>3591</v>
      </c>
      <c r="N915" s="11"/>
      <c r="O915" s="11"/>
      <c r="P915" t="s" s="10">
        <v>122</v>
      </c>
      <c r="Q915" t="s" s="10">
        <v>69</v>
      </c>
      <c r="R915" t="s" s="10">
        <v>83</v>
      </c>
      <c r="S915" s="11"/>
      <c r="T915" s="11"/>
      <c r="U915" s="11"/>
      <c r="V915" t="s" s="10">
        <v>78</v>
      </c>
      <c r="W915" s="11"/>
      <c r="X915" t="s" s="10">
        <v>78</v>
      </c>
      <c r="Y915" s="11"/>
      <c r="Z915" t="s" s="10">
        <v>76</v>
      </c>
      <c r="AA915" s="11"/>
      <c r="AB915" t="s" s="10">
        <v>76</v>
      </c>
      <c r="AC915" t="s" s="10">
        <v>3590</v>
      </c>
      <c r="AD915" t="s" s="10">
        <v>3593</v>
      </c>
      <c r="AE915" s="11"/>
      <c r="AF915" s="11"/>
      <c r="AG915" t="s" s="10">
        <v>299</v>
      </c>
      <c r="AH915" t="s" s="10">
        <v>106</v>
      </c>
      <c r="AI915" t="s" s="10">
        <v>76</v>
      </c>
      <c r="AJ915" t="s" s="10">
        <v>76</v>
      </c>
      <c r="AK915" t="s" s="10">
        <v>79</v>
      </c>
      <c r="AL915" s="11"/>
      <c r="AM915" s="11"/>
      <c r="AN915" s="11"/>
      <c r="AO915" s="11"/>
      <c r="AP915" s="11"/>
      <c r="AQ915" s="11"/>
      <c r="AR915" s="11"/>
      <c r="AS915" t="s" s="10">
        <v>3594</v>
      </c>
      <c r="AT915" t="s" s="10">
        <v>301</v>
      </c>
      <c r="AU915" s="11"/>
      <c r="AV915" s="11"/>
      <c r="AW915" s="11"/>
      <c r="AX915" s="11"/>
      <c r="AY915" s="11"/>
      <c r="AZ915" s="11"/>
      <c r="BA915" s="11"/>
      <c r="BB915" s="11"/>
      <c r="BC915" s="11"/>
      <c r="BD915" t="s" s="10">
        <v>366</v>
      </c>
      <c r="BE915" t="s" s="10">
        <v>394</v>
      </c>
      <c r="BF915" s="11"/>
      <c r="BG915" s="11"/>
      <c r="BH915" s="11"/>
      <c r="BI915" s="11"/>
      <c r="BJ915" s="11"/>
      <c r="BK915" s="11"/>
      <c r="BL915" s="11"/>
      <c r="BM915" s="11"/>
      <c r="BN915" t="s" s="10">
        <v>69</v>
      </c>
      <c r="BO915" s="12"/>
      <c r="BP915" s="8"/>
    </row>
    <row r="916" ht="9" customHeight="1" hidden="1">
      <c r="A916" t="s" s="13">
        <v>3595</v>
      </c>
      <c r="B916" s="14"/>
      <c r="C916" t="str" s="14" cm="1">
        <f t="array" ref="C916">_xlfn.IFERROR((VLOOKUP(A916,#REF!,2,FALSE)),"")</f>
      </c>
      <c r="D916" s="14"/>
      <c r="E916" t="s" s="15">
        <v>2258</v>
      </c>
      <c r="F916" s="14"/>
      <c r="G916" t="s" s="15">
        <v>3596</v>
      </c>
      <c r="H916" t="s" s="15">
        <v>1758</v>
      </c>
      <c r="I916" t="s" s="15">
        <v>111</v>
      </c>
      <c r="J916" t="s" s="15">
        <v>469</v>
      </c>
      <c r="K916" s="14"/>
      <c r="L916" t="s" s="15">
        <v>83</v>
      </c>
      <c r="M916" s="14"/>
      <c r="N916" s="14"/>
      <c r="O916" t="s" s="15">
        <v>1162</v>
      </c>
      <c r="P916" s="14"/>
      <c r="Q916" s="14"/>
      <c r="R916" t="s" s="15">
        <v>76</v>
      </c>
      <c r="S916" s="14"/>
      <c r="T916" s="14"/>
      <c r="U916" s="14"/>
      <c r="V916" s="14"/>
      <c r="W916" s="14"/>
      <c r="X916" s="14"/>
      <c r="Y916" s="14"/>
      <c r="Z916" t="s" s="15">
        <v>83</v>
      </c>
      <c r="AA916" s="14"/>
      <c r="AB916" t="s" s="15">
        <v>83</v>
      </c>
      <c r="AC916" s="14"/>
      <c r="AD916" s="14"/>
      <c r="AE916" s="14"/>
      <c r="AF916" s="14"/>
      <c r="AG916" t="s" s="15">
        <v>299</v>
      </c>
      <c r="AH916" t="s" s="15">
        <v>83</v>
      </c>
      <c r="AI916" t="s" s="15">
        <v>83</v>
      </c>
      <c r="AJ916" t="s" s="15">
        <v>83</v>
      </c>
      <c r="AK916" t="s" s="15">
        <v>83</v>
      </c>
      <c r="AL916" t="s" s="15">
        <v>293</v>
      </c>
      <c r="AM916" t="s" s="15">
        <v>294</v>
      </c>
      <c r="AN916" t="s" s="15">
        <v>2700</v>
      </c>
      <c r="AO916" s="14"/>
      <c r="AP916" s="14"/>
      <c r="AQ916" s="14"/>
      <c r="AR916" s="14"/>
      <c r="AS916" t="s" s="15">
        <v>3597</v>
      </c>
      <c r="AT916" s="14"/>
      <c r="AU916" s="14"/>
      <c r="AV916" s="14"/>
      <c r="AW916" s="14"/>
      <c r="AX916" s="14"/>
      <c r="AY916" s="14"/>
      <c r="AZ916" s="14"/>
      <c r="BA916" s="14"/>
      <c r="BB916" s="14"/>
      <c r="BC916" s="14"/>
      <c r="BD916" s="14"/>
      <c r="BE916" s="14"/>
      <c r="BF916" s="14"/>
      <c r="BG916" s="14"/>
      <c r="BH916" s="14"/>
      <c r="BI916" s="14"/>
      <c r="BJ916" s="14"/>
      <c r="BK916" s="14"/>
      <c r="BL916" s="14"/>
      <c r="BM916" s="14"/>
      <c r="BN916" t="s" s="15">
        <v>78</v>
      </c>
      <c r="BO916" s="16"/>
      <c r="BP916" s="8"/>
    </row>
    <row r="917" ht="9" customHeight="1" hidden="1">
      <c r="A917" t="s" s="9">
        <v>3598</v>
      </c>
      <c r="B917" s="11"/>
      <c r="C917" t="str" s="11" cm="1">
        <f t="array" ref="C917">_xlfn.IFERROR((VLOOKUP(A917,#REF!,2,FALSE)),"")</f>
      </c>
      <c r="D917" s="11"/>
      <c r="E917" t="s" s="10">
        <v>2398</v>
      </c>
      <c r="F917" s="11"/>
      <c r="G917" t="s" s="10">
        <v>3591</v>
      </c>
      <c r="H917" t="s" s="10">
        <v>3599</v>
      </c>
      <c r="I917" t="s" s="10">
        <v>111</v>
      </c>
      <c r="J917" t="s" s="10">
        <v>469</v>
      </c>
      <c r="K917" t="s" s="10">
        <v>210</v>
      </c>
      <c r="L917" t="s" s="10">
        <v>76</v>
      </c>
      <c r="M917" s="11"/>
      <c r="N917" s="11"/>
      <c r="O917" t="s" s="10">
        <v>469</v>
      </c>
      <c r="P917" s="11"/>
      <c r="Q917" s="11"/>
      <c r="R917" t="s" s="10">
        <v>83</v>
      </c>
      <c r="S917" s="11"/>
      <c r="T917" s="11"/>
      <c r="U917" s="11"/>
      <c r="V917" s="11"/>
      <c r="W917" s="11"/>
      <c r="X917" s="11"/>
      <c r="Y917" s="11"/>
      <c r="Z917" t="s" s="10">
        <v>76</v>
      </c>
      <c r="AA917" s="11"/>
      <c r="AB917" t="s" s="10">
        <v>76</v>
      </c>
      <c r="AC917" s="11"/>
      <c r="AD917" s="11"/>
      <c r="AE917" s="11"/>
      <c r="AF917" s="11"/>
      <c r="AG917" t="s" s="10">
        <v>299</v>
      </c>
      <c r="AH917" t="s" s="10">
        <v>106</v>
      </c>
      <c r="AI917" t="s" s="10">
        <v>76</v>
      </c>
      <c r="AJ917" t="s" s="10">
        <v>76</v>
      </c>
      <c r="AK917" t="s" s="10">
        <v>79</v>
      </c>
      <c r="AL917" t="s" s="10">
        <v>293</v>
      </c>
      <c r="AM917" t="s" s="10">
        <v>294</v>
      </c>
      <c r="AN917" t="s" s="10">
        <v>2704</v>
      </c>
      <c r="AO917" s="11"/>
      <c r="AP917" s="11"/>
      <c r="AQ917" s="11"/>
      <c r="AR917" s="11"/>
      <c r="AS917" t="s" s="10">
        <v>3600</v>
      </c>
      <c r="AT917" t="s" s="10">
        <v>301</v>
      </c>
      <c r="AU917" s="11"/>
      <c r="AV917" s="11"/>
      <c r="AW917" s="11"/>
      <c r="AX917" s="11"/>
      <c r="AY917" s="11"/>
      <c r="AZ917" s="11"/>
      <c r="BA917" s="11"/>
      <c r="BB917" s="11"/>
      <c r="BC917" s="11"/>
      <c r="BD917" t="s" s="10">
        <v>310</v>
      </c>
      <c r="BE917" t="s" s="10">
        <v>356</v>
      </c>
      <c r="BF917" s="11"/>
      <c r="BG917" s="11"/>
      <c r="BH917" s="11"/>
      <c r="BI917" s="11"/>
      <c r="BJ917" s="11"/>
      <c r="BK917" s="11"/>
      <c r="BL917" s="11"/>
      <c r="BM917" s="11"/>
      <c r="BN917" t="s" s="10">
        <v>78</v>
      </c>
      <c r="BO917" s="12"/>
      <c r="BP917" s="8"/>
    </row>
    <row r="918" ht="9" customHeight="1" hidden="1">
      <c r="A918" t="s" s="13">
        <v>3601</v>
      </c>
      <c r="B918" s="14"/>
      <c r="C918" t="str" s="14" cm="1">
        <f t="array" ref="C918">_xlfn.IFERROR((VLOOKUP(A918,#REF!,2,FALSE)),"")</f>
      </c>
      <c r="D918" s="14"/>
      <c r="E918" t="s" s="15">
        <v>3602</v>
      </c>
      <c r="F918" s="14"/>
      <c r="G918" t="s" s="15">
        <v>3603</v>
      </c>
      <c r="H918" t="s" s="15">
        <v>3603</v>
      </c>
      <c r="I918" t="s" s="15">
        <v>111</v>
      </c>
      <c r="J918" t="s" s="15">
        <v>122</v>
      </c>
      <c r="K918" t="s" s="15">
        <v>113</v>
      </c>
      <c r="L918" t="s" s="15">
        <v>76</v>
      </c>
      <c r="M918" t="s" s="15">
        <v>3603</v>
      </c>
      <c r="N918" t="s" s="15">
        <v>3603</v>
      </c>
      <c r="O918" t="s" s="15">
        <v>71</v>
      </c>
      <c r="P918" t="s" s="15">
        <v>122</v>
      </c>
      <c r="Q918" t="s" s="15">
        <v>69</v>
      </c>
      <c r="R918" t="s" s="15">
        <v>83</v>
      </c>
      <c r="S918" s="14"/>
      <c r="T918" s="14"/>
      <c r="U918" s="14"/>
      <c r="V918" t="s" s="15">
        <v>69</v>
      </c>
      <c r="W918" s="14"/>
      <c r="X918" t="s" s="15">
        <v>69</v>
      </c>
      <c r="Y918" s="14"/>
      <c r="Z918" t="s" s="15">
        <v>76</v>
      </c>
      <c r="AA918" s="14"/>
      <c r="AB918" t="s" s="15">
        <v>76</v>
      </c>
      <c r="AC918" t="s" s="15">
        <v>3601</v>
      </c>
      <c r="AD918" t="s" s="15">
        <v>3604</v>
      </c>
      <c r="AE918" s="14"/>
      <c r="AF918" s="14"/>
      <c r="AG918" t="s" s="15">
        <v>299</v>
      </c>
      <c r="AH918" t="s" s="15">
        <v>114</v>
      </c>
      <c r="AI918" t="s" s="15">
        <v>76</v>
      </c>
      <c r="AJ918" t="s" s="15">
        <v>76</v>
      </c>
      <c r="AK918" t="s" s="15">
        <v>79</v>
      </c>
      <c r="AL918" t="s" s="15">
        <v>293</v>
      </c>
      <c r="AM918" t="s" s="15">
        <v>294</v>
      </c>
      <c r="AN918" t="s" s="15">
        <v>1199</v>
      </c>
      <c r="AO918" s="17">
        <v>4</v>
      </c>
      <c r="AP918" s="17">
        <v>4096</v>
      </c>
      <c r="AQ918" s="17">
        <v>116825</v>
      </c>
      <c r="AR918" s="17">
        <v>116825</v>
      </c>
      <c r="AS918" t="s" s="15">
        <v>3605</v>
      </c>
      <c r="AT918" t="s" s="15">
        <v>301</v>
      </c>
      <c r="AU918" s="14"/>
      <c r="AV918" s="14"/>
      <c r="AW918" s="14"/>
      <c r="AX918" s="14"/>
      <c r="AY918" s="14"/>
      <c r="AZ918" s="14"/>
      <c r="BA918" s="14"/>
      <c r="BB918" s="14"/>
      <c r="BC918" s="14"/>
      <c r="BD918" t="s" s="15">
        <v>310</v>
      </c>
      <c r="BE918" t="s" s="15">
        <v>356</v>
      </c>
      <c r="BF918" s="17">
        <v>4</v>
      </c>
      <c r="BG918" s="17">
        <v>8</v>
      </c>
      <c r="BH918" s="14"/>
      <c r="BI918" s="14"/>
      <c r="BJ918" s="14"/>
      <c r="BK918" s="14"/>
      <c r="BL918" s="14"/>
      <c r="BM918" s="14"/>
      <c r="BN918" t="s" s="15">
        <v>69</v>
      </c>
      <c r="BO918" s="16"/>
      <c r="BP918" s="8"/>
    </row>
    <row r="919" ht="13.55" customHeight="1">
      <c r="A919" t="s" s="9">
        <v>3606</v>
      </c>
      <c r="B919" s="11"/>
      <c r="C919" t="str" s="11" cm="1">
        <f t="array" ref="C919">_xlfn.IFERROR((VLOOKUP(A919,#REF!,2,FALSE)),"")</f>
      </c>
      <c r="D919" s="11"/>
      <c r="E919" s="11"/>
      <c r="F919" s="11"/>
      <c r="G919" t="s" s="10">
        <v>3607</v>
      </c>
      <c r="H919" t="s" s="10">
        <v>3608</v>
      </c>
      <c r="I919" t="s" s="10">
        <v>111</v>
      </c>
      <c r="J919" t="s" s="10">
        <v>122</v>
      </c>
      <c r="K919" t="s" s="10">
        <v>113</v>
      </c>
      <c r="L919" t="s" s="10">
        <v>518</v>
      </c>
      <c r="M919" t="s" s="10">
        <v>3607</v>
      </c>
      <c r="N919" t="s" s="10">
        <v>3607</v>
      </c>
      <c r="O919" s="11"/>
      <c r="P919" t="s" s="10">
        <v>122</v>
      </c>
      <c r="Q919" t="s" s="10">
        <v>69</v>
      </c>
      <c r="R919" t="s" s="10">
        <v>83</v>
      </c>
      <c r="S919" s="11"/>
      <c r="T919" s="11"/>
      <c r="U919" s="11"/>
      <c r="V919" t="s" s="10">
        <v>69</v>
      </c>
      <c r="W919" s="11"/>
      <c r="X919" t="s" s="10">
        <v>69</v>
      </c>
      <c r="Y919" s="11"/>
      <c r="Z919" t="s" s="10">
        <v>965</v>
      </c>
      <c r="AA919" s="11"/>
      <c r="AB919" t="s" s="10">
        <v>1154</v>
      </c>
      <c r="AC919" t="s" s="10">
        <v>3606</v>
      </c>
      <c r="AD919" t="s" s="10">
        <v>3609</v>
      </c>
      <c r="AE919" s="11"/>
      <c r="AF919" s="11"/>
      <c r="AG919" t="s" s="10">
        <v>299</v>
      </c>
      <c r="AH919" t="s" s="10">
        <v>114</v>
      </c>
      <c r="AI919" t="s" s="10">
        <v>440</v>
      </c>
      <c r="AJ919" s="11"/>
      <c r="AK919" t="s" s="10">
        <v>83</v>
      </c>
      <c r="AL919" t="s" s="10">
        <v>293</v>
      </c>
      <c r="AM919" t="s" s="10">
        <v>294</v>
      </c>
      <c r="AN919" t="s" s="10">
        <v>334</v>
      </c>
      <c r="AO919" s="18">
        <v>2</v>
      </c>
      <c r="AP919" s="18">
        <v>4096</v>
      </c>
      <c r="AQ919" s="18">
        <v>157778</v>
      </c>
      <c r="AR919" s="18">
        <v>157778</v>
      </c>
      <c r="AS919" t="s" s="10">
        <v>3610</v>
      </c>
      <c r="AT919" t="s" s="10">
        <v>301</v>
      </c>
      <c r="AU919" s="11"/>
      <c r="AV919" s="11"/>
      <c r="AW919" s="11"/>
      <c r="AX919" s="11"/>
      <c r="AY919" s="11"/>
      <c r="AZ919" s="11"/>
      <c r="BA919" s="11"/>
      <c r="BB919" s="11"/>
      <c r="BC919" s="11"/>
      <c r="BD919" t="s" s="10">
        <v>310</v>
      </c>
      <c r="BE919" t="s" s="10">
        <v>419</v>
      </c>
      <c r="BF919" s="18">
        <v>2</v>
      </c>
      <c r="BG919" s="18">
        <v>4</v>
      </c>
      <c r="BH919" s="11"/>
      <c r="BI919" s="11"/>
      <c r="BJ919" s="11"/>
      <c r="BK919" s="11"/>
      <c r="BL919" s="11"/>
      <c r="BM919" s="11"/>
      <c r="BN919" t="s" s="10">
        <v>69</v>
      </c>
      <c r="BO919" s="12"/>
      <c r="BP919" s="8"/>
    </row>
    <row r="920" ht="13.55" customHeight="1">
      <c r="A920" t="s" s="13">
        <v>3611</v>
      </c>
      <c r="B920" s="14"/>
      <c r="C920" t="str" s="14" cm="1">
        <f t="array" ref="C920">_xlfn.IFERROR((VLOOKUP(A920,#REF!,2,FALSE)),"")</f>
      </c>
      <c r="D920" s="14"/>
      <c r="E920" s="14"/>
      <c r="F920" s="14"/>
      <c r="G920" t="s" s="15">
        <v>3612</v>
      </c>
      <c r="H920" t="s" s="15">
        <v>3608</v>
      </c>
      <c r="I920" t="s" s="15">
        <v>111</v>
      </c>
      <c r="J920" t="s" s="15">
        <v>122</v>
      </c>
      <c r="K920" t="s" s="15">
        <v>113</v>
      </c>
      <c r="L920" t="s" s="15">
        <v>518</v>
      </c>
      <c r="M920" t="s" s="15">
        <v>3612</v>
      </c>
      <c r="N920" t="s" s="15">
        <v>3612</v>
      </c>
      <c r="O920" s="14"/>
      <c r="P920" t="s" s="15">
        <v>122</v>
      </c>
      <c r="Q920" t="s" s="15">
        <v>78</v>
      </c>
      <c r="R920" t="s" s="15">
        <v>83</v>
      </c>
      <c r="S920" s="14"/>
      <c r="T920" s="14"/>
      <c r="U920" s="14"/>
      <c r="V920" t="s" s="15">
        <v>69</v>
      </c>
      <c r="W920" s="14"/>
      <c r="X920" t="s" s="15">
        <v>69</v>
      </c>
      <c r="Y920" s="14"/>
      <c r="Z920" t="s" s="15">
        <v>965</v>
      </c>
      <c r="AA920" s="14"/>
      <c r="AB920" t="s" s="15">
        <v>1154</v>
      </c>
      <c r="AC920" s="14"/>
      <c r="AD920" s="14"/>
      <c r="AE920" s="14"/>
      <c r="AF920" s="14"/>
      <c r="AG920" t="s" s="15">
        <v>299</v>
      </c>
      <c r="AH920" t="s" s="15">
        <v>114</v>
      </c>
      <c r="AI920" t="s" s="15">
        <v>440</v>
      </c>
      <c r="AJ920" s="14"/>
      <c r="AK920" t="s" s="15">
        <v>83</v>
      </c>
      <c r="AL920" t="s" s="15">
        <v>293</v>
      </c>
      <c r="AM920" t="s" s="15">
        <v>294</v>
      </c>
      <c r="AN920" t="s" s="15">
        <v>334</v>
      </c>
      <c r="AO920" s="17">
        <v>2</v>
      </c>
      <c r="AP920" s="17">
        <v>4096</v>
      </c>
      <c r="AQ920" s="17">
        <v>106578</v>
      </c>
      <c r="AR920" s="17">
        <v>106578</v>
      </c>
      <c r="AS920" t="s" s="15">
        <v>3613</v>
      </c>
      <c r="AT920" s="14"/>
      <c r="AU920" s="14"/>
      <c r="AV920" s="14"/>
      <c r="AW920" s="14"/>
      <c r="AX920" s="14"/>
      <c r="AY920" s="14"/>
      <c r="AZ920" s="14"/>
      <c r="BA920" s="14"/>
      <c r="BB920" s="14"/>
      <c r="BC920" s="14"/>
      <c r="BD920" t="s" s="15">
        <v>310</v>
      </c>
      <c r="BE920" t="s" s="15">
        <v>419</v>
      </c>
      <c r="BF920" s="17">
        <v>2</v>
      </c>
      <c r="BG920" s="17">
        <v>4</v>
      </c>
      <c r="BH920" s="14"/>
      <c r="BI920" s="14"/>
      <c r="BJ920" s="14"/>
      <c r="BK920" s="14"/>
      <c r="BL920" s="14"/>
      <c r="BM920" s="14"/>
      <c r="BN920" t="s" s="15">
        <v>69</v>
      </c>
      <c r="BO920" s="16"/>
      <c r="BP920" s="8"/>
    </row>
    <row r="921" ht="13.55" customHeight="1">
      <c r="A921" t="s" s="9">
        <v>3614</v>
      </c>
      <c r="B921" s="11"/>
      <c r="C921" t="str" s="11" cm="1">
        <f t="array" ref="C921">_xlfn.IFERROR((VLOOKUP(A921,#REF!,2,FALSE)),"")</f>
      </c>
      <c r="D921" s="11"/>
      <c r="E921" s="11"/>
      <c r="F921" s="11"/>
      <c r="G921" t="s" s="10">
        <v>3615</v>
      </c>
      <c r="H921" t="s" s="10">
        <v>2863</v>
      </c>
      <c r="I921" t="s" s="10">
        <v>111</v>
      </c>
      <c r="J921" t="s" s="10">
        <v>122</v>
      </c>
      <c r="K921" t="s" s="10">
        <v>113</v>
      </c>
      <c r="L921" t="s" s="10">
        <v>2864</v>
      </c>
      <c r="M921" t="s" s="10">
        <v>3615</v>
      </c>
      <c r="N921" t="s" s="10">
        <v>3615</v>
      </c>
      <c r="O921" s="11"/>
      <c r="P921" t="s" s="10">
        <v>122</v>
      </c>
      <c r="Q921" t="s" s="10">
        <v>69</v>
      </c>
      <c r="R921" t="s" s="10">
        <v>323</v>
      </c>
      <c r="S921" t="s" s="10">
        <v>69</v>
      </c>
      <c r="T921" s="11"/>
      <c r="U921" s="11"/>
      <c r="V921" t="s" s="10">
        <v>69</v>
      </c>
      <c r="W921" s="11"/>
      <c r="X921" t="s" s="10">
        <v>69</v>
      </c>
      <c r="Y921" s="11"/>
      <c r="Z921" t="s" s="10">
        <v>2866</v>
      </c>
      <c r="AA921" s="11"/>
      <c r="AB921" t="s" s="10">
        <v>2867</v>
      </c>
      <c r="AC921" t="s" s="10">
        <v>3614</v>
      </c>
      <c r="AD921" s="11"/>
      <c r="AE921" s="11"/>
      <c r="AF921" s="11"/>
      <c r="AG921" t="s" s="10">
        <v>299</v>
      </c>
      <c r="AH921" t="s" s="10">
        <v>114</v>
      </c>
      <c r="AI921" t="s" s="10">
        <v>440</v>
      </c>
      <c r="AJ921" s="11"/>
      <c r="AK921" t="s" s="10">
        <v>292</v>
      </c>
      <c r="AL921" t="s" s="10">
        <v>293</v>
      </c>
      <c r="AM921" t="s" s="10">
        <v>294</v>
      </c>
      <c r="AN921" t="s" s="10">
        <v>334</v>
      </c>
      <c r="AO921" s="18">
        <v>4</v>
      </c>
      <c r="AP921" s="18">
        <v>8192</v>
      </c>
      <c r="AQ921" s="18">
        <v>110760</v>
      </c>
      <c r="AR921" s="18">
        <v>110760</v>
      </c>
      <c r="AS921" t="s" s="10">
        <v>3616</v>
      </c>
      <c r="AT921" s="11"/>
      <c r="AU921" s="11"/>
      <c r="AV921" s="11"/>
      <c r="AW921" s="11"/>
      <c r="AX921" s="11"/>
      <c r="AY921" s="11"/>
      <c r="AZ921" s="11"/>
      <c r="BA921" s="11"/>
      <c r="BB921" s="11"/>
      <c r="BC921" s="11"/>
      <c r="BD921" t="s" s="10">
        <v>310</v>
      </c>
      <c r="BE921" t="s" s="10">
        <v>356</v>
      </c>
      <c r="BF921" s="18">
        <v>4</v>
      </c>
      <c r="BG921" s="18">
        <v>8</v>
      </c>
      <c r="BH921" s="11"/>
      <c r="BI921" s="11"/>
      <c r="BJ921" s="11"/>
      <c r="BK921" s="11"/>
      <c r="BL921" s="11"/>
      <c r="BM921" s="11"/>
      <c r="BN921" t="s" s="10">
        <v>69</v>
      </c>
      <c r="BO921" s="12"/>
      <c r="BP921" s="8"/>
    </row>
    <row r="922" ht="9" customHeight="1" hidden="1">
      <c r="A922" t="s" s="13">
        <v>3617</v>
      </c>
      <c r="B922" s="14"/>
      <c r="C922" t="str" s="14" cm="1">
        <f t="array" ref="C922">_xlfn.IFERROR((VLOOKUP(A922,#REF!,2,FALSE)),"")</f>
      </c>
      <c r="D922" s="14"/>
      <c r="E922" s="14"/>
      <c r="F922" s="14"/>
      <c r="G922" t="s" s="15">
        <v>3618</v>
      </c>
      <c r="H922" t="s" s="15">
        <v>2863</v>
      </c>
      <c r="I922" t="s" s="15">
        <v>82</v>
      </c>
      <c r="J922" t="s" s="15">
        <v>82</v>
      </c>
      <c r="K922" t="s" s="15">
        <v>82</v>
      </c>
      <c r="L922" t="s" s="15">
        <v>2864</v>
      </c>
      <c r="M922" t="s" s="15">
        <v>77</v>
      </c>
      <c r="N922" t="s" s="15">
        <v>3618</v>
      </c>
      <c r="O922" s="14"/>
      <c r="P922" s="14"/>
      <c r="Q922" t="s" s="15">
        <v>78</v>
      </c>
      <c r="R922" t="s" s="15">
        <v>323</v>
      </c>
      <c r="S922" t="s" s="15">
        <v>69</v>
      </c>
      <c r="T922" s="14"/>
      <c r="U922" s="14"/>
      <c r="V922" t="s" s="15">
        <v>69</v>
      </c>
      <c r="W922" s="14"/>
      <c r="X922" t="s" s="15">
        <v>69</v>
      </c>
      <c r="Y922" s="14"/>
      <c r="Z922" t="s" s="15">
        <v>2866</v>
      </c>
      <c r="AA922" s="14"/>
      <c r="AB922" t="s" s="15">
        <v>2867</v>
      </c>
      <c r="AC922" s="14"/>
      <c r="AD922" s="14"/>
      <c r="AE922" s="14"/>
      <c r="AF922" s="14"/>
      <c r="AG922" t="s" s="15">
        <v>288</v>
      </c>
      <c r="AH922" t="s" s="15">
        <v>114</v>
      </c>
      <c r="AI922" t="s" s="15">
        <v>440</v>
      </c>
      <c r="AJ922" s="14"/>
      <c r="AK922" t="s" s="15">
        <v>292</v>
      </c>
      <c r="AL922" s="14"/>
      <c r="AM922" s="14"/>
      <c r="AN922" t="s" s="15">
        <v>128</v>
      </c>
      <c r="AO922" s="14"/>
      <c r="AP922" s="14"/>
      <c r="AQ922" s="14"/>
      <c r="AR922" s="14"/>
      <c r="AS922" t="s" s="15">
        <v>3619</v>
      </c>
      <c r="AT922" s="14"/>
      <c r="AU922" s="14"/>
      <c r="AV922" s="14"/>
      <c r="AW922" s="14"/>
      <c r="AX922" s="14"/>
      <c r="AY922" s="14"/>
      <c r="AZ922" s="14"/>
      <c r="BA922" s="14"/>
      <c r="BB922" s="14"/>
      <c r="BC922" s="14"/>
      <c r="BD922" t="s" s="15">
        <v>118</v>
      </c>
      <c r="BE922" s="14"/>
      <c r="BF922" s="14"/>
      <c r="BG922" s="14"/>
      <c r="BH922" s="14"/>
      <c r="BI922" s="14"/>
      <c r="BJ922" s="14"/>
      <c r="BK922" s="14"/>
      <c r="BL922" s="14"/>
      <c r="BM922" s="14"/>
      <c r="BN922" s="14"/>
      <c r="BO922" s="16"/>
      <c r="BP922" s="8"/>
    </row>
    <row r="923" ht="13.55" customHeight="1">
      <c r="A923" t="s" s="9">
        <v>3620</v>
      </c>
      <c r="B923" s="11"/>
      <c r="C923" t="str" s="11" cm="1">
        <f t="array" ref="C923">_xlfn.IFERROR((VLOOKUP(A923,#REF!,2,FALSE)),"")</f>
      </c>
      <c r="D923" t="s" s="10">
        <v>70</v>
      </c>
      <c r="E923" t="s" s="10">
        <v>961</v>
      </c>
      <c r="F923" s="11"/>
      <c r="G923" t="s" s="10">
        <v>3621</v>
      </c>
      <c r="H923" t="s" s="10">
        <v>3621</v>
      </c>
      <c r="I923" t="s" s="10">
        <v>111</v>
      </c>
      <c r="J923" t="s" s="10">
        <v>122</v>
      </c>
      <c r="K923" t="s" s="10">
        <v>127</v>
      </c>
      <c r="L923" t="s" s="10">
        <v>3622</v>
      </c>
      <c r="M923" t="s" s="10">
        <v>3623</v>
      </c>
      <c r="N923" t="s" s="10">
        <v>3624</v>
      </c>
      <c r="O923" s="11"/>
      <c r="P923" t="s" s="10">
        <v>122</v>
      </c>
      <c r="Q923" t="s" s="10">
        <v>78</v>
      </c>
      <c r="R923" t="s" s="10">
        <v>83</v>
      </c>
      <c r="S923" s="11"/>
      <c r="T923" s="11"/>
      <c r="U923" s="11"/>
      <c r="V923" t="s" s="10">
        <v>69</v>
      </c>
      <c r="W923" s="11"/>
      <c r="X923" t="s" s="10">
        <v>78</v>
      </c>
      <c r="Y923" s="11"/>
      <c r="Z923" t="s" s="10">
        <v>965</v>
      </c>
      <c r="AA923" s="11"/>
      <c r="AB923" t="s" s="10">
        <v>1154</v>
      </c>
      <c r="AC923" s="11"/>
      <c r="AD923" s="11"/>
      <c r="AE923" s="11"/>
      <c r="AF923" s="11"/>
      <c r="AG923" t="s" s="10">
        <v>299</v>
      </c>
      <c r="AH923" t="s" s="10">
        <v>106</v>
      </c>
      <c r="AI923" t="s" s="10">
        <v>440</v>
      </c>
      <c r="AJ923" s="11"/>
      <c r="AK923" t="s" s="10">
        <v>79</v>
      </c>
      <c r="AL923" t="s" s="10">
        <v>293</v>
      </c>
      <c r="AM923" t="s" s="10">
        <v>294</v>
      </c>
      <c r="AN923" t="s" s="10">
        <v>128</v>
      </c>
      <c r="AO923" s="18">
        <v>2</v>
      </c>
      <c r="AP923" s="18">
        <v>4096</v>
      </c>
      <c r="AQ923" s="18">
        <v>229458</v>
      </c>
      <c r="AR923" s="18">
        <v>229458</v>
      </c>
      <c r="AS923" t="s" s="10">
        <v>3625</v>
      </c>
      <c r="AT923" s="11"/>
      <c r="AU923" s="11"/>
      <c r="AV923" s="11"/>
      <c r="AW923" s="11"/>
      <c r="AX923" s="11"/>
      <c r="AY923" s="11"/>
      <c r="AZ923" s="11"/>
      <c r="BA923" s="11"/>
      <c r="BB923" s="11"/>
      <c r="BC923" s="11"/>
      <c r="BD923" t="s" s="10">
        <v>428</v>
      </c>
      <c r="BE923" t="s" s="25">
        <v>481</v>
      </c>
      <c r="BF923" s="23"/>
      <c r="BG923" s="23"/>
      <c r="BH923" s="11"/>
      <c r="BI923" s="11"/>
      <c r="BJ923" s="11"/>
      <c r="BK923" s="11"/>
      <c r="BL923" s="11"/>
      <c r="BM923" s="11"/>
      <c r="BN923" t="s" s="10">
        <v>69</v>
      </c>
      <c r="BO923" s="12"/>
      <c r="BP923" s="8"/>
    </row>
    <row r="924" ht="9" customHeight="1" hidden="1">
      <c r="A924" t="s" s="13">
        <v>3626</v>
      </c>
      <c r="B924" s="14"/>
      <c r="C924" t="str" s="14" cm="1">
        <f t="array" ref="C924">_xlfn.IFERROR((VLOOKUP(A924,#REF!,2,FALSE)),"")</f>
      </c>
      <c r="D924" s="14"/>
      <c r="E924" t="s" s="15">
        <v>3627</v>
      </c>
      <c r="F924" s="14"/>
      <c r="G924" t="s" s="15">
        <v>3628</v>
      </c>
      <c r="H924" t="s" s="15">
        <v>3629</v>
      </c>
      <c r="I924" t="s" s="15">
        <v>111</v>
      </c>
      <c r="J924" t="s" s="15">
        <v>122</v>
      </c>
      <c r="K924" t="s" s="15">
        <v>113</v>
      </c>
      <c r="L924" t="s" s="15">
        <v>76</v>
      </c>
      <c r="M924" t="s" s="15">
        <v>3630</v>
      </c>
      <c r="N924" t="s" s="15">
        <v>3630</v>
      </c>
      <c r="O924" s="14"/>
      <c r="P924" t="s" s="15">
        <v>122</v>
      </c>
      <c r="Q924" t="s" s="15">
        <v>69</v>
      </c>
      <c r="R924" t="s" s="15">
        <v>83</v>
      </c>
      <c r="S924" s="14"/>
      <c r="T924" s="14"/>
      <c r="U924" s="14"/>
      <c r="V924" t="s" s="15">
        <v>69</v>
      </c>
      <c r="W924" s="14"/>
      <c r="X924" t="s" s="15">
        <v>69</v>
      </c>
      <c r="Y924" s="14"/>
      <c r="Z924" t="s" s="15">
        <v>76</v>
      </c>
      <c r="AA924" s="14"/>
      <c r="AB924" t="s" s="15">
        <v>76</v>
      </c>
      <c r="AC924" t="s" s="15">
        <v>3626</v>
      </c>
      <c r="AD924" t="s" s="15">
        <v>3631</v>
      </c>
      <c r="AE924" s="14"/>
      <c r="AF924" s="14"/>
      <c r="AG924" t="s" s="15">
        <v>299</v>
      </c>
      <c r="AH924" t="s" s="15">
        <v>114</v>
      </c>
      <c r="AI924" t="s" s="15">
        <v>76</v>
      </c>
      <c r="AJ924" t="s" s="15">
        <v>76</v>
      </c>
      <c r="AK924" t="s" s="15">
        <v>79</v>
      </c>
      <c r="AL924" t="s" s="15">
        <v>293</v>
      </c>
      <c r="AM924" t="s" s="15">
        <v>294</v>
      </c>
      <c r="AN924" t="s" s="15">
        <v>128</v>
      </c>
      <c r="AO924" s="17">
        <v>4</v>
      </c>
      <c r="AP924" s="17">
        <v>8192</v>
      </c>
      <c r="AQ924" s="17">
        <v>147544</v>
      </c>
      <c r="AR924" s="17">
        <v>147544</v>
      </c>
      <c r="AS924" t="s" s="15">
        <v>3632</v>
      </c>
      <c r="AT924" t="s" s="15">
        <v>301</v>
      </c>
      <c r="AU924" s="14"/>
      <c r="AV924" s="14"/>
      <c r="AW924" s="14"/>
      <c r="AX924" s="14"/>
      <c r="AY924" s="14"/>
      <c r="AZ924" s="14"/>
      <c r="BA924" s="14"/>
      <c r="BB924" s="14"/>
      <c r="BC924" s="14"/>
      <c r="BD924" t="s" s="15">
        <v>310</v>
      </c>
      <c r="BE924" t="s" s="15">
        <v>356</v>
      </c>
      <c r="BF924" s="17">
        <v>4</v>
      </c>
      <c r="BG924" s="17">
        <v>8</v>
      </c>
      <c r="BH924" s="14"/>
      <c r="BI924" s="14"/>
      <c r="BJ924" s="14"/>
      <c r="BK924" s="14"/>
      <c r="BL924" s="14"/>
      <c r="BM924" s="14"/>
      <c r="BN924" t="s" s="15">
        <v>69</v>
      </c>
      <c r="BO924" s="16"/>
      <c r="BP924" s="8"/>
    </row>
    <row r="925" ht="9" customHeight="1" hidden="1">
      <c r="A925" t="s" s="9">
        <v>3633</v>
      </c>
      <c r="B925" s="11"/>
      <c r="C925" t="str" s="11" cm="1">
        <f t="array" ref="C925">_xlfn.IFERROR((VLOOKUP(A925,#REF!,2,FALSE)),"")</f>
      </c>
      <c r="D925" s="11"/>
      <c r="E925" t="s" s="10">
        <v>3634</v>
      </c>
      <c r="F925" s="11"/>
      <c r="G925" t="s" s="10">
        <v>3635</v>
      </c>
      <c r="H925" t="s" s="10">
        <v>3636</v>
      </c>
      <c r="I925" t="s" s="10">
        <v>111</v>
      </c>
      <c r="J925" t="s" s="10">
        <v>322</v>
      </c>
      <c r="K925" t="s" s="10">
        <v>825</v>
      </c>
      <c r="L925" t="s" s="10">
        <v>76</v>
      </c>
      <c r="M925" t="s" s="10">
        <v>3637</v>
      </c>
      <c r="N925" t="s" s="10">
        <v>3637</v>
      </c>
      <c r="O925" s="11"/>
      <c r="P925" t="s" s="10">
        <v>322</v>
      </c>
      <c r="Q925" t="s" s="10">
        <v>69</v>
      </c>
      <c r="R925" t="s" s="10">
        <v>3638</v>
      </c>
      <c r="S925" s="11"/>
      <c r="T925" s="11"/>
      <c r="U925" s="11"/>
      <c r="V925" t="s" s="10">
        <v>69</v>
      </c>
      <c r="W925" s="11"/>
      <c r="X925" t="s" s="10">
        <v>69</v>
      </c>
      <c r="Y925" s="11"/>
      <c r="Z925" t="s" s="10">
        <v>76</v>
      </c>
      <c r="AA925" s="11"/>
      <c r="AB925" t="s" s="10">
        <v>76</v>
      </c>
      <c r="AC925" t="s" s="10">
        <v>3633</v>
      </c>
      <c r="AD925" t="s" s="10">
        <v>3639</v>
      </c>
      <c r="AE925" s="11"/>
      <c r="AF925" s="11"/>
      <c r="AG925" t="s" s="10">
        <v>299</v>
      </c>
      <c r="AH925" t="s" s="10">
        <v>114</v>
      </c>
      <c r="AI925" t="s" s="10">
        <v>76</v>
      </c>
      <c r="AJ925" t="s" s="10">
        <v>76</v>
      </c>
      <c r="AK925" t="s" s="10">
        <v>79</v>
      </c>
      <c r="AL925" t="s" s="10">
        <v>293</v>
      </c>
      <c r="AM925" t="s" s="10">
        <v>294</v>
      </c>
      <c r="AN925" t="s" s="10">
        <v>264</v>
      </c>
      <c r="AO925" s="18">
        <v>4</v>
      </c>
      <c r="AP925" s="18">
        <v>5120</v>
      </c>
      <c r="AQ925" s="18">
        <v>210038</v>
      </c>
      <c r="AR925" s="18">
        <v>182627</v>
      </c>
      <c r="AS925" t="s" s="10">
        <v>3640</v>
      </c>
      <c r="AT925" t="s" s="10">
        <v>301</v>
      </c>
      <c r="AU925" s="11"/>
      <c r="AV925" s="11"/>
      <c r="AW925" s="11"/>
      <c r="AX925" s="11"/>
      <c r="AY925" s="11"/>
      <c r="AZ925" s="11"/>
      <c r="BA925" s="11"/>
      <c r="BB925" s="11"/>
      <c r="BC925" s="11"/>
      <c r="BD925" t="s" s="10">
        <v>310</v>
      </c>
      <c r="BE925" t="s" s="10">
        <v>356</v>
      </c>
      <c r="BF925" s="18">
        <v>4</v>
      </c>
      <c r="BG925" s="18">
        <v>8</v>
      </c>
      <c r="BH925" s="11"/>
      <c r="BI925" s="11"/>
      <c r="BJ925" s="11"/>
      <c r="BK925" s="11"/>
      <c r="BL925" s="11"/>
      <c r="BM925" s="11"/>
      <c r="BN925" t="s" s="10">
        <v>78</v>
      </c>
      <c r="BO925" s="12"/>
      <c r="BP925" s="8"/>
    </row>
    <row r="926" ht="9" customHeight="1" hidden="1">
      <c r="A926" t="s" s="13">
        <v>3641</v>
      </c>
      <c r="B926" s="14"/>
      <c r="C926" t="str" s="14" cm="1">
        <f t="array" ref="C926">_xlfn.IFERROR((VLOOKUP(A926,#REF!,2,FALSE)),"")</f>
      </c>
      <c r="D926" s="14"/>
      <c r="E926" s="14"/>
      <c r="F926" s="14"/>
      <c r="G926" t="s" s="15">
        <v>3642</v>
      </c>
      <c r="H926" t="s" s="15">
        <v>3642</v>
      </c>
      <c r="I926" t="s" s="15">
        <v>111</v>
      </c>
      <c r="J926" t="s" s="15">
        <v>122</v>
      </c>
      <c r="K926" t="s" s="15">
        <v>113</v>
      </c>
      <c r="L926" t="s" s="15">
        <v>76</v>
      </c>
      <c r="M926" t="s" s="15">
        <v>3642</v>
      </c>
      <c r="N926" t="s" s="15">
        <v>3642</v>
      </c>
      <c r="O926" s="14"/>
      <c r="P926" t="s" s="15">
        <v>122</v>
      </c>
      <c r="Q926" t="s" s="15">
        <v>78</v>
      </c>
      <c r="R926" t="s" s="15">
        <v>83</v>
      </c>
      <c r="S926" s="14"/>
      <c r="T926" s="14"/>
      <c r="U926" s="14"/>
      <c r="V926" t="s" s="15">
        <v>78</v>
      </c>
      <c r="W926" s="14"/>
      <c r="X926" t="s" s="15">
        <v>69</v>
      </c>
      <c r="Y926" s="14"/>
      <c r="Z926" t="s" s="15">
        <v>76</v>
      </c>
      <c r="AA926" s="14"/>
      <c r="AB926" t="s" s="15">
        <v>76</v>
      </c>
      <c r="AC926" s="14"/>
      <c r="AD926" s="14"/>
      <c r="AE926" s="14"/>
      <c r="AF926" s="14"/>
      <c r="AG926" t="s" s="15">
        <v>299</v>
      </c>
      <c r="AH926" t="s" s="15">
        <v>114</v>
      </c>
      <c r="AI926" t="s" s="15">
        <v>76</v>
      </c>
      <c r="AJ926" t="s" s="15">
        <v>76</v>
      </c>
      <c r="AK926" t="s" s="15">
        <v>79</v>
      </c>
      <c r="AL926" t="s" s="15">
        <v>293</v>
      </c>
      <c r="AM926" t="s" s="15">
        <v>294</v>
      </c>
      <c r="AN926" s="14"/>
      <c r="AO926" s="17">
        <v>2</v>
      </c>
      <c r="AP926" s="17">
        <v>2048</v>
      </c>
      <c r="AQ926" s="17">
        <v>53330</v>
      </c>
      <c r="AR926" s="17">
        <v>53330</v>
      </c>
      <c r="AS926" t="s" s="15">
        <v>3643</v>
      </c>
      <c r="AT926" s="14"/>
      <c r="AU926" s="14"/>
      <c r="AV926" s="14"/>
      <c r="AW926" s="14"/>
      <c r="AX926" s="14"/>
      <c r="AY926" s="14"/>
      <c r="AZ926" s="14"/>
      <c r="BA926" s="14"/>
      <c r="BB926" s="14"/>
      <c r="BC926" s="14"/>
      <c r="BD926" t="s" s="15">
        <v>310</v>
      </c>
      <c r="BE926" t="s" s="15">
        <v>419</v>
      </c>
      <c r="BF926" s="17">
        <v>2</v>
      </c>
      <c r="BG926" s="17">
        <v>4</v>
      </c>
      <c r="BH926" s="14"/>
      <c r="BI926" s="14"/>
      <c r="BJ926" s="14"/>
      <c r="BK926" s="14"/>
      <c r="BL926" s="14"/>
      <c r="BM926" s="14"/>
      <c r="BN926" t="s" s="15">
        <v>69</v>
      </c>
      <c r="BO926" s="16"/>
      <c r="BP926" s="8"/>
    </row>
    <row r="927" ht="9" customHeight="1" hidden="1">
      <c r="A927" t="s" s="9">
        <v>3644</v>
      </c>
      <c r="B927" s="11"/>
      <c r="C927" t="str" s="11" cm="1">
        <f t="array" ref="C927">_xlfn.IFERROR((VLOOKUP(A927,#REF!,2,FALSE)),"")</f>
      </c>
      <c r="D927" s="11"/>
      <c r="E927" s="11"/>
      <c r="F927" s="11"/>
      <c r="G927" t="s" s="10">
        <v>3645</v>
      </c>
      <c r="H927" t="s" s="10">
        <v>3646</v>
      </c>
      <c r="I927" t="s" s="10">
        <v>271</v>
      </c>
      <c r="J927" t="s" s="10">
        <v>74</v>
      </c>
      <c r="K927" t="s" s="10">
        <v>113</v>
      </c>
      <c r="L927" t="s" s="10">
        <v>76</v>
      </c>
      <c r="M927" t="s" s="10">
        <v>3645</v>
      </c>
      <c r="N927" t="s" s="10">
        <v>3645</v>
      </c>
      <c r="O927" s="11"/>
      <c r="P927" t="s" s="10">
        <v>74</v>
      </c>
      <c r="Q927" t="s" s="10">
        <v>78</v>
      </c>
      <c r="R927" t="s" s="10">
        <v>83</v>
      </c>
      <c r="S927" s="11"/>
      <c r="T927" s="11"/>
      <c r="U927" s="11"/>
      <c r="V927" t="s" s="10">
        <v>78</v>
      </c>
      <c r="W927" s="11"/>
      <c r="X927" t="s" s="10">
        <v>69</v>
      </c>
      <c r="Y927" s="11"/>
      <c r="Z927" t="s" s="10">
        <v>76</v>
      </c>
      <c r="AA927" s="11"/>
      <c r="AB927" t="s" s="10">
        <v>76</v>
      </c>
      <c r="AC927" s="11"/>
      <c r="AD927" s="11"/>
      <c r="AE927" s="11"/>
      <c r="AF927" s="11"/>
      <c r="AG927" s="11"/>
      <c r="AH927" t="s" s="10">
        <v>106</v>
      </c>
      <c r="AI927" t="s" s="10">
        <v>76</v>
      </c>
      <c r="AJ927" t="s" s="10">
        <v>76</v>
      </c>
      <c r="AK927" t="s" s="10">
        <v>79</v>
      </c>
      <c r="AL927" s="11"/>
      <c r="AM927" s="11"/>
      <c r="AN927" s="11"/>
      <c r="AO927" s="11"/>
      <c r="AP927" s="11"/>
      <c r="AQ927" s="11"/>
      <c r="AR927" s="11"/>
      <c r="AS927" s="11"/>
      <c r="AT927" s="11"/>
      <c r="AU927" s="11"/>
      <c r="AV927" s="11"/>
      <c r="AW927" s="11"/>
      <c r="AX927" s="11"/>
      <c r="AY927" s="11"/>
      <c r="AZ927" s="11"/>
      <c r="BA927" s="11"/>
      <c r="BB927" s="11"/>
      <c r="BC927" s="11"/>
      <c r="BD927" t="s" s="10">
        <v>310</v>
      </c>
      <c r="BE927" t="s" s="10">
        <v>394</v>
      </c>
      <c r="BF927" s="11"/>
      <c r="BG927" s="11"/>
      <c r="BH927" s="11"/>
      <c r="BI927" s="11"/>
      <c r="BJ927" s="11"/>
      <c r="BK927" s="11"/>
      <c r="BL927" s="11"/>
      <c r="BM927" s="11"/>
      <c r="BN927" t="s" s="10">
        <v>78</v>
      </c>
      <c r="BO927" s="12"/>
      <c r="BP927" s="8"/>
    </row>
    <row r="928" ht="9" customHeight="1" hidden="1">
      <c r="A928" t="s" s="13">
        <v>3647</v>
      </c>
      <c r="B928" t="s" s="15">
        <v>69</v>
      </c>
      <c r="C928" t="str" s="14" cm="1">
        <f t="array" ref="C928">_xlfn.IFERROR((VLOOKUP(A928,#REF!,2,FALSE)),"")</f>
      </c>
      <c r="D928" s="14"/>
      <c r="E928" t="s" s="15">
        <v>195</v>
      </c>
      <c r="F928" s="14"/>
      <c r="G928" t="s" s="15">
        <v>3648</v>
      </c>
      <c r="H928" t="s" s="15">
        <v>3649</v>
      </c>
      <c r="I928" t="s" s="15">
        <v>73</v>
      </c>
      <c r="J928" t="s" s="15">
        <v>74</v>
      </c>
      <c r="K928" t="s" s="15">
        <v>113</v>
      </c>
      <c r="L928" t="s" s="15">
        <v>76</v>
      </c>
      <c r="M928" t="s" s="15">
        <v>3648</v>
      </c>
      <c r="N928" t="s" s="15">
        <v>3648</v>
      </c>
      <c r="O928" t="s" s="15">
        <v>71</v>
      </c>
      <c r="P928" t="s" s="15">
        <v>74</v>
      </c>
      <c r="Q928" t="s" s="15">
        <v>78</v>
      </c>
      <c r="R928" t="s" s="15">
        <v>71</v>
      </c>
      <c r="S928" s="14"/>
      <c r="T928" s="14"/>
      <c r="U928" s="14"/>
      <c r="V928" t="s" s="15">
        <v>78</v>
      </c>
      <c r="W928" t="s" s="15">
        <v>3647</v>
      </c>
      <c r="X928" t="s" s="15">
        <v>69</v>
      </c>
      <c r="Y928" s="14"/>
      <c r="Z928" t="s" s="15">
        <v>76</v>
      </c>
      <c r="AA928" s="14"/>
      <c r="AB928" t="s" s="15">
        <v>76</v>
      </c>
      <c r="AC928" s="14"/>
      <c r="AD928" s="14"/>
      <c r="AE928" s="14"/>
      <c r="AF928" s="14"/>
      <c r="AG928" s="14"/>
      <c r="AH928" s="14"/>
      <c r="AI928" t="s" s="15">
        <v>76</v>
      </c>
      <c r="AJ928" t="s" s="15">
        <v>76</v>
      </c>
      <c r="AK928" t="s" s="15">
        <v>79</v>
      </c>
      <c r="AL928" t="s" s="15">
        <v>293</v>
      </c>
      <c r="AM928" t="s" s="15">
        <v>196</v>
      </c>
      <c r="AN928" s="14"/>
      <c r="AO928" s="17">
        <v>2</v>
      </c>
      <c r="AP928" s="17">
        <v>2048</v>
      </c>
      <c r="AQ928" s="17">
        <v>43090</v>
      </c>
      <c r="AR928" s="17">
        <v>18636</v>
      </c>
      <c r="AS928" s="14"/>
      <c r="AT928" s="14"/>
      <c r="AU928" s="14"/>
      <c r="AV928" s="14"/>
      <c r="AW928" s="14"/>
      <c r="AX928" s="14"/>
      <c r="AY928" s="14"/>
      <c r="AZ928" s="14"/>
      <c r="BA928" s="14"/>
      <c r="BB928" s="14"/>
      <c r="BC928" s="14"/>
      <c r="BD928" t="s" s="15">
        <v>366</v>
      </c>
      <c r="BE928" t="s" s="15">
        <v>394</v>
      </c>
      <c r="BF928" s="14"/>
      <c r="BG928" s="14"/>
      <c r="BH928" s="14"/>
      <c r="BI928" s="14"/>
      <c r="BJ928" s="14"/>
      <c r="BK928" s="14"/>
      <c r="BL928" s="14"/>
      <c r="BM928" s="14"/>
      <c r="BN928" s="14"/>
      <c r="BO928" s="16"/>
      <c r="BP928" s="8"/>
    </row>
    <row r="929" ht="9" customHeight="1" hidden="1">
      <c r="A929" t="s" s="9">
        <v>3650</v>
      </c>
      <c r="B929" s="11"/>
      <c r="C929" t="str" s="11" cm="1">
        <f t="array" ref="C929">_xlfn.IFERROR((VLOOKUP(A929,#REF!,2,FALSE)),"")</f>
      </c>
      <c r="D929" s="11"/>
      <c r="E929" s="11"/>
      <c r="F929" s="11"/>
      <c r="G929" t="s" s="10">
        <v>3651</v>
      </c>
      <c r="H929" t="s" s="10">
        <v>3652</v>
      </c>
      <c r="I929" t="s" s="10">
        <v>111</v>
      </c>
      <c r="J929" t="s" s="10">
        <v>122</v>
      </c>
      <c r="K929" t="s" s="10">
        <v>825</v>
      </c>
      <c r="L929" t="s" s="10">
        <v>76</v>
      </c>
      <c r="M929" t="s" s="10">
        <v>3651</v>
      </c>
      <c r="N929" s="11"/>
      <c r="O929" s="11"/>
      <c r="P929" t="s" s="10">
        <v>122</v>
      </c>
      <c r="Q929" t="s" s="10">
        <v>69</v>
      </c>
      <c r="R929" t="s" s="10">
        <v>83</v>
      </c>
      <c r="S929" s="11"/>
      <c r="T929" s="11"/>
      <c r="U929" s="11"/>
      <c r="V929" t="s" s="10">
        <v>69</v>
      </c>
      <c r="W929" s="11"/>
      <c r="X929" t="s" s="10">
        <v>78</v>
      </c>
      <c r="Y929" s="11"/>
      <c r="Z929" t="s" s="10">
        <v>76</v>
      </c>
      <c r="AA929" s="11"/>
      <c r="AB929" t="s" s="10">
        <v>76</v>
      </c>
      <c r="AC929" t="s" s="10">
        <v>3650</v>
      </c>
      <c r="AD929" s="11"/>
      <c r="AE929" s="11"/>
      <c r="AF929" s="11"/>
      <c r="AG929" t="s" s="10">
        <v>299</v>
      </c>
      <c r="AH929" t="s" s="10">
        <v>106</v>
      </c>
      <c r="AI929" t="s" s="10">
        <v>76</v>
      </c>
      <c r="AJ929" t="s" s="10">
        <v>76</v>
      </c>
      <c r="AK929" t="s" s="10">
        <v>79</v>
      </c>
      <c r="AL929" s="11"/>
      <c r="AM929" s="11"/>
      <c r="AN929" t="s" s="10">
        <v>128</v>
      </c>
      <c r="AO929" s="11"/>
      <c r="AP929" s="11"/>
      <c r="AQ929" s="11"/>
      <c r="AR929" s="11"/>
      <c r="AS929" t="s" s="10">
        <v>3653</v>
      </c>
      <c r="AT929" t="s" s="10">
        <v>301</v>
      </c>
      <c r="AU929" s="11"/>
      <c r="AV929" s="11"/>
      <c r="AW929" s="11"/>
      <c r="AX929" s="11"/>
      <c r="AY929" s="11"/>
      <c r="AZ929" s="11"/>
      <c r="BA929" s="11"/>
      <c r="BB929" s="11"/>
      <c r="BC929" s="11"/>
      <c r="BD929" t="s" s="10">
        <v>310</v>
      </c>
      <c r="BE929" t="s" s="10">
        <v>356</v>
      </c>
      <c r="BF929" s="11"/>
      <c r="BG929" s="11"/>
      <c r="BH929" s="11"/>
      <c r="BI929" s="11"/>
      <c r="BJ929" s="11"/>
      <c r="BK929" s="11"/>
      <c r="BL929" s="11"/>
      <c r="BM929" s="11"/>
      <c r="BN929" t="s" s="10">
        <v>78</v>
      </c>
      <c r="BO929" s="12"/>
      <c r="BP929" s="8"/>
    </row>
    <row r="930" ht="9" customHeight="1" hidden="1">
      <c r="A930" t="s" s="13">
        <v>3654</v>
      </c>
      <c r="B930" t="s" s="15">
        <v>69</v>
      </c>
      <c r="C930" t="str" s="14" cm="1">
        <f t="array" ref="C930">_xlfn.IFERROR((VLOOKUP(A930,#REF!,2,FALSE)),"")</f>
      </c>
      <c r="D930" s="14"/>
      <c r="E930" s="14"/>
      <c r="F930" s="14"/>
      <c r="G930" t="s" s="15">
        <v>3655</v>
      </c>
      <c r="H930" t="s" s="15">
        <v>3656</v>
      </c>
      <c r="I930" t="s" s="15">
        <v>73</v>
      </c>
      <c r="J930" t="s" s="15">
        <v>74</v>
      </c>
      <c r="K930" t="s" s="15">
        <v>825</v>
      </c>
      <c r="L930" t="s" s="15">
        <v>76</v>
      </c>
      <c r="M930" t="s" s="15">
        <v>3655</v>
      </c>
      <c r="N930" s="14"/>
      <c r="O930" s="14"/>
      <c r="P930" t="s" s="15">
        <v>74</v>
      </c>
      <c r="Q930" t="s" s="15">
        <v>69</v>
      </c>
      <c r="R930" t="s" s="15">
        <v>83</v>
      </c>
      <c r="S930" s="14"/>
      <c r="T930" s="14"/>
      <c r="U930" s="14"/>
      <c r="V930" t="s" s="15">
        <v>78</v>
      </c>
      <c r="W930" t="s" s="15">
        <v>3654</v>
      </c>
      <c r="X930" t="s" s="15">
        <v>78</v>
      </c>
      <c r="Y930" s="14"/>
      <c r="Z930" t="s" s="15">
        <v>76</v>
      </c>
      <c r="AA930" s="14"/>
      <c r="AB930" t="s" s="15">
        <v>76</v>
      </c>
      <c r="AC930" s="14"/>
      <c r="AD930" t="s" s="15">
        <v>3657</v>
      </c>
      <c r="AE930" s="14"/>
      <c r="AF930" s="14"/>
      <c r="AG930" s="14"/>
      <c r="AH930" t="s" s="15">
        <v>114</v>
      </c>
      <c r="AI930" t="s" s="15">
        <v>76</v>
      </c>
      <c r="AJ930" t="s" s="15">
        <v>76</v>
      </c>
      <c r="AK930" t="s" s="15">
        <v>79</v>
      </c>
      <c r="AL930" s="14"/>
      <c r="AM930" s="14"/>
      <c r="AN930" s="14"/>
      <c r="AO930" s="14"/>
      <c r="AP930" s="14"/>
      <c r="AQ930" s="14"/>
      <c r="AR930" s="14"/>
      <c r="AS930" t="s" s="15">
        <v>3658</v>
      </c>
      <c r="AT930" s="14"/>
      <c r="AU930" s="14"/>
      <c r="AV930" s="14"/>
      <c r="AW930" s="14"/>
      <c r="AX930" s="14"/>
      <c r="AY930" s="14"/>
      <c r="AZ930" s="14"/>
      <c r="BA930" s="14"/>
      <c r="BB930" s="14"/>
      <c r="BC930" s="14"/>
      <c r="BD930" t="s" s="15">
        <v>118</v>
      </c>
      <c r="BE930" s="14"/>
      <c r="BF930" s="14"/>
      <c r="BG930" s="14"/>
      <c r="BH930" s="14"/>
      <c r="BI930" s="14"/>
      <c r="BJ930" s="14"/>
      <c r="BK930" s="14"/>
      <c r="BL930" s="14"/>
      <c r="BM930" s="14"/>
      <c r="BN930" s="14"/>
      <c r="BO930" s="16"/>
      <c r="BP930" s="8"/>
    </row>
    <row r="931" ht="9" customHeight="1" hidden="1">
      <c r="A931" t="s" s="9">
        <v>3659</v>
      </c>
      <c r="B931" s="11"/>
      <c r="C931" t="str" s="11" cm="1">
        <f t="array" ref="C931">_xlfn.IFERROR((VLOOKUP(A931,#REF!,2,FALSE)),"")</f>
      </c>
      <c r="D931" s="11"/>
      <c r="E931" s="11"/>
      <c r="F931" s="11"/>
      <c r="G931" t="s" s="10">
        <v>3660</v>
      </c>
      <c r="H931" t="s" s="10">
        <v>2037</v>
      </c>
      <c r="I931" t="s" s="10">
        <v>111</v>
      </c>
      <c r="J931" t="s" s="10">
        <v>122</v>
      </c>
      <c r="K931" t="s" s="10">
        <v>113</v>
      </c>
      <c r="L931" t="s" s="10">
        <v>76</v>
      </c>
      <c r="M931" t="s" s="10">
        <v>3660</v>
      </c>
      <c r="N931" t="s" s="10">
        <v>3660</v>
      </c>
      <c r="O931" s="11"/>
      <c r="P931" t="s" s="10">
        <v>122</v>
      </c>
      <c r="Q931" t="s" s="10">
        <v>78</v>
      </c>
      <c r="R931" t="s" s="10">
        <v>83</v>
      </c>
      <c r="S931" s="11"/>
      <c r="T931" s="11"/>
      <c r="U931" s="11"/>
      <c r="V931" t="s" s="10">
        <v>69</v>
      </c>
      <c r="W931" s="11"/>
      <c r="X931" t="s" s="10">
        <v>69</v>
      </c>
      <c r="Y931" s="11"/>
      <c r="Z931" t="s" s="10">
        <v>76</v>
      </c>
      <c r="AA931" s="11"/>
      <c r="AB931" t="s" s="10">
        <v>76</v>
      </c>
      <c r="AC931" s="11"/>
      <c r="AD931" s="11"/>
      <c r="AE931" s="11"/>
      <c r="AF931" s="11"/>
      <c r="AG931" t="s" s="10">
        <v>299</v>
      </c>
      <c r="AH931" t="s" s="10">
        <v>106</v>
      </c>
      <c r="AI931" t="s" s="10">
        <v>76</v>
      </c>
      <c r="AJ931" t="s" s="10">
        <v>76</v>
      </c>
      <c r="AK931" t="s" s="10">
        <v>79</v>
      </c>
      <c r="AL931" t="s" s="10">
        <v>293</v>
      </c>
      <c r="AM931" t="s" s="10">
        <v>294</v>
      </c>
      <c r="AN931" t="s" s="10">
        <v>128</v>
      </c>
      <c r="AO931" s="18">
        <v>8</v>
      </c>
      <c r="AP931" s="18">
        <v>8192</v>
      </c>
      <c r="AQ931" s="18">
        <v>315486</v>
      </c>
      <c r="AR931" s="18">
        <v>315486</v>
      </c>
      <c r="AS931" t="s" s="10">
        <v>3661</v>
      </c>
      <c r="AT931" s="11"/>
      <c r="AU931" s="11"/>
      <c r="AV931" s="11"/>
      <c r="AW931" s="11"/>
      <c r="AX931" s="11"/>
      <c r="AY931" s="11"/>
      <c r="AZ931" s="11"/>
      <c r="BA931" s="11"/>
      <c r="BB931" s="11"/>
      <c r="BC931" s="11"/>
      <c r="BD931" s="11"/>
      <c r="BE931" s="11"/>
      <c r="BF931" s="11"/>
      <c r="BG931" s="11"/>
      <c r="BH931" s="11"/>
      <c r="BI931" s="11"/>
      <c r="BJ931" s="11"/>
      <c r="BK931" s="11"/>
      <c r="BL931" s="11"/>
      <c r="BM931" s="11"/>
      <c r="BN931" t="s" s="10">
        <v>69</v>
      </c>
      <c r="BO931" s="12"/>
      <c r="BP931" s="8"/>
    </row>
    <row r="932" ht="9" customHeight="1" hidden="1">
      <c r="A932" t="s" s="13">
        <v>3662</v>
      </c>
      <c r="B932" s="14"/>
      <c r="C932" t="str" s="14" cm="1">
        <f t="array" ref="C932">_xlfn.IFERROR((VLOOKUP(A932,#REF!,2,FALSE)),"")</f>
      </c>
      <c r="D932" s="14"/>
      <c r="E932" t="s" s="15">
        <v>195</v>
      </c>
      <c r="F932" s="14"/>
      <c r="G932" t="s" s="15">
        <v>3663</v>
      </c>
      <c r="H932" t="s" s="15">
        <v>345</v>
      </c>
      <c r="I932" t="s" s="15">
        <v>73</v>
      </c>
      <c r="J932" t="s" s="15">
        <v>74</v>
      </c>
      <c r="K932" t="s" s="15">
        <v>113</v>
      </c>
      <c r="L932" t="s" s="15">
        <v>76</v>
      </c>
      <c r="M932" t="s" s="15">
        <v>3663</v>
      </c>
      <c r="N932" t="s" s="15">
        <v>3663</v>
      </c>
      <c r="O932" t="s" s="15">
        <v>71</v>
      </c>
      <c r="P932" t="s" s="15">
        <v>322</v>
      </c>
      <c r="Q932" t="s" s="15">
        <v>69</v>
      </c>
      <c r="R932" t="s" s="15">
        <v>339</v>
      </c>
      <c r="S932" s="14"/>
      <c r="T932" s="14"/>
      <c r="U932" s="14"/>
      <c r="V932" t="s" s="15">
        <v>69</v>
      </c>
      <c r="W932" s="14"/>
      <c r="X932" t="s" s="15">
        <v>69</v>
      </c>
      <c r="Y932" s="14"/>
      <c r="Z932" t="s" s="15">
        <v>205</v>
      </c>
      <c r="AA932" s="14"/>
      <c r="AB932" t="s" s="15">
        <v>76</v>
      </c>
      <c r="AC932" t="s" s="15">
        <v>3662</v>
      </c>
      <c r="AD932" t="s" s="15">
        <v>3664</v>
      </c>
      <c r="AE932" s="14"/>
      <c r="AF932" s="14"/>
      <c r="AG932" s="14"/>
      <c r="AH932" s="14"/>
      <c r="AI932" t="s" s="15">
        <v>76</v>
      </c>
      <c r="AJ932" t="s" s="15">
        <v>76</v>
      </c>
      <c r="AK932" t="s" s="15">
        <v>79</v>
      </c>
      <c r="AL932" t="s" s="15">
        <v>293</v>
      </c>
      <c r="AM932" t="s" s="15">
        <v>196</v>
      </c>
      <c r="AN932" t="s" s="15">
        <v>334</v>
      </c>
      <c r="AO932" s="17">
        <v>4</v>
      </c>
      <c r="AP932" s="17">
        <v>8192</v>
      </c>
      <c r="AQ932" s="17">
        <v>161939</v>
      </c>
      <c r="AR932" s="17">
        <v>126226</v>
      </c>
      <c r="AS932" t="s" s="15">
        <v>3665</v>
      </c>
      <c r="AT932" s="14"/>
      <c r="AU932" s="14"/>
      <c r="AV932" s="14"/>
      <c r="AW932" s="14"/>
      <c r="AX932" s="14"/>
      <c r="AY932" s="14"/>
      <c r="AZ932" s="14"/>
      <c r="BA932" s="14"/>
      <c r="BB932" s="14"/>
      <c r="BC932" s="14"/>
      <c r="BD932" s="14"/>
      <c r="BE932" s="14"/>
      <c r="BF932" s="14"/>
      <c r="BG932" s="14"/>
      <c r="BH932" s="14"/>
      <c r="BI932" s="14"/>
      <c r="BJ932" s="14"/>
      <c r="BK932" s="14"/>
      <c r="BL932" s="14"/>
      <c r="BM932" s="14"/>
      <c r="BN932" s="14"/>
      <c r="BO932" s="16"/>
      <c r="BP932" s="8"/>
    </row>
    <row r="933" ht="9" customHeight="1" hidden="1">
      <c r="A933" t="s" s="9">
        <v>3666</v>
      </c>
      <c r="B933" s="11"/>
      <c r="C933" t="str" s="11" cm="1">
        <f t="array" ref="C933">_xlfn.IFERROR((VLOOKUP(A933,#REF!,2,FALSE)),"")</f>
      </c>
      <c r="D933" s="11"/>
      <c r="E933" t="s" s="10">
        <v>195</v>
      </c>
      <c r="F933" s="11"/>
      <c r="G933" t="s" s="10">
        <v>3663</v>
      </c>
      <c r="H933" t="s" s="10">
        <v>345</v>
      </c>
      <c r="I933" t="s" s="10">
        <v>73</v>
      </c>
      <c r="J933" t="s" s="10">
        <v>74</v>
      </c>
      <c r="K933" t="s" s="10">
        <v>113</v>
      </c>
      <c r="L933" t="s" s="10">
        <v>76</v>
      </c>
      <c r="M933" t="s" s="10">
        <v>3663</v>
      </c>
      <c r="N933" t="s" s="10">
        <v>3663</v>
      </c>
      <c r="O933" t="s" s="10">
        <v>71</v>
      </c>
      <c r="P933" t="s" s="10">
        <v>322</v>
      </c>
      <c r="Q933" t="s" s="10">
        <v>69</v>
      </c>
      <c r="R933" t="s" s="10">
        <v>339</v>
      </c>
      <c r="S933" s="11"/>
      <c r="T933" s="11"/>
      <c r="U933" s="11"/>
      <c r="V933" t="s" s="10">
        <v>69</v>
      </c>
      <c r="W933" s="11"/>
      <c r="X933" t="s" s="10">
        <v>69</v>
      </c>
      <c r="Y933" s="11"/>
      <c r="Z933" t="s" s="10">
        <v>205</v>
      </c>
      <c r="AA933" s="11"/>
      <c r="AB933" t="s" s="10">
        <v>76</v>
      </c>
      <c r="AC933" t="s" s="10">
        <v>3666</v>
      </c>
      <c r="AD933" t="s" s="10">
        <v>3667</v>
      </c>
      <c r="AE933" s="11"/>
      <c r="AF933" s="11"/>
      <c r="AG933" s="11"/>
      <c r="AH933" s="11"/>
      <c r="AI933" t="s" s="10">
        <v>76</v>
      </c>
      <c r="AJ933" t="s" s="10">
        <v>76</v>
      </c>
      <c r="AK933" t="s" s="10">
        <v>79</v>
      </c>
      <c r="AL933" t="s" s="10">
        <v>293</v>
      </c>
      <c r="AM933" t="s" s="10">
        <v>196</v>
      </c>
      <c r="AN933" t="s" s="10">
        <v>334</v>
      </c>
      <c r="AO933" s="18">
        <v>8</v>
      </c>
      <c r="AP933" s="18">
        <v>8192</v>
      </c>
      <c r="AQ933" s="18">
        <v>161911</v>
      </c>
      <c r="AR933" s="18">
        <v>123393</v>
      </c>
      <c r="AS933" t="s" s="10">
        <v>3668</v>
      </c>
      <c r="AT933" s="11"/>
      <c r="AU933" s="11"/>
      <c r="AV933" s="11"/>
      <c r="AW933" s="11"/>
      <c r="AX933" s="11"/>
      <c r="AY933" s="11"/>
      <c r="AZ933" s="11"/>
      <c r="BA933" s="11"/>
      <c r="BB933" s="11"/>
      <c r="BC933" s="11"/>
      <c r="BD933" s="11"/>
      <c r="BE933" s="11"/>
      <c r="BF933" s="11"/>
      <c r="BG933" s="11"/>
      <c r="BH933" s="11"/>
      <c r="BI933" s="11"/>
      <c r="BJ933" s="11"/>
      <c r="BK933" s="11"/>
      <c r="BL933" s="11"/>
      <c r="BM933" s="11"/>
      <c r="BN933" s="11"/>
      <c r="BO933" s="12"/>
      <c r="BP933" s="8"/>
    </row>
    <row r="934" ht="9" customHeight="1" hidden="1">
      <c r="A934" t="s" s="13">
        <v>3669</v>
      </c>
      <c r="B934" s="14"/>
      <c r="C934" t="str" s="14" cm="1">
        <f t="array" ref="C934">_xlfn.IFERROR((VLOOKUP(A934,#REF!,2,FALSE)),"")</f>
      </c>
      <c r="D934" s="14"/>
      <c r="E934" t="s" s="15">
        <v>303</v>
      </c>
      <c r="F934" s="14"/>
      <c r="G934" t="s" s="15">
        <v>3670</v>
      </c>
      <c r="H934" t="s" s="15">
        <v>3670</v>
      </c>
      <c r="I934" t="s" s="15">
        <v>73</v>
      </c>
      <c r="J934" t="s" s="15">
        <v>74</v>
      </c>
      <c r="K934" t="s" s="15">
        <v>113</v>
      </c>
      <c r="L934" t="s" s="15">
        <v>76</v>
      </c>
      <c r="M934" t="s" s="15">
        <v>3670</v>
      </c>
      <c r="N934" t="s" s="15">
        <v>3670</v>
      </c>
      <c r="O934" t="s" s="15">
        <v>71</v>
      </c>
      <c r="P934" t="s" s="15">
        <v>74</v>
      </c>
      <c r="Q934" t="s" s="15">
        <v>78</v>
      </c>
      <c r="R934" t="s" s="15">
        <v>71</v>
      </c>
      <c r="S934" s="14"/>
      <c r="T934" s="14"/>
      <c r="U934" s="14"/>
      <c r="V934" t="s" s="15">
        <v>78</v>
      </c>
      <c r="W934" t="s" s="15">
        <v>3669</v>
      </c>
      <c r="X934" t="s" s="15">
        <v>69</v>
      </c>
      <c r="Y934" s="14"/>
      <c r="Z934" t="s" s="15">
        <v>76</v>
      </c>
      <c r="AA934" s="14"/>
      <c r="AB934" t="s" s="15">
        <v>76</v>
      </c>
      <c r="AC934" s="14"/>
      <c r="AD934" s="14"/>
      <c r="AE934" s="14"/>
      <c r="AF934" s="14"/>
      <c r="AG934" s="14"/>
      <c r="AH934" t="s" s="15">
        <v>106</v>
      </c>
      <c r="AI934" t="s" s="15">
        <v>76</v>
      </c>
      <c r="AJ934" t="s" s="15">
        <v>76</v>
      </c>
      <c r="AK934" t="s" s="15">
        <v>79</v>
      </c>
      <c r="AL934" s="14"/>
      <c r="AM934" s="14"/>
      <c r="AN934" s="14"/>
      <c r="AO934" s="14"/>
      <c r="AP934" s="14"/>
      <c r="AQ934" s="14"/>
      <c r="AR934" s="14"/>
      <c r="AS934" s="14"/>
      <c r="AT934" s="14"/>
      <c r="AU934" s="14"/>
      <c r="AV934" s="14"/>
      <c r="AW934" s="14"/>
      <c r="AX934" s="14"/>
      <c r="AY934" s="14"/>
      <c r="AZ934" s="14"/>
      <c r="BA934" s="14"/>
      <c r="BB934" s="14"/>
      <c r="BC934" s="14"/>
      <c r="BD934" s="14"/>
      <c r="BE934" s="14"/>
      <c r="BF934" s="14"/>
      <c r="BG934" s="14"/>
      <c r="BH934" s="14"/>
      <c r="BI934" s="14"/>
      <c r="BJ934" s="14"/>
      <c r="BK934" s="14"/>
      <c r="BL934" s="14"/>
      <c r="BM934" s="14"/>
      <c r="BN934" s="14"/>
      <c r="BO934" s="16"/>
      <c r="BP934" s="8"/>
    </row>
    <row r="935" ht="9" customHeight="1" hidden="1">
      <c r="A935" t="s" s="9">
        <v>3671</v>
      </c>
      <c r="B935" s="11"/>
      <c r="C935" t="str" s="11" cm="1">
        <f t="array" ref="C935">_xlfn.IFERROR((VLOOKUP(A935,#REF!,2,FALSE)),"")</f>
      </c>
      <c r="D935" s="11"/>
      <c r="E935" t="s" s="10">
        <v>3672</v>
      </c>
      <c r="F935" s="11"/>
      <c r="G935" t="s" s="10">
        <v>3673</v>
      </c>
      <c r="H935" t="s" s="10">
        <v>3674</v>
      </c>
      <c r="I935" t="s" s="10">
        <v>111</v>
      </c>
      <c r="J935" t="s" s="10">
        <v>469</v>
      </c>
      <c r="K935" t="s" s="10">
        <v>113</v>
      </c>
      <c r="L935" t="s" s="10">
        <v>2963</v>
      </c>
      <c r="M935" t="s" s="10">
        <v>3675</v>
      </c>
      <c r="N935" t="s" s="10">
        <v>3676</v>
      </c>
      <c r="O935" s="11"/>
      <c r="P935" t="s" s="10">
        <v>122</v>
      </c>
      <c r="Q935" t="s" s="10">
        <v>78</v>
      </c>
      <c r="R935" t="s" s="10">
        <v>323</v>
      </c>
      <c r="S935" s="11"/>
      <c r="T935" s="11"/>
      <c r="U935" s="11"/>
      <c r="V935" t="s" s="10">
        <v>69</v>
      </c>
      <c r="W935" t="s" s="22">
        <v>3671</v>
      </c>
      <c r="X935" t="s" s="10">
        <v>69</v>
      </c>
      <c r="Y935" s="11"/>
      <c r="Z935" t="s" s="10">
        <v>552</v>
      </c>
      <c r="AA935" s="11"/>
      <c r="AB935" t="s" s="10">
        <v>3677</v>
      </c>
      <c r="AC935" s="11"/>
      <c r="AD935" s="11"/>
      <c r="AE935" s="11"/>
      <c r="AF935" t="s" s="10">
        <v>3674</v>
      </c>
      <c r="AG935" t="s" s="10">
        <v>299</v>
      </c>
      <c r="AH935" t="s" s="10">
        <v>114</v>
      </c>
      <c r="AI935" t="s" s="10">
        <v>332</v>
      </c>
      <c r="AJ935" t="s" s="10">
        <v>473</v>
      </c>
      <c r="AK935" t="s" s="10">
        <v>83</v>
      </c>
      <c r="AL935" s="11"/>
      <c r="AM935" s="11"/>
      <c r="AN935" t="s" s="10">
        <v>334</v>
      </c>
      <c r="AO935" s="11"/>
      <c r="AP935" s="11"/>
      <c r="AQ935" s="11"/>
      <c r="AR935" s="11"/>
      <c r="AS935" t="s" s="10">
        <v>3678</v>
      </c>
      <c r="AT935" t="s" s="10">
        <v>301</v>
      </c>
      <c r="AU935" s="11"/>
      <c r="AV935" s="11"/>
      <c r="AW935" s="11"/>
      <c r="AX935" s="11"/>
      <c r="AY935" s="11"/>
      <c r="AZ935" s="11"/>
      <c r="BA935" s="11"/>
      <c r="BB935" s="11"/>
      <c r="BC935" s="11"/>
      <c r="BD935" t="s" s="10">
        <v>118</v>
      </c>
      <c r="BE935" s="11"/>
      <c r="BF935" s="11"/>
      <c r="BG935" s="11"/>
      <c r="BH935" s="11"/>
      <c r="BI935" s="11"/>
      <c r="BJ935" s="11"/>
      <c r="BK935" s="11"/>
      <c r="BL935" s="11"/>
      <c r="BM935" s="11"/>
      <c r="BN935" t="s" s="10">
        <v>78</v>
      </c>
      <c r="BO935" s="12"/>
      <c r="BP935" s="8"/>
    </row>
    <row r="936" ht="9" customHeight="1" hidden="1">
      <c r="A936" t="s" s="13">
        <v>3679</v>
      </c>
      <c r="B936" s="14"/>
      <c r="C936" t="str" s="14" cm="1">
        <f t="array" ref="C936">_xlfn.IFERROR((VLOOKUP(A936,#REF!,2,FALSE)),"")</f>
      </c>
      <c r="D936" t="s" s="15">
        <v>70</v>
      </c>
      <c r="E936" t="s" s="15">
        <v>450</v>
      </c>
      <c r="F936" s="14"/>
      <c r="G936" t="s" s="15">
        <v>3680</v>
      </c>
      <c r="H936" t="s" s="15">
        <v>2037</v>
      </c>
      <c r="I936" t="s" s="15">
        <v>111</v>
      </c>
      <c r="J936" t="s" s="15">
        <v>452</v>
      </c>
      <c r="K936" t="s" s="15">
        <v>113</v>
      </c>
      <c r="L936" t="s" s="15">
        <v>76</v>
      </c>
      <c r="M936" t="s" s="15">
        <v>3680</v>
      </c>
      <c r="N936" t="s" s="15">
        <v>3680</v>
      </c>
      <c r="O936" s="14"/>
      <c r="P936" t="s" s="15">
        <v>452</v>
      </c>
      <c r="Q936" t="s" s="15">
        <v>69</v>
      </c>
      <c r="R936" t="s" s="15">
        <v>83</v>
      </c>
      <c r="S936" s="14"/>
      <c r="T936" s="14"/>
      <c r="U936" s="14"/>
      <c r="V936" t="s" s="15">
        <v>69</v>
      </c>
      <c r="W936" s="14"/>
      <c r="X936" t="s" s="15">
        <v>69</v>
      </c>
      <c r="Y936" s="14"/>
      <c r="Z936" t="s" s="15">
        <v>76</v>
      </c>
      <c r="AA936" s="14"/>
      <c r="AB936" t="s" s="15">
        <v>76</v>
      </c>
      <c r="AC936" t="s" s="15">
        <v>3679</v>
      </c>
      <c r="AD936" s="14"/>
      <c r="AE936" s="14"/>
      <c r="AF936" s="14"/>
      <c r="AG936" t="s" s="15">
        <v>288</v>
      </c>
      <c r="AH936" t="s" s="15">
        <v>106</v>
      </c>
      <c r="AI936" t="s" s="15">
        <v>76</v>
      </c>
      <c r="AJ936" t="s" s="15">
        <v>76</v>
      </c>
      <c r="AK936" t="s" s="15">
        <v>79</v>
      </c>
      <c r="AL936" t="s" s="15">
        <v>293</v>
      </c>
      <c r="AM936" t="s" s="15">
        <v>294</v>
      </c>
      <c r="AN936" t="s" s="15">
        <v>128</v>
      </c>
      <c r="AO936" s="17">
        <v>8</v>
      </c>
      <c r="AP936" s="17">
        <v>8192</v>
      </c>
      <c r="AQ936" s="17">
        <v>315595</v>
      </c>
      <c r="AR936" s="17">
        <v>315595</v>
      </c>
      <c r="AS936" t="s" s="15">
        <v>3681</v>
      </c>
      <c r="AT936" s="14"/>
      <c r="AU936" s="14"/>
      <c r="AV936" s="14"/>
      <c r="AW936" s="14"/>
      <c r="AX936" s="14"/>
      <c r="AY936" s="14"/>
      <c r="AZ936" s="14"/>
      <c r="BA936" s="14"/>
      <c r="BB936" s="14"/>
      <c r="BC936" s="14"/>
      <c r="BD936" s="14"/>
      <c r="BE936" s="14"/>
      <c r="BF936" s="14"/>
      <c r="BG936" s="14"/>
      <c r="BH936" s="14"/>
      <c r="BI936" s="14"/>
      <c r="BJ936" s="14"/>
      <c r="BK936" s="14"/>
      <c r="BL936" s="14"/>
      <c r="BM936" s="14"/>
      <c r="BN936" t="s" s="15">
        <v>78</v>
      </c>
      <c r="BO936" s="16"/>
      <c r="BP936" s="8"/>
    </row>
    <row r="937" ht="9" customHeight="1" hidden="1">
      <c r="A937" t="s" s="9">
        <v>3682</v>
      </c>
      <c r="B937" s="11"/>
      <c r="C937" t="str" s="11" cm="1">
        <f t="array" ref="C937">_xlfn.IFERROR((VLOOKUP(A937,#REF!,2,FALSE)),"")</f>
      </c>
      <c r="D937" s="11"/>
      <c r="E937" t="s" s="10">
        <v>2335</v>
      </c>
      <c r="F937" s="11"/>
      <c r="G937" t="s" s="10">
        <v>3683</v>
      </c>
      <c r="H937" t="s" s="10">
        <v>3684</v>
      </c>
      <c r="I937" t="s" s="10">
        <v>111</v>
      </c>
      <c r="J937" t="s" s="10">
        <v>112</v>
      </c>
      <c r="K937" t="s" s="10">
        <v>825</v>
      </c>
      <c r="L937" t="s" s="10">
        <v>76</v>
      </c>
      <c r="M937" t="s" s="10">
        <v>3683</v>
      </c>
      <c r="N937" t="s" s="10">
        <v>3683</v>
      </c>
      <c r="O937" s="11"/>
      <c r="P937" t="s" s="10">
        <v>112</v>
      </c>
      <c r="Q937" t="s" s="10">
        <v>78</v>
      </c>
      <c r="R937" t="s" s="10">
        <v>339</v>
      </c>
      <c r="S937" s="11"/>
      <c r="T937" s="11"/>
      <c r="U937" s="11"/>
      <c r="V937" t="s" s="10">
        <v>69</v>
      </c>
      <c r="W937" s="11"/>
      <c r="X937" t="s" s="10">
        <v>69</v>
      </c>
      <c r="Y937" s="11"/>
      <c r="Z937" t="s" s="10">
        <v>76</v>
      </c>
      <c r="AA937" s="11"/>
      <c r="AB937" t="s" s="10">
        <v>76</v>
      </c>
      <c r="AC937" s="11"/>
      <c r="AD937" s="11"/>
      <c r="AE937" s="11"/>
      <c r="AF937" t="s" s="10">
        <v>3684</v>
      </c>
      <c r="AG937" t="s" s="10">
        <v>299</v>
      </c>
      <c r="AH937" t="s" s="10">
        <v>114</v>
      </c>
      <c r="AI937" t="s" s="10">
        <v>76</v>
      </c>
      <c r="AJ937" t="s" s="10">
        <v>76</v>
      </c>
      <c r="AK937" t="s" s="10">
        <v>79</v>
      </c>
      <c r="AL937" t="s" s="10">
        <v>293</v>
      </c>
      <c r="AM937" t="s" s="10">
        <v>294</v>
      </c>
      <c r="AN937" t="s" s="10">
        <v>3685</v>
      </c>
      <c r="AO937" s="18">
        <v>4</v>
      </c>
      <c r="AP937" s="18">
        <v>8192</v>
      </c>
      <c r="AQ937" s="18">
        <v>142967</v>
      </c>
      <c r="AR937" s="18">
        <v>48296</v>
      </c>
      <c r="AS937" t="s" s="10">
        <v>3686</v>
      </c>
      <c r="AT937" t="s" s="10">
        <v>301</v>
      </c>
      <c r="AU937" s="11"/>
      <c r="AV937" s="11"/>
      <c r="AW937" s="11"/>
      <c r="AX937" s="11"/>
      <c r="AY937" s="11"/>
      <c r="AZ937" s="11"/>
      <c r="BA937" s="11"/>
      <c r="BB937" s="11"/>
      <c r="BC937" s="11"/>
      <c r="BD937" t="s" s="10">
        <v>310</v>
      </c>
      <c r="BE937" t="s" s="10">
        <v>356</v>
      </c>
      <c r="BF937" s="18">
        <v>4</v>
      </c>
      <c r="BG937" s="18">
        <v>8</v>
      </c>
      <c r="BH937" s="11"/>
      <c r="BI937" s="11"/>
      <c r="BJ937" s="11"/>
      <c r="BK937" s="11"/>
      <c r="BL937" s="11"/>
      <c r="BM937" s="11"/>
      <c r="BN937" t="s" s="10">
        <v>78</v>
      </c>
      <c r="BO937" s="12"/>
      <c r="BP937" s="8"/>
    </row>
    <row r="938" ht="9" customHeight="1" hidden="1">
      <c r="A938" t="s" s="13">
        <v>3687</v>
      </c>
      <c r="B938" s="14"/>
      <c r="C938" t="str" s="14" cm="1">
        <f t="array" ref="C938">_xlfn.IFERROR((VLOOKUP(A938,#REF!,2,FALSE)),"")</f>
      </c>
      <c r="D938" s="14"/>
      <c r="E938" t="s" s="15">
        <v>3688</v>
      </c>
      <c r="F938" s="14"/>
      <c r="G938" t="s" s="15">
        <v>3689</v>
      </c>
      <c r="H938" t="s" s="15">
        <v>3690</v>
      </c>
      <c r="I938" t="s" s="15">
        <v>111</v>
      </c>
      <c r="J938" t="s" s="15">
        <v>122</v>
      </c>
      <c r="K938" t="s" s="15">
        <v>113</v>
      </c>
      <c r="L938" t="s" s="15">
        <v>76</v>
      </c>
      <c r="M938" t="s" s="15">
        <v>3691</v>
      </c>
      <c r="N938" t="s" s="15">
        <v>3691</v>
      </c>
      <c r="O938" s="14"/>
      <c r="P938" t="s" s="15">
        <v>122</v>
      </c>
      <c r="Q938" t="s" s="15">
        <v>69</v>
      </c>
      <c r="R938" t="s" s="15">
        <v>83</v>
      </c>
      <c r="S938" s="14"/>
      <c r="T938" s="14"/>
      <c r="U938" s="14"/>
      <c r="V938" t="s" s="15">
        <v>69</v>
      </c>
      <c r="W938" s="14"/>
      <c r="X938" t="s" s="15">
        <v>69</v>
      </c>
      <c r="Y938" s="14"/>
      <c r="Z938" t="s" s="15">
        <v>3692</v>
      </c>
      <c r="AA938" s="14"/>
      <c r="AB938" t="s" s="15">
        <v>3692</v>
      </c>
      <c r="AC938" t="s" s="15">
        <v>3687</v>
      </c>
      <c r="AD938" t="s" s="15">
        <v>3693</v>
      </c>
      <c r="AE938" s="14"/>
      <c r="AF938" t="s" s="15">
        <v>3690</v>
      </c>
      <c r="AG938" t="s" s="15">
        <v>299</v>
      </c>
      <c r="AH938" t="s" s="15">
        <v>114</v>
      </c>
      <c r="AI938" t="s" s="15">
        <v>76</v>
      </c>
      <c r="AJ938" t="s" s="15">
        <v>76</v>
      </c>
      <c r="AK938" t="s" s="15">
        <v>79</v>
      </c>
      <c r="AL938" t="s" s="15">
        <v>293</v>
      </c>
      <c r="AM938" t="s" s="15">
        <v>294</v>
      </c>
      <c r="AN938" t="s" s="15">
        <v>128</v>
      </c>
      <c r="AO938" s="17">
        <v>6</v>
      </c>
      <c r="AP938" s="17">
        <v>16384</v>
      </c>
      <c r="AQ938" s="17">
        <v>528514</v>
      </c>
      <c r="AR938" s="17">
        <v>528514</v>
      </c>
      <c r="AS938" t="s" s="15">
        <v>3694</v>
      </c>
      <c r="AT938" t="s" s="15">
        <v>301</v>
      </c>
      <c r="AU938" s="14"/>
      <c r="AV938" s="14"/>
      <c r="AW938" s="14"/>
      <c r="AX938" s="14"/>
      <c r="AY938" s="14"/>
      <c r="AZ938" s="14"/>
      <c r="BA938" s="14"/>
      <c r="BB938" s="14"/>
      <c r="BC938" s="14"/>
      <c r="BD938" t="s" s="15">
        <v>310</v>
      </c>
      <c r="BE938" t="s" s="15">
        <v>311</v>
      </c>
      <c r="BF938" s="17">
        <v>8</v>
      </c>
      <c r="BG938" s="17">
        <v>16</v>
      </c>
      <c r="BH938" s="14"/>
      <c r="BI938" s="14"/>
      <c r="BJ938" s="14"/>
      <c r="BK938" s="14"/>
      <c r="BL938" s="14"/>
      <c r="BM938" s="14"/>
      <c r="BN938" t="s" s="15">
        <v>78</v>
      </c>
      <c r="BO938" s="16"/>
      <c r="BP938" s="8"/>
    </row>
    <row r="939" ht="9" customHeight="1" hidden="1">
      <c r="A939" t="s" s="9">
        <v>3695</v>
      </c>
      <c r="B939" s="11"/>
      <c r="C939" t="str" s="11" cm="1">
        <f t="array" ref="C939">_xlfn.IFERROR((VLOOKUP(A939,#REF!,2,FALSE)),"")</f>
      </c>
      <c r="D939" s="11"/>
      <c r="E939" t="s" s="10">
        <v>3688</v>
      </c>
      <c r="F939" t="s" s="10">
        <v>76</v>
      </c>
      <c r="G939" t="s" s="10">
        <v>3696</v>
      </c>
      <c r="H939" t="s" s="10">
        <v>3697</v>
      </c>
      <c r="I939" t="s" s="10">
        <v>111</v>
      </c>
      <c r="J939" t="s" s="10">
        <v>322</v>
      </c>
      <c r="K939" t="s" s="10">
        <v>113</v>
      </c>
      <c r="L939" t="s" s="10">
        <v>3698</v>
      </c>
      <c r="M939" t="s" s="10">
        <v>3699</v>
      </c>
      <c r="N939" t="s" s="10">
        <v>3699</v>
      </c>
      <c r="O939" t="s" s="10">
        <v>322</v>
      </c>
      <c r="P939" t="s" s="10">
        <v>322</v>
      </c>
      <c r="Q939" t="s" s="10">
        <v>69</v>
      </c>
      <c r="R939" t="s" s="10">
        <v>83</v>
      </c>
      <c r="S939" s="11"/>
      <c r="T939" s="11"/>
      <c r="U939" s="11"/>
      <c r="V939" t="s" s="10">
        <v>69</v>
      </c>
      <c r="W939" s="11"/>
      <c r="X939" t="s" s="10">
        <v>69</v>
      </c>
      <c r="Y939" s="11"/>
      <c r="Z939" t="s" s="10">
        <v>3700</v>
      </c>
      <c r="AA939" s="11"/>
      <c r="AB939" t="s" s="10">
        <v>3701</v>
      </c>
      <c r="AC939" t="s" s="25">
        <v>3695</v>
      </c>
      <c r="AD939" t="s" s="10">
        <v>3702</v>
      </c>
      <c r="AE939" s="11"/>
      <c r="AF939" s="11"/>
      <c r="AG939" t="s" s="10">
        <v>299</v>
      </c>
      <c r="AH939" t="s" s="10">
        <v>114</v>
      </c>
      <c r="AI939" t="s" s="10">
        <v>76</v>
      </c>
      <c r="AJ939" t="s" s="10">
        <v>76</v>
      </c>
      <c r="AK939" t="s" s="10">
        <v>79</v>
      </c>
      <c r="AL939" t="s" s="10">
        <v>293</v>
      </c>
      <c r="AM939" t="s" s="10">
        <v>294</v>
      </c>
      <c r="AN939" t="s" s="10">
        <v>1770</v>
      </c>
      <c r="AO939" s="18">
        <v>2</v>
      </c>
      <c r="AP939" s="18">
        <v>12288</v>
      </c>
      <c r="AQ939" s="18">
        <v>650298</v>
      </c>
      <c r="AR939" s="18">
        <v>155782</v>
      </c>
      <c r="AS939" t="s" s="10">
        <v>3703</v>
      </c>
      <c r="AT939" t="s" s="10">
        <v>301</v>
      </c>
      <c r="AU939" s="11"/>
      <c r="AV939" t="s" s="10">
        <v>76</v>
      </c>
      <c r="AW939" t="s" s="10">
        <v>83</v>
      </c>
      <c r="AX939" t="s" s="10">
        <v>83</v>
      </c>
      <c r="AY939" t="s" s="10">
        <v>309</v>
      </c>
      <c r="AZ939" t="s" s="10">
        <v>83</v>
      </c>
      <c r="BA939" t="s" s="10">
        <v>76</v>
      </c>
      <c r="BB939" t="s" s="10">
        <v>76</v>
      </c>
      <c r="BC939" t="s" s="10">
        <v>76</v>
      </c>
      <c r="BD939" t="s" s="10">
        <v>428</v>
      </c>
      <c r="BE939" t="s" s="10">
        <v>481</v>
      </c>
      <c r="BF939" s="18">
        <v>2</v>
      </c>
      <c r="BG939" s="18">
        <v>16</v>
      </c>
      <c r="BH939" t="s" s="10">
        <v>83</v>
      </c>
      <c r="BI939" t="s" s="10">
        <v>83</v>
      </c>
      <c r="BJ939" t="s" s="10">
        <v>83</v>
      </c>
      <c r="BK939" t="s" s="10">
        <v>83</v>
      </c>
      <c r="BL939" t="s" s="10">
        <v>83</v>
      </c>
      <c r="BM939" t="s" s="10">
        <v>312</v>
      </c>
      <c r="BN939" t="s" s="10">
        <v>78</v>
      </c>
      <c r="BO939" t="s" s="19">
        <v>76</v>
      </c>
      <c r="BP939" s="8"/>
    </row>
    <row r="940" ht="9" customHeight="1" hidden="1">
      <c r="A940" t="s" s="13">
        <v>3704</v>
      </c>
      <c r="B940" s="14"/>
      <c r="C940" t="str" s="14" cm="1">
        <f t="array" ref="C940">_xlfn.IFERROR((VLOOKUP(A940,#REF!,2,FALSE)),"")</f>
      </c>
      <c r="D940" s="14"/>
      <c r="E940" t="s" s="15">
        <v>195</v>
      </c>
      <c r="F940" t="s" s="15">
        <v>3705</v>
      </c>
      <c r="G940" t="s" s="15">
        <v>3706</v>
      </c>
      <c r="H940" t="s" s="15">
        <v>3707</v>
      </c>
      <c r="I940" t="s" s="15">
        <v>73</v>
      </c>
      <c r="J940" t="s" s="15">
        <v>74</v>
      </c>
      <c r="K940" t="s" s="15">
        <v>825</v>
      </c>
      <c r="L940" t="s" s="15">
        <v>83</v>
      </c>
      <c r="M940" t="s" s="15">
        <v>3706</v>
      </c>
      <c r="N940" t="s" s="15">
        <v>3706</v>
      </c>
      <c r="O940" t="s" s="15">
        <v>71</v>
      </c>
      <c r="P940" t="s" s="15">
        <v>322</v>
      </c>
      <c r="Q940" t="s" s="15">
        <v>78</v>
      </c>
      <c r="R940" t="s" s="15">
        <v>339</v>
      </c>
      <c r="S940" s="14"/>
      <c r="T940" s="14"/>
      <c r="U940" s="14"/>
      <c r="V940" t="s" s="15">
        <v>69</v>
      </c>
      <c r="W940" s="14"/>
      <c r="X940" t="s" s="15">
        <v>69</v>
      </c>
      <c r="Y940" s="14"/>
      <c r="Z940" t="s" s="15">
        <v>76</v>
      </c>
      <c r="AA940" s="14"/>
      <c r="AB940" t="s" s="15">
        <v>76</v>
      </c>
      <c r="AC940" t="s" s="15">
        <v>1226</v>
      </c>
      <c r="AD940" s="14"/>
      <c r="AE940" s="14"/>
      <c r="AF940" s="14"/>
      <c r="AG940" t="s" s="15">
        <v>299</v>
      </c>
      <c r="AH940" t="s" s="15">
        <v>114</v>
      </c>
      <c r="AI940" t="s" s="15">
        <v>76</v>
      </c>
      <c r="AJ940" t="s" s="15">
        <v>76</v>
      </c>
      <c r="AK940" t="s" s="15">
        <v>79</v>
      </c>
      <c r="AL940" t="s" s="15">
        <v>293</v>
      </c>
      <c r="AM940" t="s" s="15">
        <v>196</v>
      </c>
      <c r="AN940" t="s" s="15">
        <v>566</v>
      </c>
      <c r="AO940" s="17">
        <v>4</v>
      </c>
      <c r="AP940" s="17">
        <v>8192</v>
      </c>
      <c r="AQ940" s="17">
        <v>105561</v>
      </c>
      <c r="AR940" s="17">
        <v>43192</v>
      </c>
      <c r="AS940" t="s" s="15">
        <v>3708</v>
      </c>
      <c r="AT940" t="s" s="15">
        <v>301</v>
      </c>
      <c r="AU940" s="14"/>
      <c r="AV940" t="s" s="15">
        <v>76</v>
      </c>
      <c r="AW940" t="s" s="15">
        <v>3709</v>
      </c>
      <c r="AX940" t="s" s="15">
        <v>301</v>
      </c>
      <c r="AY940" t="s" s="15">
        <v>309</v>
      </c>
      <c r="AZ940" t="s" s="15">
        <v>3710</v>
      </c>
      <c r="BA940" t="s" s="15">
        <v>76</v>
      </c>
      <c r="BB940" t="s" s="15">
        <v>76</v>
      </c>
      <c r="BC940" t="s" s="15">
        <v>76</v>
      </c>
      <c r="BD940" t="s" s="15">
        <v>310</v>
      </c>
      <c r="BE940" t="s" s="15">
        <v>356</v>
      </c>
      <c r="BF940" s="17">
        <v>4</v>
      </c>
      <c r="BG940" s="17">
        <v>8</v>
      </c>
      <c r="BH940" s="14"/>
      <c r="BI940" t="s" s="15">
        <v>83</v>
      </c>
      <c r="BJ940" t="s" s="15">
        <v>83</v>
      </c>
      <c r="BK940" t="s" s="15">
        <v>83</v>
      </c>
      <c r="BL940" s="14"/>
      <c r="BM940" t="s" s="15">
        <v>312</v>
      </c>
      <c r="BN940" s="14"/>
      <c r="BO940" t="s" s="21">
        <v>76</v>
      </c>
      <c r="BP940" s="8"/>
    </row>
    <row r="941" ht="9" customHeight="1" hidden="1">
      <c r="A941" t="s" s="9">
        <v>3711</v>
      </c>
      <c r="B941" s="11"/>
      <c r="C941" t="str" s="11" cm="1">
        <f t="array" ref="C941">_xlfn.IFERROR((VLOOKUP(A941,#REF!,2,FALSE)),"")</f>
      </c>
      <c r="D941" s="11"/>
      <c r="E941" t="s" s="10">
        <v>303</v>
      </c>
      <c r="F941" s="11"/>
      <c r="G941" t="s" s="10">
        <v>3712</v>
      </c>
      <c r="H941" t="s" s="10">
        <v>3713</v>
      </c>
      <c r="I941" t="s" s="10">
        <v>73</v>
      </c>
      <c r="J941" t="s" s="10">
        <v>74</v>
      </c>
      <c r="K941" t="s" s="10">
        <v>825</v>
      </c>
      <c r="L941" t="s" s="10">
        <v>76</v>
      </c>
      <c r="M941" t="s" s="10">
        <v>3712</v>
      </c>
      <c r="N941" t="s" s="10">
        <v>3712</v>
      </c>
      <c r="O941" t="s" s="10">
        <v>71</v>
      </c>
      <c r="P941" t="s" s="10">
        <v>74</v>
      </c>
      <c r="Q941" t="s" s="10">
        <v>78</v>
      </c>
      <c r="R941" t="s" s="10">
        <v>323</v>
      </c>
      <c r="S941" s="11"/>
      <c r="T941" s="11"/>
      <c r="U941" s="11"/>
      <c r="V941" t="s" s="10">
        <v>78</v>
      </c>
      <c r="W941" t="s" s="10">
        <v>3711</v>
      </c>
      <c r="X941" t="s" s="10">
        <v>69</v>
      </c>
      <c r="Y941" s="11"/>
      <c r="Z941" t="s" s="10">
        <v>205</v>
      </c>
      <c r="AA941" s="11"/>
      <c r="AB941" t="s" s="10">
        <v>76</v>
      </c>
      <c r="AC941" s="11"/>
      <c r="AD941" s="11"/>
      <c r="AE941" s="11"/>
      <c r="AF941" s="11"/>
      <c r="AG941" s="11"/>
      <c r="AH941" t="s" s="10">
        <v>114</v>
      </c>
      <c r="AI941" t="s" s="10">
        <v>76</v>
      </c>
      <c r="AJ941" t="s" s="10">
        <v>76</v>
      </c>
      <c r="AK941" t="s" s="10">
        <v>79</v>
      </c>
      <c r="AL941" s="11"/>
      <c r="AM941" s="11"/>
      <c r="AN941" s="11"/>
      <c r="AO941" s="11"/>
      <c r="AP941" s="11"/>
      <c r="AQ941" s="11"/>
      <c r="AR941" s="11"/>
      <c r="AS941" s="11"/>
      <c r="AT941" s="11"/>
      <c r="AU941" s="11"/>
      <c r="AV941" s="11"/>
      <c r="AW941" s="11"/>
      <c r="AX941" s="11"/>
      <c r="AY941" s="11"/>
      <c r="AZ941" s="11"/>
      <c r="BA941" s="11"/>
      <c r="BB941" s="11"/>
      <c r="BC941" s="11"/>
      <c r="BD941" t="s" s="10">
        <v>118</v>
      </c>
      <c r="BE941" s="11"/>
      <c r="BF941" s="11"/>
      <c r="BG941" s="11"/>
      <c r="BH941" s="11"/>
      <c r="BI941" s="11"/>
      <c r="BJ941" s="11"/>
      <c r="BK941" s="11"/>
      <c r="BL941" s="11"/>
      <c r="BM941" s="11"/>
      <c r="BN941" s="11"/>
      <c r="BO941" s="12"/>
      <c r="BP941" s="8"/>
    </row>
    <row r="942" ht="9" customHeight="1" hidden="1">
      <c r="A942" t="s" s="13">
        <v>3714</v>
      </c>
      <c r="B942" s="14"/>
      <c r="C942" t="str" s="14" cm="1">
        <f t="array" ref="C942">_xlfn.IFERROR((VLOOKUP(A942,#REF!,2,FALSE)),"")</f>
      </c>
      <c r="D942" s="14"/>
      <c r="E942" t="s" s="15">
        <v>303</v>
      </c>
      <c r="F942" s="14"/>
      <c r="G942" t="s" s="15">
        <v>3715</v>
      </c>
      <c r="H942" t="s" s="15">
        <v>3713</v>
      </c>
      <c r="I942" t="s" s="15">
        <v>73</v>
      </c>
      <c r="J942" t="s" s="15">
        <v>74</v>
      </c>
      <c r="K942" t="s" s="15">
        <v>825</v>
      </c>
      <c r="L942" t="s" s="15">
        <v>76</v>
      </c>
      <c r="M942" t="s" s="15">
        <v>3715</v>
      </c>
      <c r="N942" t="s" s="15">
        <v>3715</v>
      </c>
      <c r="O942" t="s" s="15">
        <v>71</v>
      </c>
      <c r="P942" t="s" s="15">
        <v>74</v>
      </c>
      <c r="Q942" t="s" s="15">
        <v>78</v>
      </c>
      <c r="R942" t="s" s="15">
        <v>323</v>
      </c>
      <c r="S942" s="14"/>
      <c r="T942" s="14"/>
      <c r="U942" s="14"/>
      <c r="V942" t="s" s="15">
        <v>78</v>
      </c>
      <c r="W942" t="s" s="15">
        <v>3714</v>
      </c>
      <c r="X942" t="s" s="15">
        <v>69</v>
      </c>
      <c r="Y942" s="14"/>
      <c r="Z942" t="s" s="15">
        <v>205</v>
      </c>
      <c r="AA942" s="14"/>
      <c r="AB942" t="s" s="15">
        <v>76</v>
      </c>
      <c r="AC942" s="14"/>
      <c r="AD942" s="14"/>
      <c r="AE942" s="14"/>
      <c r="AF942" s="14"/>
      <c r="AG942" s="14"/>
      <c r="AH942" t="s" s="15">
        <v>114</v>
      </c>
      <c r="AI942" t="s" s="15">
        <v>76</v>
      </c>
      <c r="AJ942" t="s" s="15">
        <v>76</v>
      </c>
      <c r="AK942" t="s" s="15">
        <v>79</v>
      </c>
      <c r="AL942" s="14"/>
      <c r="AM942" s="14"/>
      <c r="AN942" s="14"/>
      <c r="AO942" s="14"/>
      <c r="AP942" s="14"/>
      <c r="AQ942" s="14"/>
      <c r="AR942" s="14"/>
      <c r="AS942" s="14"/>
      <c r="AT942" s="14"/>
      <c r="AU942" s="14"/>
      <c r="AV942" s="14"/>
      <c r="AW942" s="14"/>
      <c r="AX942" s="14"/>
      <c r="AY942" s="14"/>
      <c r="AZ942" s="14"/>
      <c r="BA942" s="14"/>
      <c r="BB942" s="14"/>
      <c r="BC942" s="14"/>
      <c r="BD942" t="s" s="15">
        <v>118</v>
      </c>
      <c r="BE942" s="14"/>
      <c r="BF942" s="14"/>
      <c r="BG942" s="14"/>
      <c r="BH942" s="14"/>
      <c r="BI942" s="14"/>
      <c r="BJ942" s="14"/>
      <c r="BK942" s="14"/>
      <c r="BL942" s="14"/>
      <c r="BM942" s="14"/>
      <c r="BN942" s="14"/>
      <c r="BO942" s="16"/>
      <c r="BP942" s="8"/>
    </row>
    <row r="943" ht="9" customHeight="1" hidden="1">
      <c r="A943" t="s" s="9">
        <v>3716</v>
      </c>
      <c r="B943" s="11"/>
      <c r="C943" t="str" s="11" cm="1">
        <f t="array" ref="C943">_xlfn.IFERROR((VLOOKUP(A943,#REF!,2,FALSE)),"")</f>
      </c>
      <c r="D943" s="11"/>
      <c r="E943" t="s" s="10">
        <v>195</v>
      </c>
      <c r="F943" s="11"/>
      <c r="G943" t="s" s="10">
        <v>3717</v>
      </c>
      <c r="H943" t="s" s="10">
        <v>3718</v>
      </c>
      <c r="I943" t="s" s="10">
        <v>73</v>
      </c>
      <c r="J943" t="s" s="10">
        <v>74</v>
      </c>
      <c r="K943" t="s" s="10">
        <v>113</v>
      </c>
      <c r="L943" t="s" s="10">
        <v>76</v>
      </c>
      <c r="M943" t="s" s="10">
        <v>3717</v>
      </c>
      <c r="N943" t="s" s="10">
        <v>3717</v>
      </c>
      <c r="O943" t="s" s="10">
        <v>71</v>
      </c>
      <c r="P943" t="s" s="10">
        <v>74</v>
      </c>
      <c r="Q943" t="s" s="10">
        <v>78</v>
      </c>
      <c r="R943" t="s" s="10">
        <v>339</v>
      </c>
      <c r="S943" s="11"/>
      <c r="T943" s="11"/>
      <c r="U943" s="11"/>
      <c r="V943" t="s" s="10">
        <v>78</v>
      </c>
      <c r="W943" t="s" s="10">
        <v>3716</v>
      </c>
      <c r="X943" t="s" s="10">
        <v>69</v>
      </c>
      <c r="Y943" s="11"/>
      <c r="Z943" t="s" s="10">
        <v>205</v>
      </c>
      <c r="AA943" s="11"/>
      <c r="AB943" t="s" s="10">
        <v>76</v>
      </c>
      <c r="AC943" s="11"/>
      <c r="AD943" s="11"/>
      <c r="AE943" s="11"/>
      <c r="AF943" s="11"/>
      <c r="AG943" s="11"/>
      <c r="AH943" s="11"/>
      <c r="AI943" t="s" s="10">
        <v>76</v>
      </c>
      <c r="AJ943" t="s" s="10">
        <v>76</v>
      </c>
      <c r="AK943" t="s" s="10">
        <v>79</v>
      </c>
      <c r="AL943" s="11"/>
      <c r="AM943" t="s" s="10">
        <v>196</v>
      </c>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2"/>
      <c r="BP943" s="8"/>
    </row>
    <row r="944" ht="9" customHeight="1" hidden="1">
      <c r="A944" t="s" s="13">
        <v>3719</v>
      </c>
      <c r="B944" s="14"/>
      <c r="C944" t="str" s="14" cm="1">
        <f t="array" ref="C944">_xlfn.IFERROR((VLOOKUP(A944,#REF!,2,FALSE)),"")</f>
      </c>
      <c r="D944" s="14"/>
      <c r="E944" t="s" s="15">
        <v>195</v>
      </c>
      <c r="F944" s="14"/>
      <c r="G944" t="s" s="15">
        <v>3720</v>
      </c>
      <c r="H944" t="s" s="15">
        <v>345</v>
      </c>
      <c r="I944" t="s" s="15">
        <v>73</v>
      </c>
      <c r="J944" t="s" s="15">
        <v>74</v>
      </c>
      <c r="K944" t="s" s="15">
        <v>113</v>
      </c>
      <c r="L944" t="s" s="15">
        <v>76</v>
      </c>
      <c r="M944" t="s" s="15">
        <v>3720</v>
      </c>
      <c r="N944" t="s" s="15">
        <v>3720</v>
      </c>
      <c r="O944" t="s" s="15">
        <v>71</v>
      </c>
      <c r="P944" t="s" s="15">
        <v>74</v>
      </c>
      <c r="Q944" t="s" s="15">
        <v>78</v>
      </c>
      <c r="R944" t="s" s="15">
        <v>339</v>
      </c>
      <c r="S944" s="14"/>
      <c r="T944" s="14"/>
      <c r="U944" s="14"/>
      <c r="V944" t="s" s="15">
        <v>78</v>
      </c>
      <c r="W944" t="s" s="15">
        <v>3719</v>
      </c>
      <c r="X944" t="s" s="15">
        <v>69</v>
      </c>
      <c r="Y944" s="14"/>
      <c r="Z944" t="s" s="15">
        <v>205</v>
      </c>
      <c r="AA944" s="14"/>
      <c r="AB944" t="s" s="15">
        <v>76</v>
      </c>
      <c r="AC944" s="14"/>
      <c r="AD944" s="14"/>
      <c r="AE944" s="14"/>
      <c r="AF944" s="14"/>
      <c r="AG944" s="14"/>
      <c r="AH944" s="14"/>
      <c r="AI944" t="s" s="15">
        <v>76</v>
      </c>
      <c r="AJ944" t="s" s="15">
        <v>76</v>
      </c>
      <c r="AK944" t="s" s="15">
        <v>79</v>
      </c>
      <c r="AL944" s="14"/>
      <c r="AM944" t="s" s="15">
        <v>196</v>
      </c>
      <c r="AN944" s="14"/>
      <c r="AO944" s="14"/>
      <c r="AP944" s="14"/>
      <c r="AQ944" s="14"/>
      <c r="AR944" s="14"/>
      <c r="AS944" s="14"/>
      <c r="AT944" s="14"/>
      <c r="AU944" s="14"/>
      <c r="AV944" s="14"/>
      <c r="AW944" s="14"/>
      <c r="AX944" s="14"/>
      <c r="AY944" s="14"/>
      <c r="AZ944" s="14"/>
      <c r="BA944" s="14"/>
      <c r="BB944" s="14"/>
      <c r="BC944" s="14"/>
      <c r="BD944" s="14"/>
      <c r="BE944" s="14"/>
      <c r="BF944" s="14"/>
      <c r="BG944" s="14"/>
      <c r="BH944" s="14"/>
      <c r="BI944" s="14"/>
      <c r="BJ944" s="14"/>
      <c r="BK944" s="14"/>
      <c r="BL944" s="14"/>
      <c r="BM944" s="14"/>
      <c r="BN944" s="14"/>
      <c r="BO944" s="16"/>
      <c r="BP944" s="8"/>
    </row>
    <row r="945" ht="9" customHeight="1" hidden="1">
      <c r="A945" t="s" s="9">
        <v>3721</v>
      </c>
      <c r="B945" s="11"/>
      <c r="C945" t="str" s="11" cm="1">
        <f t="array" ref="C945">_xlfn.IFERROR((VLOOKUP(A945,#REF!,2,FALSE)),"")</f>
      </c>
      <c r="D945" s="11"/>
      <c r="E945" t="s" s="10">
        <v>303</v>
      </c>
      <c r="F945" s="11"/>
      <c r="G945" t="s" s="10">
        <v>3722</v>
      </c>
      <c r="H945" t="s" s="10">
        <v>3723</v>
      </c>
      <c r="I945" t="s" s="10">
        <v>73</v>
      </c>
      <c r="J945" t="s" s="10">
        <v>74</v>
      </c>
      <c r="K945" t="s" s="10">
        <v>825</v>
      </c>
      <c r="L945" t="s" s="10">
        <v>76</v>
      </c>
      <c r="M945" t="s" s="10">
        <v>3722</v>
      </c>
      <c r="N945" t="s" s="10">
        <v>3722</v>
      </c>
      <c r="O945" t="s" s="10">
        <v>71</v>
      </c>
      <c r="P945" t="s" s="10">
        <v>74</v>
      </c>
      <c r="Q945" t="s" s="10">
        <v>78</v>
      </c>
      <c r="R945" t="s" s="10">
        <v>323</v>
      </c>
      <c r="S945" s="11"/>
      <c r="T945" s="11"/>
      <c r="U945" s="11"/>
      <c r="V945" t="s" s="10">
        <v>78</v>
      </c>
      <c r="W945" t="s" s="10">
        <v>3721</v>
      </c>
      <c r="X945" t="s" s="10">
        <v>69</v>
      </c>
      <c r="Y945" s="11"/>
      <c r="Z945" t="s" s="10">
        <v>205</v>
      </c>
      <c r="AA945" s="11"/>
      <c r="AB945" t="s" s="10">
        <v>76</v>
      </c>
      <c r="AC945" s="11"/>
      <c r="AD945" s="11"/>
      <c r="AE945" s="11"/>
      <c r="AF945" s="11"/>
      <c r="AG945" s="11"/>
      <c r="AH945" t="s" s="10">
        <v>114</v>
      </c>
      <c r="AI945" t="s" s="10">
        <v>76</v>
      </c>
      <c r="AJ945" t="s" s="10">
        <v>76</v>
      </c>
      <c r="AK945" t="s" s="10">
        <v>79</v>
      </c>
      <c r="AL945" s="11"/>
      <c r="AM945" s="11"/>
      <c r="AN945" s="11"/>
      <c r="AO945" s="11"/>
      <c r="AP945" s="11"/>
      <c r="AQ945" s="11"/>
      <c r="AR945" s="11"/>
      <c r="AS945" s="11"/>
      <c r="AT945" s="11"/>
      <c r="AU945" s="11"/>
      <c r="AV945" s="11"/>
      <c r="AW945" s="11"/>
      <c r="AX945" s="11"/>
      <c r="AY945" s="11"/>
      <c r="AZ945" s="11"/>
      <c r="BA945" s="11"/>
      <c r="BB945" s="11"/>
      <c r="BC945" s="11"/>
      <c r="BD945" t="s" s="10">
        <v>118</v>
      </c>
      <c r="BE945" s="11"/>
      <c r="BF945" s="11"/>
      <c r="BG945" s="11"/>
      <c r="BH945" s="11"/>
      <c r="BI945" s="11"/>
      <c r="BJ945" s="11"/>
      <c r="BK945" s="11"/>
      <c r="BL945" s="11"/>
      <c r="BM945" s="11"/>
      <c r="BN945" s="11"/>
      <c r="BO945" s="12"/>
      <c r="BP945" s="8"/>
    </row>
    <row r="946" ht="9" customHeight="1" hidden="1">
      <c r="A946" t="s" s="13">
        <v>3724</v>
      </c>
      <c r="B946" s="14"/>
      <c r="C946" t="str" s="14" cm="1">
        <f t="array" ref="C946">_xlfn.IFERROR((VLOOKUP(A946,#REF!,2,FALSE)),"")</f>
      </c>
      <c r="D946" s="14"/>
      <c r="E946" t="s" s="15">
        <v>303</v>
      </c>
      <c r="F946" s="14"/>
      <c r="G946" t="s" s="15">
        <v>3725</v>
      </c>
      <c r="H946" t="s" s="15">
        <v>3723</v>
      </c>
      <c r="I946" t="s" s="15">
        <v>73</v>
      </c>
      <c r="J946" t="s" s="15">
        <v>74</v>
      </c>
      <c r="K946" t="s" s="15">
        <v>825</v>
      </c>
      <c r="L946" t="s" s="15">
        <v>76</v>
      </c>
      <c r="M946" t="s" s="15">
        <v>3725</v>
      </c>
      <c r="N946" t="s" s="15">
        <v>3725</v>
      </c>
      <c r="O946" t="s" s="15">
        <v>71</v>
      </c>
      <c r="P946" t="s" s="15">
        <v>74</v>
      </c>
      <c r="Q946" t="s" s="15">
        <v>78</v>
      </c>
      <c r="R946" t="s" s="15">
        <v>323</v>
      </c>
      <c r="S946" s="14"/>
      <c r="T946" s="14"/>
      <c r="U946" s="14"/>
      <c r="V946" t="s" s="15">
        <v>78</v>
      </c>
      <c r="W946" t="s" s="15">
        <v>3724</v>
      </c>
      <c r="X946" t="s" s="15">
        <v>69</v>
      </c>
      <c r="Y946" s="14"/>
      <c r="Z946" t="s" s="15">
        <v>205</v>
      </c>
      <c r="AA946" s="14"/>
      <c r="AB946" t="s" s="15">
        <v>76</v>
      </c>
      <c r="AC946" s="14"/>
      <c r="AD946" s="14"/>
      <c r="AE946" s="14"/>
      <c r="AF946" s="14"/>
      <c r="AG946" s="14"/>
      <c r="AH946" t="s" s="15">
        <v>114</v>
      </c>
      <c r="AI946" t="s" s="15">
        <v>76</v>
      </c>
      <c r="AJ946" t="s" s="15">
        <v>76</v>
      </c>
      <c r="AK946" t="s" s="15">
        <v>79</v>
      </c>
      <c r="AL946" s="14"/>
      <c r="AM946" s="14"/>
      <c r="AN946" s="14"/>
      <c r="AO946" s="14"/>
      <c r="AP946" s="14"/>
      <c r="AQ946" s="14"/>
      <c r="AR946" s="14"/>
      <c r="AS946" s="14"/>
      <c r="AT946" s="14"/>
      <c r="AU946" s="14"/>
      <c r="AV946" s="14"/>
      <c r="AW946" s="14"/>
      <c r="AX946" s="14"/>
      <c r="AY946" s="14"/>
      <c r="AZ946" s="14"/>
      <c r="BA946" s="14"/>
      <c r="BB946" s="14"/>
      <c r="BC946" s="14"/>
      <c r="BD946" t="s" s="15">
        <v>118</v>
      </c>
      <c r="BE946" s="14"/>
      <c r="BF946" s="14"/>
      <c r="BG946" s="14"/>
      <c r="BH946" s="14"/>
      <c r="BI946" s="14"/>
      <c r="BJ946" s="14"/>
      <c r="BK946" s="14"/>
      <c r="BL946" s="14"/>
      <c r="BM946" s="14"/>
      <c r="BN946" s="14"/>
      <c r="BO946" s="16"/>
      <c r="BP946" s="8"/>
    </row>
    <row r="947" ht="9" customHeight="1" hidden="1">
      <c r="A947" t="s" s="9">
        <v>3726</v>
      </c>
      <c r="B947" s="11"/>
      <c r="C947" t="str" s="11" cm="1">
        <f t="array" ref="C947">_xlfn.IFERROR((VLOOKUP(A947,#REF!,2,FALSE)),"")</f>
      </c>
      <c r="D947" s="11"/>
      <c r="E947" t="s" s="10">
        <v>3688</v>
      </c>
      <c r="F947" s="11"/>
      <c r="G947" t="s" s="10">
        <v>3727</v>
      </c>
      <c r="H947" t="s" s="10">
        <v>3690</v>
      </c>
      <c r="I947" t="s" s="10">
        <v>111</v>
      </c>
      <c r="J947" t="s" s="10">
        <v>452</v>
      </c>
      <c r="K947" t="s" s="10">
        <v>113</v>
      </c>
      <c r="L947" t="s" s="10">
        <v>76</v>
      </c>
      <c r="M947" t="s" s="10">
        <v>3728</v>
      </c>
      <c r="N947" t="s" s="10">
        <v>3728</v>
      </c>
      <c r="O947" s="11"/>
      <c r="P947" t="s" s="10">
        <v>452</v>
      </c>
      <c r="Q947" t="s" s="10">
        <v>78</v>
      </c>
      <c r="R947" t="s" s="10">
        <v>83</v>
      </c>
      <c r="S947" s="11"/>
      <c r="T947" s="11"/>
      <c r="U947" s="11"/>
      <c r="V947" t="s" s="10">
        <v>78</v>
      </c>
      <c r="W947" s="11"/>
      <c r="X947" t="s" s="10">
        <v>69</v>
      </c>
      <c r="Y947" s="11"/>
      <c r="Z947" t="s" s="10">
        <v>3692</v>
      </c>
      <c r="AA947" s="11"/>
      <c r="AB947" t="s" s="10">
        <v>3692</v>
      </c>
      <c r="AC947" s="11"/>
      <c r="AD947" s="11"/>
      <c r="AE947" s="11"/>
      <c r="AF947" t="s" s="10">
        <v>3690</v>
      </c>
      <c r="AG947" s="11"/>
      <c r="AH947" t="s" s="10">
        <v>114</v>
      </c>
      <c r="AI947" t="s" s="10">
        <v>76</v>
      </c>
      <c r="AJ947" t="s" s="10">
        <v>76</v>
      </c>
      <c r="AK947" t="s" s="10">
        <v>79</v>
      </c>
      <c r="AL947" s="11"/>
      <c r="AM947" s="11"/>
      <c r="AN947" s="11"/>
      <c r="AO947" s="11"/>
      <c r="AP947" s="11"/>
      <c r="AQ947" s="11"/>
      <c r="AR947" s="11"/>
      <c r="AS947" s="11"/>
      <c r="AT947" s="11"/>
      <c r="AU947" s="11"/>
      <c r="AV947" s="11"/>
      <c r="AW947" s="11"/>
      <c r="AX947" s="11"/>
      <c r="AY947" s="11"/>
      <c r="AZ947" s="11"/>
      <c r="BA947" s="11"/>
      <c r="BB947" s="11"/>
      <c r="BC947" s="11"/>
      <c r="BD947" t="s" s="10">
        <v>118</v>
      </c>
      <c r="BE947" s="11"/>
      <c r="BF947" s="11"/>
      <c r="BG947" s="11"/>
      <c r="BH947" s="11"/>
      <c r="BI947" s="11"/>
      <c r="BJ947" s="11"/>
      <c r="BK947" s="11"/>
      <c r="BL947" s="11"/>
      <c r="BM947" s="11"/>
      <c r="BN947" t="s" s="10">
        <v>78</v>
      </c>
      <c r="BO947" s="12"/>
      <c r="BP947" s="8"/>
    </row>
    <row r="948" ht="9" customHeight="1" hidden="1">
      <c r="A948" t="s" s="13">
        <v>3729</v>
      </c>
      <c r="B948" s="14"/>
      <c r="C948" t="str" s="14" cm="1">
        <f t="array" ref="C948">_xlfn.IFERROR((VLOOKUP(A948,#REF!,2,FALSE)),"")</f>
      </c>
      <c r="D948" s="14"/>
      <c r="E948" s="14"/>
      <c r="F948" s="14"/>
      <c r="G948" t="s" s="15">
        <v>3730</v>
      </c>
      <c r="H948" t="s" s="15">
        <v>345</v>
      </c>
      <c r="I948" t="s" s="15">
        <v>111</v>
      </c>
      <c r="J948" t="s" s="15">
        <v>122</v>
      </c>
      <c r="K948" t="s" s="15">
        <v>825</v>
      </c>
      <c r="L948" t="s" s="15">
        <v>76</v>
      </c>
      <c r="M948" t="s" s="15">
        <v>3730</v>
      </c>
      <c r="N948" t="s" s="15">
        <v>3730</v>
      </c>
      <c r="O948" s="14"/>
      <c r="P948" t="s" s="15">
        <v>122</v>
      </c>
      <c r="Q948" t="s" s="15">
        <v>69</v>
      </c>
      <c r="R948" t="s" s="15">
        <v>323</v>
      </c>
      <c r="S948" s="14"/>
      <c r="T948" s="14"/>
      <c r="U948" s="14"/>
      <c r="V948" t="s" s="15">
        <v>69</v>
      </c>
      <c r="W948" s="14"/>
      <c r="X948" t="s" s="15">
        <v>69</v>
      </c>
      <c r="Y948" s="14"/>
      <c r="Z948" t="s" s="15">
        <v>205</v>
      </c>
      <c r="AA948" s="14"/>
      <c r="AB948" t="s" s="15">
        <v>76</v>
      </c>
      <c r="AC948" t="s" s="15">
        <v>3729</v>
      </c>
      <c r="AD948" t="s" s="15">
        <v>3731</v>
      </c>
      <c r="AE948" s="14"/>
      <c r="AF948" s="14"/>
      <c r="AG948" s="14"/>
      <c r="AH948" t="s" s="15">
        <v>114</v>
      </c>
      <c r="AI948" t="s" s="15">
        <v>76</v>
      </c>
      <c r="AJ948" t="s" s="15">
        <v>76</v>
      </c>
      <c r="AK948" t="s" s="15">
        <v>79</v>
      </c>
      <c r="AL948" t="s" s="15">
        <v>293</v>
      </c>
      <c r="AM948" t="s" s="15">
        <v>294</v>
      </c>
      <c r="AN948" t="s" s="15">
        <v>116</v>
      </c>
      <c r="AO948" s="17">
        <v>8</v>
      </c>
      <c r="AP948" s="17">
        <v>12288</v>
      </c>
      <c r="AQ948" s="17">
        <v>514153</v>
      </c>
      <c r="AR948" s="17">
        <v>514153</v>
      </c>
      <c r="AS948" t="s" s="15">
        <v>3732</v>
      </c>
      <c r="AT948" s="14"/>
      <c r="AU948" s="14"/>
      <c r="AV948" s="14"/>
      <c r="AW948" s="14"/>
      <c r="AX948" s="14"/>
      <c r="AY948" s="14"/>
      <c r="AZ948" s="14"/>
      <c r="BA948" s="14"/>
      <c r="BB948" s="14"/>
      <c r="BC948" s="14"/>
      <c r="BD948" t="s" s="15">
        <v>310</v>
      </c>
      <c r="BE948" t="s" s="15">
        <v>311</v>
      </c>
      <c r="BF948" s="17">
        <v>8</v>
      </c>
      <c r="BG948" s="17">
        <v>16</v>
      </c>
      <c r="BH948" s="14"/>
      <c r="BI948" s="14"/>
      <c r="BJ948" s="14"/>
      <c r="BK948" s="14"/>
      <c r="BL948" s="14"/>
      <c r="BM948" s="14"/>
      <c r="BN948" t="s" s="15">
        <v>69</v>
      </c>
      <c r="BO948" s="16"/>
      <c r="BP948" s="8"/>
    </row>
    <row r="949" ht="9" customHeight="1" hidden="1">
      <c r="A949" t="s" s="9">
        <v>3733</v>
      </c>
      <c r="B949" s="11"/>
      <c r="C949" t="str" s="11" cm="1">
        <f t="array" ref="C949">_xlfn.IFERROR((VLOOKUP(A949,#REF!,2,FALSE)),"")</f>
      </c>
      <c r="D949" s="11"/>
      <c r="E949" t="s" s="10">
        <v>195</v>
      </c>
      <c r="F949" s="11"/>
      <c r="G949" t="s" s="10">
        <v>3734</v>
      </c>
      <c r="H949" t="s" s="10">
        <v>345</v>
      </c>
      <c r="I949" t="s" s="10">
        <v>73</v>
      </c>
      <c r="J949" t="s" s="10">
        <v>74</v>
      </c>
      <c r="K949" t="s" s="10">
        <v>825</v>
      </c>
      <c r="L949" t="s" s="10">
        <v>76</v>
      </c>
      <c r="M949" t="s" s="10">
        <v>3734</v>
      </c>
      <c r="N949" t="s" s="10">
        <v>3734</v>
      </c>
      <c r="O949" t="s" s="10">
        <v>71</v>
      </c>
      <c r="P949" t="s" s="10">
        <v>322</v>
      </c>
      <c r="Q949" t="s" s="10">
        <v>69</v>
      </c>
      <c r="R949" t="s" s="10">
        <v>339</v>
      </c>
      <c r="S949" s="11"/>
      <c r="T949" s="11"/>
      <c r="U949" s="11"/>
      <c r="V949" t="s" s="10">
        <v>69</v>
      </c>
      <c r="W949" s="11"/>
      <c r="X949" t="s" s="10">
        <v>69</v>
      </c>
      <c r="Y949" s="11"/>
      <c r="Z949" t="s" s="10">
        <v>205</v>
      </c>
      <c r="AA949" s="11"/>
      <c r="AB949" t="s" s="10">
        <v>76</v>
      </c>
      <c r="AC949" t="s" s="10">
        <v>3733</v>
      </c>
      <c r="AD949" t="s" s="10">
        <v>3735</v>
      </c>
      <c r="AE949" s="11"/>
      <c r="AF949" s="11"/>
      <c r="AG949" s="11"/>
      <c r="AH949" s="11"/>
      <c r="AI949" t="s" s="10">
        <v>76</v>
      </c>
      <c r="AJ949" t="s" s="10">
        <v>76</v>
      </c>
      <c r="AK949" t="s" s="10">
        <v>79</v>
      </c>
      <c r="AL949" t="s" s="10">
        <v>293</v>
      </c>
      <c r="AM949" t="s" s="10">
        <v>196</v>
      </c>
      <c r="AN949" t="s" s="10">
        <v>116</v>
      </c>
      <c r="AO949" s="18">
        <v>4</v>
      </c>
      <c r="AP949" s="18">
        <v>10240</v>
      </c>
      <c r="AQ949" s="18">
        <v>286833</v>
      </c>
      <c r="AR949" s="18">
        <v>286833</v>
      </c>
      <c r="AS949" t="s" s="10">
        <v>3736</v>
      </c>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2"/>
      <c r="BP949" s="8"/>
    </row>
    <row r="950" ht="9" customHeight="1" hidden="1">
      <c r="A950" t="s" s="13">
        <v>3737</v>
      </c>
      <c r="B950" s="14"/>
      <c r="C950" t="str" s="14" cm="1">
        <f t="array" ref="C950">_xlfn.IFERROR((VLOOKUP(A950,#REF!,2,FALSE)),"")</f>
      </c>
      <c r="D950" s="14"/>
      <c r="E950" t="s" s="15">
        <v>1997</v>
      </c>
      <c r="F950" s="14"/>
      <c r="G950" t="s" s="15">
        <v>3738</v>
      </c>
      <c r="H950" t="s" s="15">
        <v>3739</v>
      </c>
      <c r="I950" t="s" s="15">
        <v>73</v>
      </c>
      <c r="J950" t="s" s="15">
        <v>74</v>
      </c>
      <c r="K950" t="s" s="15">
        <v>113</v>
      </c>
      <c r="L950" t="s" s="15">
        <v>76</v>
      </c>
      <c r="M950" t="s" s="15">
        <v>3738</v>
      </c>
      <c r="N950" t="s" s="15">
        <v>3738</v>
      </c>
      <c r="O950" t="s" s="15">
        <v>71</v>
      </c>
      <c r="P950" t="s" s="15">
        <v>112</v>
      </c>
      <c r="Q950" t="s" s="15">
        <v>78</v>
      </c>
      <c r="R950" t="s" s="15">
        <v>71</v>
      </c>
      <c r="S950" s="14"/>
      <c r="T950" s="14"/>
      <c r="U950" s="14"/>
      <c r="V950" t="s" s="15">
        <v>69</v>
      </c>
      <c r="W950" t="s" s="15">
        <v>3740</v>
      </c>
      <c r="X950" t="s" s="15">
        <v>69</v>
      </c>
      <c r="Y950" s="14"/>
      <c r="Z950" t="s" s="15">
        <v>76</v>
      </c>
      <c r="AA950" s="14"/>
      <c r="AB950" t="s" s="15">
        <v>76</v>
      </c>
      <c r="AC950" s="14"/>
      <c r="AD950" s="14"/>
      <c r="AE950" s="14"/>
      <c r="AF950" s="14"/>
      <c r="AG950" t="s" s="15">
        <v>299</v>
      </c>
      <c r="AH950" t="s" s="15">
        <v>114</v>
      </c>
      <c r="AI950" t="s" s="15">
        <v>76</v>
      </c>
      <c r="AJ950" t="s" s="15">
        <v>76</v>
      </c>
      <c r="AK950" t="s" s="15">
        <v>79</v>
      </c>
      <c r="AL950" t="s" s="15">
        <v>293</v>
      </c>
      <c r="AM950" t="s" s="15">
        <v>294</v>
      </c>
      <c r="AN950" t="s" s="15">
        <v>3741</v>
      </c>
      <c r="AO950" s="17">
        <v>4</v>
      </c>
      <c r="AP950" s="17">
        <v>6144</v>
      </c>
      <c r="AQ950" s="17">
        <v>170069</v>
      </c>
      <c r="AR950" s="17">
        <v>57849</v>
      </c>
      <c r="AS950" t="s" s="15">
        <v>3742</v>
      </c>
      <c r="AT950" t="s" s="15">
        <v>301</v>
      </c>
      <c r="AU950" s="14"/>
      <c r="AV950" s="14"/>
      <c r="AW950" s="14"/>
      <c r="AX950" s="14"/>
      <c r="AY950" s="14"/>
      <c r="AZ950" s="14"/>
      <c r="BA950" s="14"/>
      <c r="BB950" s="14"/>
      <c r="BC950" s="14"/>
      <c r="BD950" t="s" s="15">
        <v>310</v>
      </c>
      <c r="BE950" t="s" s="15">
        <v>356</v>
      </c>
      <c r="BF950" s="17">
        <v>4</v>
      </c>
      <c r="BG950" s="17">
        <v>8</v>
      </c>
      <c r="BH950" s="14"/>
      <c r="BI950" s="14"/>
      <c r="BJ950" s="14"/>
      <c r="BK950" s="14"/>
      <c r="BL950" s="14"/>
      <c r="BM950" s="14"/>
      <c r="BN950" s="14"/>
      <c r="BO950" s="16"/>
      <c r="BP950" s="8"/>
    </row>
    <row r="951" ht="9" customHeight="1" hidden="1">
      <c r="A951" t="s" s="9">
        <v>3743</v>
      </c>
      <c r="B951" s="11"/>
      <c r="C951" t="str" s="11" cm="1">
        <f t="array" ref="C951">_xlfn.IFERROR((VLOOKUP(A951,#REF!,2,FALSE)),"")</f>
      </c>
      <c r="D951" s="11"/>
      <c r="E951" s="11"/>
      <c r="F951" s="11"/>
      <c r="G951" t="s" s="10">
        <v>3744</v>
      </c>
      <c r="H951" t="s" s="10">
        <v>714</v>
      </c>
      <c r="I951" t="s" s="10">
        <v>111</v>
      </c>
      <c r="J951" t="s" s="10">
        <v>112</v>
      </c>
      <c r="K951" t="s" s="10">
        <v>113</v>
      </c>
      <c r="L951" t="s" s="10">
        <v>76</v>
      </c>
      <c r="M951" t="s" s="10">
        <v>3744</v>
      </c>
      <c r="N951" t="s" s="10">
        <v>3744</v>
      </c>
      <c r="O951" s="11"/>
      <c r="P951" t="s" s="10">
        <v>112</v>
      </c>
      <c r="Q951" t="s" s="10">
        <v>69</v>
      </c>
      <c r="R951" t="s" s="10">
        <v>716</v>
      </c>
      <c r="S951" s="11"/>
      <c r="T951" s="11"/>
      <c r="U951" s="11"/>
      <c r="V951" t="s" s="10">
        <v>69</v>
      </c>
      <c r="W951" s="11"/>
      <c r="X951" t="s" s="10">
        <v>69</v>
      </c>
      <c r="Y951" s="11"/>
      <c r="Z951" t="s" s="10">
        <v>76</v>
      </c>
      <c r="AA951" s="11"/>
      <c r="AB951" t="s" s="10">
        <v>76</v>
      </c>
      <c r="AC951" t="s" s="10">
        <v>3743</v>
      </c>
      <c r="AD951" t="s" s="10">
        <v>3745</v>
      </c>
      <c r="AE951" s="11"/>
      <c r="AF951" s="11"/>
      <c r="AG951" t="s" s="10">
        <v>299</v>
      </c>
      <c r="AH951" t="s" s="10">
        <v>114</v>
      </c>
      <c r="AI951" t="s" s="10">
        <v>717</v>
      </c>
      <c r="AJ951" s="11"/>
      <c r="AK951" t="s" s="10">
        <v>83</v>
      </c>
      <c r="AL951" t="s" s="10">
        <v>293</v>
      </c>
      <c r="AM951" t="s" s="10">
        <v>294</v>
      </c>
      <c r="AN951" t="s" s="10">
        <v>1418</v>
      </c>
      <c r="AO951" s="18">
        <v>2</v>
      </c>
      <c r="AP951" s="18">
        <v>8192</v>
      </c>
      <c r="AQ951" s="18">
        <v>213114</v>
      </c>
      <c r="AR951" s="18">
        <v>93511</v>
      </c>
      <c r="AS951" t="s" s="10">
        <v>3746</v>
      </c>
      <c r="AT951" t="s" s="10">
        <v>301</v>
      </c>
      <c r="AU951" s="11"/>
      <c r="AV951" s="11"/>
      <c r="AW951" s="11"/>
      <c r="AX951" s="11"/>
      <c r="AY951" s="11"/>
      <c r="AZ951" s="11"/>
      <c r="BA951" s="11"/>
      <c r="BB951" s="11"/>
      <c r="BC951" s="11"/>
      <c r="BD951" t="s" s="10">
        <v>366</v>
      </c>
      <c r="BE951" t="s" s="10">
        <v>489</v>
      </c>
      <c r="BF951" s="18">
        <v>2</v>
      </c>
      <c r="BG951" s="18">
        <v>8</v>
      </c>
      <c r="BH951" s="11"/>
      <c r="BI951" s="11"/>
      <c r="BJ951" s="11"/>
      <c r="BK951" s="11"/>
      <c r="BL951" s="11"/>
      <c r="BM951" s="11"/>
      <c r="BN951" t="s" s="10">
        <v>78</v>
      </c>
      <c r="BO951" s="12"/>
      <c r="BP951" s="8"/>
    </row>
    <row r="952" ht="15" customHeight="1" hidden="1">
      <c r="A952" t="s" s="13">
        <v>3747</v>
      </c>
      <c r="B952" s="14"/>
      <c r="C952" t="str" s="14" cm="1">
        <f t="array" ref="C952">_xlfn.IFERROR((VLOOKUP(A952,#REF!,2,FALSE)),"")</f>
      </c>
      <c r="D952" s="14"/>
      <c r="E952" s="14"/>
      <c r="F952" s="14"/>
      <c r="G952" t="s" s="15">
        <v>3748</v>
      </c>
      <c r="H952" t="s" s="15">
        <v>714</v>
      </c>
      <c r="I952" t="s" s="15">
        <v>111</v>
      </c>
      <c r="J952" t="s" s="15">
        <v>112</v>
      </c>
      <c r="K952" t="s" s="15">
        <v>113</v>
      </c>
      <c r="L952" t="s" s="15">
        <v>76</v>
      </c>
      <c r="M952" t="s" s="15">
        <v>3748</v>
      </c>
      <c r="N952" t="s" s="15">
        <v>3748</v>
      </c>
      <c r="O952" s="14"/>
      <c r="P952" t="s" s="15">
        <v>112</v>
      </c>
      <c r="Q952" t="s" s="15">
        <v>69</v>
      </c>
      <c r="R952" t="s" s="15">
        <v>716</v>
      </c>
      <c r="S952" s="14"/>
      <c r="T952" s="14"/>
      <c r="U952" s="14"/>
      <c r="V952" t="s" s="15">
        <v>69</v>
      </c>
      <c r="W952" s="14"/>
      <c r="X952" t="s" s="15">
        <v>69</v>
      </c>
      <c r="Y952" s="14"/>
      <c r="Z952" t="s" s="15">
        <v>76</v>
      </c>
      <c r="AA952" s="14"/>
      <c r="AB952" t="s" s="15">
        <v>76</v>
      </c>
      <c r="AC952" t="s" s="15">
        <v>3747</v>
      </c>
      <c r="AD952" t="s" s="15">
        <v>3749</v>
      </c>
      <c r="AE952" s="14"/>
      <c r="AF952" s="14"/>
      <c r="AG952" t="s" s="15">
        <v>299</v>
      </c>
      <c r="AH952" t="s" s="15">
        <v>114</v>
      </c>
      <c r="AI952" t="s" s="15">
        <v>717</v>
      </c>
      <c r="AJ952" s="14"/>
      <c r="AK952" t="s" s="15">
        <v>83</v>
      </c>
      <c r="AL952" t="s" s="15">
        <v>293</v>
      </c>
      <c r="AM952" t="s" s="15">
        <v>294</v>
      </c>
      <c r="AN952" t="s" s="15">
        <v>1418</v>
      </c>
      <c r="AO952" s="17">
        <v>2</v>
      </c>
      <c r="AP952" s="17">
        <v>8192</v>
      </c>
      <c r="AQ952" s="17">
        <v>213110</v>
      </c>
      <c r="AR952" s="17">
        <v>57019</v>
      </c>
      <c r="AS952" t="s" s="15">
        <v>3750</v>
      </c>
      <c r="AT952" t="s" s="15">
        <v>301</v>
      </c>
      <c r="AU952" s="14"/>
      <c r="AV952" s="14"/>
      <c r="AW952" s="14"/>
      <c r="AX952" s="14"/>
      <c r="AY952" s="14"/>
      <c r="AZ952" s="14"/>
      <c r="BA952" s="14"/>
      <c r="BB952" s="14"/>
      <c r="BC952" s="14"/>
      <c r="BD952" t="s" s="15">
        <v>366</v>
      </c>
      <c r="BE952" t="s" s="15">
        <v>489</v>
      </c>
      <c r="BF952" s="17">
        <v>2</v>
      </c>
      <c r="BG952" s="17">
        <v>8</v>
      </c>
      <c r="BH952" s="14"/>
      <c r="BI952" s="14"/>
      <c r="BJ952" s="14"/>
      <c r="BK952" s="14"/>
      <c r="BL952" s="14"/>
      <c r="BM952" s="14"/>
      <c r="BN952" t="s" s="15">
        <v>78</v>
      </c>
      <c r="BO952" s="16"/>
      <c r="BP952" s="8"/>
    </row>
    <row r="953" ht="9" customHeight="1" hidden="1">
      <c r="A953" t="s" s="9">
        <v>3751</v>
      </c>
      <c r="B953" s="11"/>
      <c r="C953" t="str" s="11" cm="1">
        <f t="array" ref="C953">_xlfn.IFERROR((VLOOKUP(A953,#REF!,2,FALSE)),"")</f>
      </c>
      <c r="D953" s="11"/>
      <c r="E953" s="11"/>
      <c r="F953" s="11"/>
      <c r="G953" t="s" s="10">
        <v>3752</v>
      </c>
      <c r="H953" t="s" s="10">
        <v>3753</v>
      </c>
      <c r="I953" t="s" s="10">
        <v>111</v>
      </c>
      <c r="J953" t="s" s="10">
        <v>122</v>
      </c>
      <c r="K953" t="s" s="10">
        <v>113</v>
      </c>
      <c r="L953" t="s" s="10">
        <v>76</v>
      </c>
      <c r="M953" t="s" s="10">
        <v>3752</v>
      </c>
      <c r="N953" t="s" s="10">
        <v>3752</v>
      </c>
      <c r="O953" s="11"/>
      <c r="P953" t="s" s="10">
        <v>122</v>
      </c>
      <c r="Q953" t="s" s="10">
        <v>69</v>
      </c>
      <c r="R953" t="s" s="10">
        <v>83</v>
      </c>
      <c r="S953" s="11"/>
      <c r="T953" s="11"/>
      <c r="U953" s="11"/>
      <c r="V953" t="s" s="10">
        <v>69</v>
      </c>
      <c r="W953" s="11"/>
      <c r="X953" t="s" s="10">
        <v>69</v>
      </c>
      <c r="Y953" s="11"/>
      <c r="Z953" t="s" s="10">
        <v>76</v>
      </c>
      <c r="AA953" s="11"/>
      <c r="AB953" t="s" s="10">
        <v>76</v>
      </c>
      <c r="AC953" t="s" s="10">
        <v>3751</v>
      </c>
      <c r="AD953" s="11"/>
      <c r="AE953" s="11"/>
      <c r="AF953" s="11"/>
      <c r="AG953" t="s" s="10">
        <v>299</v>
      </c>
      <c r="AH953" t="s" s="10">
        <v>114</v>
      </c>
      <c r="AI953" t="s" s="10">
        <v>76</v>
      </c>
      <c r="AJ953" t="s" s="10">
        <v>76</v>
      </c>
      <c r="AK953" t="s" s="10">
        <v>79</v>
      </c>
      <c r="AL953" t="s" s="10">
        <v>293</v>
      </c>
      <c r="AM953" t="s" s="10">
        <v>294</v>
      </c>
      <c r="AN953" t="s" s="10">
        <v>650</v>
      </c>
      <c r="AO953" s="18">
        <v>2</v>
      </c>
      <c r="AP953" s="18">
        <v>8192</v>
      </c>
      <c r="AQ953" s="18">
        <v>192599</v>
      </c>
      <c r="AR953" s="18">
        <v>192599</v>
      </c>
      <c r="AS953" t="s" s="10">
        <v>3754</v>
      </c>
      <c r="AT953" s="11"/>
      <c r="AU953" s="11"/>
      <c r="AV953" s="11"/>
      <c r="AW953" s="11"/>
      <c r="AX953" s="11"/>
      <c r="AY953" s="11"/>
      <c r="AZ953" s="11"/>
      <c r="BA953" s="11"/>
      <c r="BB953" s="11"/>
      <c r="BC953" s="11"/>
      <c r="BD953" t="s" s="10">
        <v>366</v>
      </c>
      <c r="BE953" t="s" s="10">
        <v>489</v>
      </c>
      <c r="BF953" s="18">
        <v>2</v>
      </c>
      <c r="BG953" s="18">
        <v>8</v>
      </c>
      <c r="BH953" s="11"/>
      <c r="BI953" s="11"/>
      <c r="BJ953" s="11"/>
      <c r="BK953" s="11"/>
      <c r="BL953" s="11"/>
      <c r="BM953" s="11"/>
      <c r="BN953" t="s" s="10">
        <v>78</v>
      </c>
      <c r="BO953" s="12"/>
      <c r="BP953" s="8"/>
    </row>
    <row r="954" ht="15" customHeight="1" hidden="1">
      <c r="A954" t="s" s="13">
        <v>3755</v>
      </c>
      <c r="B954" s="14"/>
      <c r="C954" t="str" s="14" cm="1">
        <f t="array" ref="C954">_xlfn.IFERROR((VLOOKUP(A954,#REF!,2,FALSE)),"")</f>
      </c>
      <c r="D954" s="14"/>
      <c r="E954" s="14"/>
      <c r="F954" s="14"/>
      <c r="G954" t="s" s="15">
        <v>3756</v>
      </c>
      <c r="H954" t="s" s="15">
        <v>714</v>
      </c>
      <c r="I954" t="s" s="15">
        <v>111</v>
      </c>
      <c r="J954" t="s" s="15">
        <v>322</v>
      </c>
      <c r="K954" t="s" s="15">
        <v>113</v>
      </c>
      <c r="L954" t="s" s="15">
        <v>76</v>
      </c>
      <c r="M954" t="s" s="15">
        <v>3756</v>
      </c>
      <c r="N954" t="s" s="15">
        <v>3756</v>
      </c>
      <c r="O954" s="14"/>
      <c r="P954" t="s" s="15">
        <v>322</v>
      </c>
      <c r="Q954" t="s" s="15">
        <v>69</v>
      </c>
      <c r="R954" t="s" s="15">
        <v>716</v>
      </c>
      <c r="S954" s="14"/>
      <c r="T954" s="14"/>
      <c r="U954" s="14"/>
      <c r="V954" t="s" s="15">
        <v>69</v>
      </c>
      <c r="W954" s="14"/>
      <c r="X954" t="s" s="15">
        <v>69</v>
      </c>
      <c r="Y954" s="14"/>
      <c r="Z954" t="s" s="15">
        <v>76</v>
      </c>
      <c r="AA954" s="14"/>
      <c r="AB954" t="s" s="15">
        <v>76</v>
      </c>
      <c r="AC954" t="s" s="15">
        <v>3755</v>
      </c>
      <c r="AD954" t="s" s="15">
        <v>3757</v>
      </c>
      <c r="AE954" s="14"/>
      <c r="AF954" s="14"/>
      <c r="AG954" t="s" s="15">
        <v>299</v>
      </c>
      <c r="AH954" t="s" s="15">
        <v>114</v>
      </c>
      <c r="AI954" t="s" s="15">
        <v>717</v>
      </c>
      <c r="AJ954" s="14"/>
      <c r="AK954" t="s" s="15">
        <v>83</v>
      </c>
      <c r="AL954" t="s" s="15">
        <v>293</v>
      </c>
      <c r="AM954" t="s" s="15">
        <v>294</v>
      </c>
      <c r="AN954" t="s" s="15">
        <v>187</v>
      </c>
      <c r="AO954" s="17">
        <v>4</v>
      </c>
      <c r="AP954" s="17">
        <v>12288</v>
      </c>
      <c r="AQ954" s="17">
        <v>217257</v>
      </c>
      <c r="AR954" s="17">
        <v>98766</v>
      </c>
      <c r="AS954" t="s" s="15">
        <v>3758</v>
      </c>
      <c r="AT954" t="s" s="15">
        <v>301</v>
      </c>
      <c r="AU954" s="14"/>
      <c r="AV954" s="14"/>
      <c r="AW954" s="14"/>
      <c r="AX954" s="14"/>
      <c r="AY954" s="14"/>
      <c r="AZ954" s="14"/>
      <c r="BA954" s="14"/>
      <c r="BB954" s="14"/>
      <c r="BC954" s="14"/>
      <c r="BD954" t="s" s="15">
        <v>310</v>
      </c>
      <c r="BE954" t="s" s="15">
        <v>394</v>
      </c>
      <c r="BF954" s="17">
        <v>4</v>
      </c>
      <c r="BG954" s="17">
        <v>16</v>
      </c>
      <c r="BH954" s="14"/>
      <c r="BI954" s="14"/>
      <c r="BJ954" s="14"/>
      <c r="BK954" s="14"/>
      <c r="BL954" s="14"/>
      <c r="BM954" s="14"/>
      <c r="BN954" t="s" s="15">
        <v>78</v>
      </c>
      <c r="BO954" s="16"/>
      <c r="BP954" s="8"/>
    </row>
    <row r="955" ht="15" customHeight="1" hidden="1">
      <c r="A955" t="s" s="9">
        <v>3759</v>
      </c>
      <c r="B955" s="11"/>
      <c r="C955" t="str" s="11" cm="1">
        <f t="array" ref="C955">_xlfn.IFERROR((VLOOKUP(A955,#REF!,2,FALSE)),"")</f>
      </c>
      <c r="D955" s="11"/>
      <c r="E955" s="11"/>
      <c r="F955" s="11"/>
      <c r="G955" t="s" s="10">
        <v>3760</v>
      </c>
      <c r="H955" t="s" s="10">
        <v>714</v>
      </c>
      <c r="I955" t="s" s="10">
        <v>111</v>
      </c>
      <c r="J955" t="s" s="10">
        <v>322</v>
      </c>
      <c r="K955" t="s" s="10">
        <v>113</v>
      </c>
      <c r="L955" t="s" s="10">
        <v>76</v>
      </c>
      <c r="M955" t="s" s="10">
        <v>3760</v>
      </c>
      <c r="N955" t="s" s="10">
        <v>3760</v>
      </c>
      <c r="O955" s="11"/>
      <c r="P955" t="s" s="10">
        <v>322</v>
      </c>
      <c r="Q955" t="s" s="10">
        <v>69</v>
      </c>
      <c r="R955" t="s" s="10">
        <v>716</v>
      </c>
      <c r="S955" s="11"/>
      <c r="T955" s="11"/>
      <c r="U955" s="11"/>
      <c r="V955" t="s" s="10">
        <v>69</v>
      </c>
      <c r="W955" s="11"/>
      <c r="X955" t="s" s="10">
        <v>69</v>
      </c>
      <c r="Y955" s="11"/>
      <c r="Z955" t="s" s="10">
        <v>76</v>
      </c>
      <c r="AA955" s="11"/>
      <c r="AB955" t="s" s="10">
        <v>76</v>
      </c>
      <c r="AC955" t="s" s="10">
        <v>3759</v>
      </c>
      <c r="AD955" t="s" s="10">
        <v>3761</v>
      </c>
      <c r="AE955" s="11"/>
      <c r="AF955" s="11"/>
      <c r="AG955" t="s" s="10">
        <v>299</v>
      </c>
      <c r="AH955" t="s" s="10">
        <v>114</v>
      </c>
      <c r="AI955" t="s" s="10">
        <v>717</v>
      </c>
      <c r="AJ955" s="11"/>
      <c r="AK955" t="s" s="10">
        <v>83</v>
      </c>
      <c r="AL955" t="s" s="10">
        <v>293</v>
      </c>
      <c r="AM955" t="s" s="10">
        <v>294</v>
      </c>
      <c r="AN955" t="s" s="10">
        <v>187</v>
      </c>
      <c r="AO955" s="18">
        <v>2</v>
      </c>
      <c r="AP955" s="18">
        <v>8192</v>
      </c>
      <c r="AQ955" s="18">
        <v>213139</v>
      </c>
      <c r="AR955" s="18">
        <v>54672</v>
      </c>
      <c r="AS955" t="s" s="10">
        <v>3762</v>
      </c>
      <c r="AT955" t="s" s="10">
        <v>301</v>
      </c>
      <c r="AU955" s="11"/>
      <c r="AV955" s="11"/>
      <c r="AW955" s="11"/>
      <c r="AX955" s="11"/>
      <c r="AY955" s="11"/>
      <c r="AZ955" s="11"/>
      <c r="BA955" s="11"/>
      <c r="BB955" s="11"/>
      <c r="BC955" s="11"/>
      <c r="BD955" t="s" s="10">
        <v>366</v>
      </c>
      <c r="BE955" t="s" s="10">
        <v>489</v>
      </c>
      <c r="BF955" s="18">
        <v>2</v>
      </c>
      <c r="BG955" s="18">
        <v>8</v>
      </c>
      <c r="BH955" s="11"/>
      <c r="BI955" s="11"/>
      <c r="BJ955" s="11"/>
      <c r="BK955" s="11"/>
      <c r="BL955" s="11"/>
      <c r="BM955" s="11"/>
      <c r="BN955" t="s" s="10">
        <v>78</v>
      </c>
      <c r="BO955" s="12"/>
      <c r="BP955" s="8"/>
    </row>
    <row r="956" ht="15" customHeight="1" hidden="1">
      <c r="A956" t="s" s="13">
        <v>3763</v>
      </c>
      <c r="B956" s="14"/>
      <c r="C956" t="str" s="14" cm="1">
        <f t="array" ref="C956">_xlfn.IFERROR((VLOOKUP(A956,#REF!,2,FALSE)),"")</f>
      </c>
      <c r="D956" s="14"/>
      <c r="E956" s="14"/>
      <c r="F956" s="14"/>
      <c r="G956" t="s" s="15">
        <v>3764</v>
      </c>
      <c r="H956" t="s" s="15">
        <v>2863</v>
      </c>
      <c r="I956" t="s" s="15">
        <v>111</v>
      </c>
      <c r="J956" t="s" s="15">
        <v>322</v>
      </c>
      <c r="K956" t="s" s="15">
        <v>825</v>
      </c>
      <c r="L956" t="s" s="15">
        <v>2864</v>
      </c>
      <c r="M956" t="s" s="15">
        <v>3764</v>
      </c>
      <c r="N956" t="s" s="15">
        <v>3764</v>
      </c>
      <c r="O956" s="14"/>
      <c r="P956" t="s" s="15">
        <v>322</v>
      </c>
      <c r="Q956" t="s" s="15">
        <v>69</v>
      </c>
      <c r="R956" t="s" s="15">
        <v>716</v>
      </c>
      <c r="S956" s="14"/>
      <c r="T956" s="14"/>
      <c r="U956" s="14"/>
      <c r="V956" t="s" s="15">
        <v>69</v>
      </c>
      <c r="W956" s="14"/>
      <c r="X956" t="s" s="15">
        <v>69</v>
      </c>
      <c r="Y956" s="14"/>
      <c r="Z956" t="s" s="15">
        <v>2866</v>
      </c>
      <c r="AA956" s="14"/>
      <c r="AB956" t="s" s="15">
        <v>2867</v>
      </c>
      <c r="AC956" t="s" s="15">
        <v>3763</v>
      </c>
      <c r="AD956" t="s" s="15">
        <v>3765</v>
      </c>
      <c r="AE956" s="14"/>
      <c r="AF956" s="14"/>
      <c r="AG956" t="s" s="15">
        <v>299</v>
      </c>
      <c r="AH956" t="s" s="15">
        <v>114</v>
      </c>
      <c r="AI956" t="s" s="15">
        <v>440</v>
      </c>
      <c r="AJ956" s="14"/>
      <c r="AK956" t="s" s="15">
        <v>292</v>
      </c>
      <c r="AL956" t="s" s="15">
        <v>293</v>
      </c>
      <c r="AM956" t="s" s="15">
        <v>294</v>
      </c>
      <c r="AN956" t="s" s="15">
        <v>116</v>
      </c>
      <c r="AO956" s="17">
        <v>4</v>
      </c>
      <c r="AP956" s="17">
        <v>8192</v>
      </c>
      <c r="AQ956" s="17">
        <v>213114</v>
      </c>
      <c r="AR956" s="17">
        <v>213114</v>
      </c>
      <c r="AS956" t="s" s="15">
        <v>3766</v>
      </c>
      <c r="AT956" t="s" s="15">
        <v>301</v>
      </c>
      <c r="AU956" s="14"/>
      <c r="AV956" s="14"/>
      <c r="AW956" s="14"/>
      <c r="AX956" s="14"/>
      <c r="AY956" s="14"/>
      <c r="AZ956" s="14"/>
      <c r="BA956" s="14"/>
      <c r="BB956" s="14"/>
      <c r="BC956" s="14"/>
      <c r="BD956" t="s" s="15">
        <v>310</v>
      </c>
      <c r="BE956" t="s" s="15">
        <v>356</v>
      </c>
      <c r="BF956" s="17">
        <v>4</v>
      </c>
      <c r="BG956" s="17">
        <v>8</v>
      </c>
      <c r="BH956" s="14"/>
      <c r="BI956" s="14"/>
      <c r="BJ956" s="14"/>
      <c r="BK956" s="14"/>
      <c r="BL956" s="14"/>
      <c r="BM956" s="14"/>
      <c r="BN956" t="s" s="15">
        <v>78</v>
      </c>
      <c r="BO956" s="16"/>
      <c r="BP956" s="8"/>
    </row>
    <row r="957" ht="13.55" customHeight="1">
      <c r="A957" t="s" s="9">
        <v>3767</v>
      </c>
      <c r="B957" s="11"/>
      <c r="C957" t="str" s="11" cm="1">
        <f t="array" ref="C957">_xlfn.IFERROR((VLOOKUP(A957,#REF!,2,FALSE)),"")</f>
      </c>
      <c r="D957" s="11"/>
      <c r="E957" s="11"/>
      <c r="F957" s="11"/>
      <c r="G957" t="s" s="10">
        <v>3768</v>
      </c>
      <c r="H957" t="s" s="10">
        <v>2863</v>
      </c>
      <c r="I957" t="s" s="10">
        <v>111</v>
      </c>
      <c r="J957" t="s" s="10">
        <v>122</v>
      </c>
      <c r="K957" t="s" s="10">
        <v>825</v>
      </c>
      <c r="L957" t="s" s="10">
        <v>2864</v>
      </c>
      <c r="M957" t="s" s="10">
        <v>3768</v>
      </c>
      <c r="N957" t="s" s="10">
        <v>3768</v>
      </c>
      <c r="O957" s="11"/>
      <c r="P957" t="s" s="10">
        <v>122</v>
      </c>
      <c r="Q957" t="s" s="10">
        <v>69</v>
      </c>
      <c r="R957" t="s" s="10">
        <v>716</v>
      </c>
      <c r="S957" t="s" s="10">
        <v>69</v>
      </c>
      <c r="T957" s="11"/>
      <c r="U957" s="11"/>
      <c r="V957" t="s" s="10">
        <v>69</v>
      </c>
      <c r="W957" s="11"/>
      <c r="X957" t="s" s="10">
        <v>69</v>
      </c>
      <c r="Y957" s="11"/>
      <c r="Z957" t="s" s="10">
        <v>2866</v>
      </c>
      <c r="AA957" s="11"/>
      <c r="AB957" t="s" s="10">
        <v>2867</v>
      </c>
      <c r="AC957" t="s" s="10">
        <v>3767</v>
      </c>
      <c r="AD957" s="11"/>
      <c r="AE957" s="11"/>
      <c r="AF957" s="11"/>
      <c r="AG957" t="s" s="10">
        <v>299</v>
      </c>
      <c r="AH957" t="s" s="10">
        <v>114</v>
      </c>
      <c r="AI957" t="s" s="10">
        <v>440</v>
      </c>
      <c r="AJ957" s="11"/>
      <c r="AK957" t="s" s="10">
        <v>292</v>
      </c>
      <c r="AL957" t="s" s="10">
        <v>293</v>
      </c>
      <c r="AM957" t="s" s="10">
        <v>294</v>
      </c>
      <c r="AN957" t="s" s="10">
        <v>116</v>
      </c>
      <c r="AO957" s="18">
        <v>16</v>
      </c>
      <c r="AP957" s="18">
        <v>32768</v>
      </c>
      <c r="AQ957" s="18">
        <v>442844</v>
      </c>
      <c r="AR957" s="18">
        <v>442844</v>
      </c>
      <c r="AS957" t="s" s="10">
        <v>3769</v>
      </c>
      <c r="AT957" s="11"/>
      <c r="AU957" s="11"/>
      <c r="AV957" s="11"/>
      <c r="AW957" s="11"/>
      <c r="AX957" s="11"/>
      <c r="AY957" s="11"/>
      <c r="AZ957" s="11"/>
      <c r="BA957" s="11"/>
      <c r="BB957" s="11"/>
      <c r="BC957" s="11"/>
      <c r="BD957" t="s" s="10">
        <v>310</v>
      </c>
      <c r="BE957" t="s" s="10">
        <v>2296</v>
      </c>
      <c r="BF957" s="18">
        <v>16</v>
      </c>
      <c r="BG957" s="18">
        <v>32</v>
      </c>
      <c r="BH957" s="11"/>
      <c r="BI957" s="11"/>
      <c r="BJ957" s="11"/>
      <c r="BK957" s="11"/>
      <c r="BL957" s="11"/>
      <c r="BM957" s="11"/>
      <c r="BN957" t="s" s="10">
        <v>69</v>
      </c>
      <c r="BO957" s="12"/>
      <c r="BP957" s="8"/>
    </row>
    <row r="958" ht="15" customHeight="1" hidden="1">
      <c r="A958" t="s" s="13">
        <v>3770</v>
      </c>
      <c r="B958" s="14"/>
      <c r="C958" t="str" s="14" cm="1">
        <f t="array" ref="C958">_xlfn.IFERROR((VLOOKUP(A958,#REF!,2,FALSE)),"")</f>
      </c>
      <c r="D958" s="14"/>
      <c r="E958" s="14"/>
      <c r="F958" s="14"/>
      <c r="G958" t="s" s="15">
        <v>3771</v>
      </c>
      <c r="H958" t="s" s="15">
        <v>2863</v>
      </c>
      <c r="I958" t="s" s="15">
        <v>111</v>
      </c>
      <c r="J958" t="s" s="15">
        <v>469</v>
      </c>
      <c r="K958" t="s" s="15">
        <v>825</v>
      </c>
      <c r="L958" t="s" s="15">
        <v>2864</v>
      </c>
      <c r="M958" t="s" s="15">
        <v>3771</v>
      </c>
      <c r="N958" s="14"/>
      <c r="O958" s="14"/>
      <c r="P958" t="s" s="15">
        <v>469</v>
      </c>
      <c r="Q958" t="s" s="15">
        <v>69</v>
      </c>
      <c r="R958" t="s" s="15">
        <v>83</v>
      </c>
      <c r="S958" t="s" s="15">
        <v>69</v>
      </c>
      <c r="T958" s="14"/>
      <c r="U958" s="14"/>
      <c r="V958" t="s" s="15">
        <v>69</v>
      </c>
      <c r="W958" s="14"/>
      <c r="X958" t="s" s="15">
        <v>78</v>
      </c>
      <c r="Y958" s="14"/>
      <c r="Z958" t="s" s="15">
        <v>2866</v>
      </c>
      <c r="AA958" s="14"/>
      <c r="AB958" t="s" s="15">
        <v>2867</v>
      </c>
      <c r="AC958" t="s" s="15">
        <v>3770</v>
      </c>
      <c r="AD958" s="14"/>
      <c r="AE958" s="14"/>
      <c r="AF958" s="14"/>
      <c r="AG958" t="s" s="15">
        <v>299</v>
      </c>
      <c r="AH958" t="s" s="15">
        <v>114</v>
      </c>
      <c r="AI958" t="s" s="15">
        <v>440</v>
      </c>
      <c r="AJ958" s="14"/>
      <c r="AK958" t="s" s="15">
        <v>292</v>
      </c>
      <c r="AL958" t="s" s="15">
        <v>293</v>
      </c>
      <c r="AM958" t="s" s="15">
        <v>294</v>
      </c>
      <c r="AN958" t="s" s="15">
        <v>187</v>
      </c>
      <c r="AO958" s="17">
        <v>16</v>
      </c>
      <c r="AP958" s="17">
        <v>32768</v>
      </c>
      <c r="AQ958" s="17">
        <v>442878</v>
      </c>
      <c r="AR958" s="17">
        <v>442878</v>
      </c>
      <c r="AS958" t="s" s="15">
        <v>3772</v>
      </c>
      <c r="AT958" s="14"/>
      <c r="AU958" s="14"/>
      <c r="AV958" s="14"/>
      <c r="AW958" s="14"/>
      <c r="AX958" s="14"/>
      <c r="AY958" s="14"/>
      <c r="AZ958" s="14"/>
      <c r="BA958" s="14"/>
      <c r="BB958" s="14"/>
      <c r="BC958" s="14"/>
      <c r="BD958" t="s" s="15">
        <v>310</v>
      </c>
      <c r="BE958" t="s" s="15">
        <v>2296</v>
      </c>
      <c r="BF958" s="17">
        <v>16</v>
      </c>
      <c r="BG958" s="17">
        <v>32</v>
      </c>
      <c r="BH958" s="14"/>
      <c r="BI958" s="14"/>
      <c r="BJ958" s="14"/>
      <c r="BK958" s="14"/>
      <c r="BL958" s="14"/>
      <c r="BM958" s="14"/>
      <c r="BN958" t="s" s="15">
        <v>78</v>
      </c>
      <c r="BO958" s="16"/>
      <c r="BP958" s="8"/>
    </row>
    <row r="959" ht="9" customHeight="1" hidden="1">
      <c r="A959" t="s" s="9">
        <v>3773</v>
      </c>
      <c r="B959" s="11"/>
      <c r="C959" t="str" s="11" cm="1">
        <f t="array" ref="C959">_xlfn.IFERROR((VLOOKUP(A959,#REF!,2,FALSE)),"")</f>
      </c>
      <c r="D959" s="11"/>
      <c r="E959" t="s" s="10">
        <v>1997</v>
      </c>
      <c r="F959" s="11"/>
      <c r="G959" t="s" s="10">
        <v>3774</v>
      </c>
      <c r="H959" t="s" s="10">
        <v>3774</v>
      </c>
      <c r="I959" t="s" s="10">
        <v>73</v>
      </c>
      <c r="J959" t="s" s="10">
        <v>74</v>
      </c>
      <c r="K959" t="s" s="10">
        <v>113</v>
      </c>
      <c r="L959" t="s" s="10">
        <v>76</v>
      </c>
      <c r="M959" t="s" s="10">
        <v>3774</v>
      </c>
      <c r="N959" t="s" s="10">
        <v>3774</v>
      </c>
      <c r="O959" t="s" s="10">
        <v>71</v>
      </c>
      <c r="P959" t="s" s="10">
        <v>517</v>
      </c>
      <c r="Q959" t="s" s="10">
        <v>69</v>
      </c>
      <c r="R959" t="s" s="10">
        <v>339</v>
      </c>
      <c r="S959" s="11"/>
      <c r="T959" s="11"/>
      <c r="U959" s="11"/>
      <c r="V959" t="s" s="10">
        <v>69</v>
      </c>
      <c r="W959" s="11"/>
      <c r="X959" t="s" s="10">
        <v>69</v>
      </c>
      <c r="Y959" s="11"/>
      <c r="Z959" t="s" s="10">
        <v>76</v>
      </c>
      <c r="AA959" s="11"/>
      <c r="AB959" t="s" s="10">
        <v>76</v>
      </c>
      <c r="AC959" t="s" s="10">
        <v>3773</v>
      </c>
      <c r="AD959" t="s" s="10">
        <v>3775</v>
      </c>
      <c r="AE959" s="11"/>
      <c r="AF959" s="11"/>
      <c r="AG959" t="s" s="10">
        <v>299</v>
      </c>
      <c r="AH959" t="s" s="10">
        <v>114</v>
      </c>
      <c r="AI959" t="s" s="10">
        <v>76</v>
      </c>
      <c r="AJ959" t="s" s="10">
        <v>76</v>
      </c>
      <c r="AK959" t="s" s="10">
        <v>79</v>
      </c>
      <c r="AL959" t="s" s="10">
        <v>293</v>
      </c>
      <c r="AM959" t="s" s="10">
        <v>294</v>
      </c>
      <c r="AN959" t="s" s="10">
        <v>116</v>
      </c>
      <c r="AO959" s="18">
        <v>12</v>
      </c>
      <c r="AP959" s="18">
        <v>16384</v>
      </c>
      <c r="AQ959" s="18">
        <v>405718</v>
      </c>
      <c r="AR959" s="18">
        <v>358109</v>
      </c>
      <c r="AS959" t="s" s="10">
        <v>3776</v>
      </c>
      <c r="AT959" t="s" s="10">
        <v>301</v>
      </c>
      <c r="AU959" s="11"/>
      <c r="AV959" s="11"/>
      <c r="AW959" s="11"/>
      <c r="AX959" s="11"/>
      <c r="AY959" s="11"/>
      <c r="AZ959" s="11"/>
      <c r="BA959" s="11"/>
      <c r="BB959" s="11"/>
      <c r="BC959" s="11"/>
      <c r="BD959" t="s" s="10">
        <v>310</v>
      </c>
      <c r="BE959" t="s" s="10">
        <v>2296</v>
      </c>
      <c r="BF959" s="18">
        <v>16</v>
      </c>
      <c r="BG959" s="18">
        <v>32</v>
      </c>
      <c r="BH959" s="11"/>
      <c r="BI959" s="11"/>
      <c r="BJ959" s="11"/>
      <c r="BK959" s="11"/>
      <c r="BL959" s="11"/>
      <c r="BM959" s="11"/>
      <c r="BN959" s="11"/>
      <c r="BO959" s="12"/>
      <c r="BP959" s="8"/>
    </row>
    <row r="960" ht="9" customHeight="1" hidden="1">
      <c r="A960" t="s" s="13">
        <v>3777</v>
      </c>
      <c r="B960" s="14"/>
      <c r="C960" t="str" s="14" cm="1">
        <f t="array" ref="C960">_xlfn.IFERROR((VLOOKUP(A960,#REF!,2,FALSE)),"")</f>
      </c>
      <c r="D960" s="14"/>
      <c r="E960" t="s" s="15">
        <v>1997</v>
      </c>
      <c r="F960" s="14"/>
      <c r="G960" t="s" s="15">
        <v>3778</v>
      </c>
      <c r="H960" t="s" s="15">
        <v>3778</v>
      </c>
      <c r="I960" t="s" s="15">
        <v>73</v>
      </c>
      <c r="J960" t="s" s="15">
        <v>74</v>
      </c>
      <c r="K960" t="s" s="15">
        <v>825</v>
      </c>
      <c r="L960" t="s" s="15">
        <v>76</v>
      </c>
      <c r="M960" t="s" s="15">
        <v>3778</v>
      </c>
      <c r="N960" t="s" s="15">
        <v>3778</v>
      </c>
      <c r="O960" t="s" s="15">
        <v>71</v>
      </c>
      <c r="P960" t="s" s="15">
        <v>112</v>
      </c>
      <c r="Q960" t="s" s="15">
        <v>69</v>
      </c>
      <c r="R960" t="s" s="15">
        <v>71</v>
      </c>
      <c r="S960" s="14"/>
      <c r="T960" s="14"/>
      <c r="U960" s="14"/>
      <c r="V960" t="s" s="15">
        <v>69</v>
      </c>
      <c r="W960" s="14"/>
      <c r="X960" t="s" s="15">
        <v>69</v>
      </c>
      <c r="Y960" s="14"/>
      <c r="Z960" t="s" s="15">
        <v>76</v>
      </c>
      <c r="AA960" s="14"/>
      <c r="AB960" t="s" s="15">
        <v>76</v>
      </c>
      <c r="AC960" t="s" s="15">
        <v>3777</v>
      </c>
      <c r="AD960" t="s" s="15">
        <v>3779</v>
      </c>
      <c r="AE960" s="14"/>
      <c r="AF960" s="14"/>
      <c r="AG960" t="s" s="15">
        <v>299</v>
      </c>
      <c r="AH960" t="s" s="15">
        <v>114</v>
      </c>
      <c r="AI960" t="s" s="15">
        <v>76</v>
      </c>
      <c r="AJ960" t="s" s="15">
        <v>76</v>
      </c>
      <c r="AK960" t="s" s="15">
        <v>79</v>
      </c>
      <c r="AL960" t="s" s="15">
        <v>293</v>
      </c>
      <c r="AM960" t="s" s="15">
        <v>196</v>
      </c>
      <c r="AN960" t="s" s="15">
        <v>128</v>
      </c>
      <c r="AO960" s="17">
        <v>8</v>
      </c>
      <c r="AP960" s="17">
        <v>16384</v>
      </c>
      <c r="AQ960" s="17">
        <v>221342</v>
      </c>
      <c r="AR960" s="17">
        <v>165244</v>
      </c>
      <c r="AS960" t="s" s="15">
        <v>3780</v>
      </c>
      <c r="AT960" t="s" s="15">
        <v>301</v>
      </c>
      <c r="AU960" s="14"/>
      <c r="AV960" s="14"/>
      <c r="AW960" s="14"/>
      <c r="AX960" s="14"/>
      <c r="AY960" s="14"/>
      <c r="AZ960" s="14"/>
      <c r="BA960" s="14"/>
      <c r="BB960" s="14"/>
      <c r="BC960" s="14"/>
      <c r="BD960" t="s" s="15">
        <v>310</v>
      </c>
      <c r="BE960" t="s" s="15">
        <v>311</v>
      </c>
      <c r="BF960" s="17">
        <v>8</v>
      </c>
      <c r="BG960" s="17">
        <v>16</v>
      </c>
      <c r="BH960" s="14"/>
      <c r="BI960" s="14"/>
      <c r="BJ960" s="14"/>
      <c r="BK960" s="14"/>
      <c r="BL960" s="14"/>
      <c r="BM960" s="14"/>
      <c r="BN960" s="14"/>
      <c r="BO960" s="16"/>
      <c r="BP960" s="8"/>
    </row>
    <row r="961" ht="15" customHeight="1">
      <c r="A961" t="s" s="9">
        <v>3781</v>
      </c>
      <c r="B961" s="11"/>
      <c r="C961" t="str" s="11" cm="1">
        <f t="array" ref="C961">_xlfn.IFERROR((VLOOKUP(A961,#REF!,2,FALSE)),"")</f>
      </c>
      <c r="D961" s="11"/>
      <c r="E961" s="11"/>
      <c r="F961" s="11"/>
      <c r="G961" t="s" s="10">
        <v>3782</v>
      </c>
      <c r="H961" t="s" s="10">
        <v>714</v>
      </c>
      <c r="I961" t="s" s="10">
        <v>111</v>
      </c>
      <c r="J961" t="s" s="10">
        <v>122</v>
      </c>
      <c r="K961" t="s" s="10">
        <v>825</v>
      </c>
      <c r="L961" t="s" s="10">
        <v>76</v>
      </c>
      <c r="M961" t="s" s="10">
        <v>3783</v>
      </c>
      <c r="N961" t="s" s="10">
        <v>3782</v>
      </c>
      <c r="O961" s="11"/>
      <c r="P961" t="s" s="10">
        <v>122</v>
      </c>
      <c r="Q961" t="s" s="10">
        <v>69</v>
      </c>
      <c r="R961" t="s" s="10">
        <v>716</v>
      </c>
      <c r="S961" s="11"/>
      <c r="T961" s="11"/>
      <c r="U961" s="11"/>
      <c r="V961" t="s" s="10">
        <v>69</v>
      </c>
      <c r="W961" s="11"/>
      <c r="X961" t="s" s="10">
        <v>69</v>
      </c>
      <c r="Y961" s="11"/>
      <c r="Z961" t="s" s="10">
        <v>76</v>
      </c>
      <c r="AA961" s="11"/>
      <c r="AB961" t="s" s="10">
        <v>76</v>
      </c>
      <c r="AC961" t="s" s="10">
        <v>3781</v>
      </c>
      <c r="AD961" t="s" s="10">
        <v>3784</v>
      </c>
      <c r="AE961" s="11"/>
      <c r="AF961" s="11"/>
      <c r="AG961" t="s" s="10">
        <v>299</v>
      </c>
      <c r="AH961" t="s" s="10">
        <v>114</v>
      </c>
      <c r="AI961" t="s" s="10">
        <v>717</v>
      </c>
      <c r="AJ961" s="11"/>
      <c r="AK961" t="s" s="10">
        <v>83</v>
      </c>
      <c r="AL961" t="s" s="10">
        <v>293</v>
      </c>
      <c r="AM961" t="s" s="10">
        <v>294</v>
      </c>
      <c r="AN961" t="s" s="10">
        <v>187</v>
      </c>
      <c r="AO961" s="18">
        <v>4</v>
      </c>
      <c r="AP961" s="18">
        <v>12288</v>
      </c>
      <c r="AQ961" s="18">
        <v>217241</v>
      </c>
      <c r="AR961" s="18">
        <v>59343</v>
      </c>
      <c r="AS961" t="s" s="10">
        <v>3785</v>
      </c>
      <c r="AT961" t="s" s="10">
        <v>301</v>
      </c>
      <c r="AU961" s="11"/>
      <c r="AV961" s="11"/>
      <c r="AW961" s="11"/>
      <c r="AX961" s="11"/>
      <c r="AY961" s="11"/>
      <c r="AZ961" s="11"/>
      <c r="BA961" s="11"/>
      <c r="BB961" s="11"/>
      <c r="BC961" s="11"/>
      <c r="BD961" t="s" s="10">
        <v>310</v>
      </c>
      <c r="BE961" t="s" s="10">
        <v>394</v>
      </c>
      <c r="BF961" s="18">
        <v>4</v>
      </c>
      <c r="BG961" s="18">
        <v>16</v>
      </c>
      <c r="BH961" s="11"/>
      <c r="BI961" s="11"/>
      <c r="BJ961" s="11"/>
      <c r="BK961" s="11"/>
      <c r="BL961" s="11"/>
      <c r="BM961" s="11"/>
      <c r="BN961" t="s" s="10">
        <v>69</v>
      </c>
      <c r="BO961" s="12"/>
      <c r="BP961" s="8"/>
    </row>
    <row r="962" ht="13.55" customHeight="1">
      <c r="A962" t="s" s="13">
        <v>3786</v>
      </c>
      <c r="B962" s="14"/>
      <c r="C962" t="str" s="14" cm="1">
        <f t="array" ref="C962">_xlfn.IFERROR((VLOOKUP(A962,#REF!,2,FALSE)),"")</f>
      </c>
      <c r="D962" s="14"/>
      <c r="E962" s="14"/>
      <c r="F962" s="14"/>
      <c r="G962" t="s" s="15">
        <v>3787</v>
      </c>
      <c r="H962" t="s" s="15">
        <v>714</v>
      </c>
      <c r="I962" t="s" s="15">
        <v>111</v>
      </c>
      <c r="J962" t="s" s="15">
        <v>122</v>
      </c>
      <c r="K962" t="s" s="15">
        <v>825</v>
      </c>
      <c r="L962" t="s" s="15">
        <v>76</v>
      </c>
      <c r="M962" t="s" s="15">
        <v>3788</v>
      </c>
      <c r="N962" t="s" s="15">
        <v>3787</v>
      </c>
      <c r="O962" s="14"/>
      <c r="P962" t="s" s="15">
        <v>122</v>
      </c>
      <c r="Q962" t="s" s="15">
        <v>78</v>
      </c>
      <c r="R962" t="s" s="15">
        <v>716</v>
      </c>
      <c r="S962" s="14"/>
      <c r="T962" s="14"/>
      <c r="U962" s="14"/>
      <c r="V962" t="s" s="15">
        <v>69</v>
      </c>
      <c r="W962" s="14"/>
      <c r="X962" t="s" s="15">
        <v>69</v>
      </c>
      <c r="Y962" s="14"/>
      <c r="Z962" t="s" s="15">
        <v>76</v>
      </c>
      <c r="AA962" s="14"/>
      <c r="AB962" t="s" s="15">
        <v>76</v>
      </c>
      <c r="AC962" s="14"/>
      <c r="AD962" s="14"/>
      <c r="AE962" s="14"/>
      <c r="AF962" s="14"/>
      <c r="AG962" t="s" s="15">
        <v>299</v>
      </c>
      <c r="AH962" t="s" s="15">
        <v>114</v>
      </c>
      <c r="AI962" t="s" s="15">
        <v>717</v>
      </c>
      <c r="AJ962" s="14"/>
      <c r="AK962" t="s" s="15">
        <v>83</v>
      </c>
      <c r="AL962" t="s" s="15">
        <v>293</v>
      </c>
      <c r="AM962" t="s" s="15">
        <v>294</v>
      </c>
      <c r="AN962" t="s" s="15">
        <v>3549</v>
      </c>
      <c r="AO962" s="17">
        <v>4</v>
      </c>
      <c r="AP962" s="17">
        <v>12288</v>
      </c>
      <c r="AQ962" s="17">
        <v>312393</v>
      </c>
      <c r="AR962" s="17">
        <v>126652</v>
      </c>
      <c r="AS962" t="s" s="15">
        <v>3789</v>
      </c>
      <c r="AT962" s="14"/>
      <c r="AU962" s="14"/>
      <c r="AV962" s="14"/>
      <c r="AW962" s="14"/>
      <c r="AX962" s="14"/>
      <c r="AY962" s="14"/>
      <c r="AZ962" s="14"/>
      <c r="BA962" s="14"/>
      <c r="BB962" s="14"/>
      <c r="BC962" s="14"/>
      <c r="BD962" t="s" s="15">
        <v>310</v>
      </c>
      <c r="BE962" t="s" s="15">
        <v>394</v>
      </c>
      <c r="BF962" s="17">
        <v>4</v>
      </c>
      <c r="BG962" s="17">
        <v>16</v>
      </c>
      <c r="BH962" s="14"/>
      <c r="BI962" s="14"/>
      <c r="BJ962" s="14"/>
      <c r="BK962" s="14"/>
      <c r="BL962" s="14"/>
      <c r="BM962" s="14"/>
      <c r="BN962" t="s" s="15">
        <v>69</v>
      </c>
      <c r="BO962" s="16"/>
      <c r="BP962" s="8"/>
    </row>
    <row r="963" ht="13.55" customHeight="1">
      <c r="A963" t="s" s="9">
        <v>3790</v>
      </c>
      <c r="B963" s="11"/>
      <c r="C963" t="str" s="11" cm="1">
        <f t="array" ref="C963">_xlfn.IFERROR((VLOOKUP(A963,#REF!,2,FALSE)),"")</f>
      </c>
      <c r="D963" s="11"/>
      <c r="E963" s="11"/>
      <c r="F963" s="11"/>
      <c r="G963" t="s" s="10">
        <v>3791</v>
      </c>
      <c r="H963" t="s" s="10">
        <v>714</v>
      </c>
      <c r="I963" t="s" s="10">
        <v>111</v>
      </c>
      <c r="J963" t="s" s="10">
        <v>122</v>
      </c>
      <c r="K963" t="s" s="10">
        <v>825</v>
      </c>
      <c r="L963" t="s" s="10">
        <v>76</v>
      </c>
      <c r="M963" t="s" s="10">
        <v>3792</v>
      </c>
      <c r="N963" t="s" s="10">
        <v>3791</v>
      </c>
      <c r="O963" s="11"/>
      <c r="P963" t="s" s="10">
        <v>122</v>
      </c>
      <c r="Q963" t="s" s="10">
        <v>78</v>
      </c>
      <c r="R963" t="s" s="10">
        <v>716</v>
      </c>
      <c r="S963" s="11"/>
      <c r="T963" s="11"/>
      <c r="U963" s="11"/>
      <c r="V963" t="s" s="10">
        <v>69</v>
      </c>
      <c r="W963" s="11"/>
      <c r="X963" t="s" s="10">
        <v>69</v>
      </c>
      <c r="Y963" s="11"/>
      <c r="Z963" t="s" s="10">
        <v>76</v>
      </c>
      <c r="AA963" s="11"/>
      <c r="AB963" t="s" s="10">
        <v>76</v>
      </c>
      <c r="AC963" s="11"/>
      <c r="AD963" s="11"/>
      <c r="AE963" s="11"/>
      <c r="AF963" s="11"/>
      <c r="AG963" t="s" s="10">
        <v>299</v>
      </c>
      <c r="AH963" t="s" s="10">
        <v>114</v>
      </c>
      <c r="AI963" t="s" s="10">
        <v>717</v>
      </c>
      <c r="AJ963" s="11"/>
      <c r="AK963" t="s" s="10">
        <v>83</v>
      </c>
      <c r="AL963" t="s" s="10">
        <v>293</v>
      </c>
      <c r="AM963" t="s" s="10">
        <v>294</v>
      </c>
      <c r="AN963" t="s" s="10">
        <v>3549</v>
      </c>
      <c r="AO963" s="18">
        <v>4</v>
      </c>
      <c r="AP963" s="18">
        <v>12288</v>
      </c>
      <c r="AQ963" s="18">
        <v>217232</v>
      </c>
      <c r="AR963" s="18">
        <v>93173</v>
      </c>
      <c r="AS963" t="s" s="10">
        <v>3793</v>
      </c>
      <c r="AT963" s="11"/>
      <c r="AU963" s="11"/>
      <c r="AV963" s="11"/>
      <c r="AW963" s="11"/>
      <c r="AX963" s="11"/>
      <c r="AY963" s="11"/>
      <c r="AZ963" s="11"/>
      <c r="BA963" s="11"/>
      <c r="BB963" s="11"/>
      <c r="BC963" s="11"/>
      <c r="BD963" t="s" s="10">
        <v>310</v>
      </c>
      <c r="BE963" t="s" s="10">
        <v>394</v>
      </c>
      <c r="BF963" s="18">
        <v>4</v>
      </c>
      <c r="BG963" s="18">
        <v>16</v>
      </c>
      <c r="BH963" s="11"/>
      <c r="BI963" s="11"/>
      <c r="BJ963" s="11"/>
      <c r="BK963" s="11"/>
      <c r="BL963" s="11"/>
      <c r="BM963" s="11"/>
      <c r="BN963" t="s" s="10">
        <v>69</v>
      </c>
      <c r="BO963" s="12"/>
      <c r="BP963" s="8"/>
    </row>
    <row r="964" ht="9" customHeight="1" hidden="1">
      <c r="A964" t="s" s="13">
        <v>3794</v>
      </c>
      <c r="B964" s="14"/>
      <c r="C964" t="str" s="14" cm="1">
        <f t="array" ref="C964">_xlfn.IFERROR((VLOOKUP(A964,#REF!,2,FALSE)),"")</f>
      </c>
      <c r="D964" t="s" s="15">
        <v>70</v>
      </c>
      <c r="E964" t="s" s="15">
        <v>71</v>
      </c>
      <c r="F964" s="14"/>
      <c r="G964" s="14"/>
      <c r="H964" s="14"/>
      <c r="I964" t="s" s="15">
        <v>73</v>
      </c>
      <c r="J964" t="s" s="15">
        <v>74</v>
      </c>
      <c r="K964" t="s" s="15">
        <v>825</v>
      </c>
      <c r="L964" t="s" s="15">
        <v>76</v>
      </c>
      <c r="M964" t="s" s="15">
        <v>3795</v>
      </c>
      <c r="N964" s="14"/>
      <c r="O964" t="s" s="15">
        <v>71</v>
      </c>
      <c r="P964" t="s" s="15">
        <v>74</v>
      </c>
      <c r="Q964" t="s" s="15">
        <v>78</v>
      </c>
      <c r="R964" t="s" s="15">
        <v>71</v>
      </c>
      <c r="S964" s="14"/>
      <c r="T964" s="14"/>
      <c r="U964" s="14"/>
      <c r="V964" t="s" s="15">
        <v>78</v>
      </c>
      <c r="W964" t="s" s="15">
        <v>3794</v>
      </c>
      <c r="X964" t="s" s="15">
        <v>78</v>
      </c>
      <c r="Y964" s="14"/>
      <c r="Z964" t="s" s="15">
        <v>76</v>
      </c>
      <c r="AA964" s="14"/>
      <c r="AB964" t="s" s="15">
        <v>76</v>
      </c>
      <c r="AC964" s="14"/>
      <c r="AD964" s="14"/>
      <c r="AE964" s="14"/>
      <c r="AF964" s="14"/>
      <c r="AG964" s="14"/>
      <c r="AH964" s="14"/>
      <c r="AI964" t="s" s="15">
        <v>76</v>
      </c>
      <c r="AJ964" t="s" s="15">
        <v>76</v>
      </c>
      <c r="AK964" t="s" s="15">
        <v>79</v>
      </c>
      <c r="AL964" t="s" s="15">
        <v>293</v>
      </c>
      <c r="AM964" t="s" s="15">
        <v>294</v>
      </c>
      <c r="AN964" s="14"/>
      <c r="AO964" s="17">
        <v>16</v>
      </c>
      <c r="AP964" s="17">
        <v>32768</v>
      </c>
      <c r="AQ964" s="17">
        <v>442588</v>
      </c>
      <c r="AR964" s="17">
        <v>442588</v>
      </c>
      <c r="AS964" t="s" s="15">
        <v>3796</v>
      </c>
      <c r="AT964" s="14"/>
      <c r="AU964" s="14"/>
      <c r="AV964" s="14"/>
      <c r="AW964" s="14"/>
      <c r="AX964" s="14"/>
      <c r="AY964" s="14"/>
      <c r="AZ964" s="14"/>
      <c r="BA964" s="14"/>
      <c r="BB964" s="14"/>
      <c r="BC964" s="14"/>
      <c r="BD964" s="14"/>
      <c r="BE964" s="14"/>
      <c r="BF964" s="14"/>
      <c r="BG964" s="14"/>
      <c r="BH964" s="14"/>
      <c r="BI964" s="14"/>
      <c r="BJ964" s="14"/>
      <c r="BK964" s="14"/>
      <c r="BL964" s="14"/>
      <c r="BM964" s="14"/>
      <c r="BN964" s="14"/>
      <c r="BO964" s="16"/>
      <c r="BP964" s="8"/>
    </row>
    <row r="965" ht="9" customHeight="1" hidden="1">
      <c r="A965" t="s" s="9">
        <v>3797</v>
      </c>
      <c r="B965" s="11"/>
      <c r="C965" t="str" s="11" cm="1">
        <f t="array" ref="C965">_xlfn.IFERROR((VLOOKUP(A965,#REF!,2,FALSE)),"")</f>
      </c>
      <c r="D965" s="11"/>
      <c r="E965" t="s" s="10">
        <v>1997</v>
      </c>
      <c r="F965" s="11"/>
      <c r="G965" t="s" s="10">
        <v>3778</v>
      </c>
      <c r="H965" t="s" s="10">
        <v>3778</v>
      </c>
      <c r="I965" t="s" s="10">
        <v>73</v>
      </c>
      <c r="J965" t="s" s="10">
        <v>74</v>
      </c>
      <c r="K965" t="s" s="10">
        <v>825</v>
      </c>
      <c r="L965" t="s" s="10">
        <v>76</v>
      </c>
      <c r="M965" t="s" s="10">
        <v>3778</v>
      </c>
      <c r="N965" t="s" s="10">
        <v>3778</v>
      </c>
      <c r="O965" t="s" s="10">
        <v>71</v>
      </c>
      <c r="P965" t="s" s="10">
        <v>112</v>
      </c>
      <c r="Q965" t="s" s="10">
        <v>69</v>
      </c>
      <c r="R965" t="s" s="10">
        <v>71</v>
      </c>
      <c r="S965" s="11"/>
      <c r="T965" s="11"/>
      <c r="U965" s="11"/>
      <c r="V965" t="s" s="10">
        <v>69</v>
      </c>
      <c r="W965" t="s" s="10">
        <v>3797</v>
      </c>
      <c r="X965" t="s" s="10">
        <v>69</v>
      </c>
      <c r="Y965" s="11"/>
      <c r="Z965" t="s" s="10">
        <v>76</v>
      </c>
      <c r="AA965" s="11"/>
      <c r="AB965" t="s" s="10">
        <v>76</v>
      </c>
      <c r="AC965" t="s" s="10">
        <v>3797</v>
      </c>
      <c r="AD965" t="s" s="10">
        <v>3798</v>
      </c>
      <c r="AE965" s="11"/>
      <c r="AF965" s="11"/>
      <c r="AG965" t="s" s="10">
        <v>299</v>
      </c>
      <c r="AH965" t="s" s="10">
        <v>114</v>
      </c>
      <c r="AI965" t="s" s="10">
        <v>76</v>
      </c>
      <c r="AJ965" t="s" s="10">
        <v>76</v>
      </c>
      <c r="AK965" t="s" s="10">
        <v>79</v>
      </c>
      <c r="AL965" t="s" s="10">
        <v>293</v>
      </c>
      <c r="AM965" t="s" s="10">
        <v>196</v>
      </c>
      <c r="AN965" t="s" s="10">
        <v>128</v>
      </c>
      <c r="AO965" s="18">
        <v>8</v>
      </c>
      <c r="AP965" s="18">
        <v>16384</v>
      </c>
      <c r="AQ965" s="18">
        <v>272502</v>
      </c>
      <c r="AR965" s="18">
        <v>210635</v>
      </c>
      <c r="AS965" t="s" s="10">
        <v>2713</v>
      </c>
      <c r="AT965" t="s" s="10">
        <v>301</v>
      </c>
      <c r="AU965" s="11"/>
      <c r="AV965" s="11"/>
      <c r="AW965" s="11"/>
      <c r="AX965" s="11"/>
      <c r="AY965" s="11"/>
      <c r="AZ965" s="11"/>
      <c r="BA965" s="11"/>
      <c r="BB965" s="11"/>
      <c r="BC965" s="11"/>
      <c r="BD965" t="s" s="10">
        <v>310</v>
      </c>
      <c r="BE965" t="s" s="10">
        <v>311</v>
      </c>
      <c r="BF965" s="18">
        <v>8</v>
      </c>
      <c r="BG965" s="18">
        <v>16</v>
      </c>
      <c r="BH965" s="11"/>
      <c r="BI965" s="11"/>
      <c r="BJ965" s="11"/>
      <c r="BK965" s="11"/>
      <c r="BL965" s="11"/>
      <c r="BM965" s="11"/>
      <c r="BN965" s="11"/>
      <c r="BO965" s="12"/>
      <c r="BP965" s="8"/>
    </row>
    <row r="966" ht="13.55" customHeight="1">
      <c r="A966" t="s" s="13">
        <v>3799</v>
      </c>
      <c r="B966" s="14"/>
      <c r="C966" t="str" s="14" cm="1">
        <f t="array" ref="C966">_xlfn.IFERROR((VLOOKUP(A966,#REF!,2,FALSE)),"")</f>
      </c>
      <c r="D966" s="14"/>
      <c r="E966" s="14"/>
      <c r="F966" s="14"/>
      <c r="G966" t="s" s="15">
        <v>3800</v>
      </c>
      <c r="H966" t="s" s="15">
        <v>714</v>
      </c>
      <c r="I966" t="s" s="15">
        <v>111</v>
      </c>
      <c r="J966" t="s" s="15">
        <v>122</v>
      </c>
      <c r="K966" t="s" s="15">
        <v>825</v>
      </c>
      <c r="L966" t="s" s="15">
        <v>76</v>
      </c>
      <c r="M966" t="s" s="15">
        <v>3801</v>
      </c>
      <c r="N966" t="s" s="15">
        <v>3800</v>
      </c>
      <c r="O966" s="14"/>
      <c r="P966" t="s" s="15">
        <v>122</v>
      </c>
      <c r="Q966" t="s" s="15">
        <v>78</v>
      </c>
      <c r="R966" t="s" s="15">
        <v>716</v>
      </c>
      <c r="S966" s="14"/>
      <c r="T966" s="14"/>
      <c r="U966" s="14"/>
      <c r="V966" t="s" s="15">
        <v>69</v>
      </c>
      <c r="W966" s="14"/>
      <c r="X966" t="s" s="15">
        <v>69</v>
      </c>
      <c r="Y966" s="14"/>
      <c r="Z966" t="s" s="15">
        <v>76</v>
      </c>
      <c r="AA966" s="14"/>
      <c r="AB966" t="s" s="15">
        <v>76</v>
      </c>
      <c r="AC966" s="14"/>
      <c r="AD966" s="14"/>
      <c r="AE966" s="14"/>
      <c r="AF966" s="14"/>
      <c r="AG966" t="s" s="15">
        <v>299</v>
      </c>
      <c r="AH966" t="s" s="15">
        <v>114</v>
      </c>
      <c r="AI966" t="s" s="15">
        <v>717</v>
      </c>
      <c r="AJ966" s="14"/>
      <c r="AK966" t="s" s="15">
        <v>83</v>
      </c>
      <c r="AL966" t="s" s="15">
        <v>293</v>
      </c>
      <c r="AM966" t="s" s="15">
        <v>294</v>
      </c>
      <c r="AN966" t="s" s="15">
        <v>3549</v>
      </c>
      <c r="AO966" s="17">
        <v>4</v>
      </c>
      <c r="AP966" s="17">
        <v>12288</v>
      </c>
      <c r="AQ966" s="17">
        <v>217285</v>
      </c>
      <c r="AR966" s="17">
        <v>108778</v>
      </c>
      <c r="AS966" t="s" s="15">
        <v>3802</v>
      </c>
      <c r="AT966" s="14"/>
      <c r="AU966" s="14"/>
      <c r="AV966" s="14"/>
      <c r="AW966" s="14"/>
      <c r="AX966" s="14"/>
      <c r="AY966" s="14"/>
      <c r="AZ966" s="14"/>
      <c r="BA966" s="14"/>
      <c r="BB966" s="14"/>
      <c r="BC966" s="14"/>
      <c r="BD966" t="s" s="15">
        <v>310</v>
      </c>
      <c r="BE966" t="s" s="15">
        <v>394</v>
      </c>
      <c r="BF966" s="17">
        <v>4</v>
      </c>
      <c r="BG966" s="17">
        <v>16</v>
      </c>
      <c r="BH966" s="14"/>
      <c r="BI966" s="14"/>
      <c r="BJ966" s="14"/>
      <c r="BK966" s="14"/>
      <c r="BL966" s="14"/>
      <c r="BM966" s="14"/>
      <c r="BN966" t="s" s="15">
        <v>69</v>
      </c>
      <c r="BO966" s="16"/>
      <c r="BP966" s="8"/>
    </row>
    <row r="967" ht="9" customHeight="1" hidden="1">
      <c r="A967" t="s" s="9">
        <v>3803</v>
      </c>
      <c r="B967" s="11"/>
      <c r="C967" t="str" s="11" cm="1">
        <f t="array" ref="C967">_xlfn.IFERROR((VLOOKUP(A967,#REF!,2,FALSE)),"")</f>
      </c>
      <c r="D967" s="11"/>
      <c r="E967" t="s" s="10">
        <v>2896</v>
      </c>
      <c r="F967" s="11"/>
      <c r="G967" t="s" s="10">
        <v>3804</v>
      </c>
      <c r="H967" t="s" s="10">
        <v>2037</v>
      </c>
      <c r="I967" t="s" s="10">
        <v>111</v>
      </c>
      <c r="J967" t="s" s="10">
        <v>322</v>
      </c>
      <c r="K967" t="s" s="10">
        <v>113</v>
      </c>
      <c r="L967" t="s" s="10">
        <v>76</v>
      </c>
      <c r="M967" t="s" s="10">
        <v>3805</v>
      </c>
      <c r="N967" t="s" s="10">
        <v>3804</v>
      </c>
      <c r="O967" s="11"/>
      <c r="P967" t="s" s="10">
        <v>322</v>
      </c>
      <c r="Q967" t="s" s="10">
        <v>78</v>
      </c>
      <c r="R967" t="s" s="10">
        <v>83</v>
      </c>
      <c r="S967" s="11"/>
      <c r="T967" s="11"/>
      <c r="U967" s="11"/>
      <c r="V967" t="s" s="10">
        <v>69</v>
      </c>
      <c r="W967" s="11"/>
      <c r="X967" t="s" s="10">
        <v>69</v>
      </c>
      <c r="Y967" s="11"/>
      <c r="Z967" t="s" s="10">
        <v>76</v>
      </c>
      <c r="AA967" s="11"/>
      <c r="AB967" t="s" s="10">
        <v>76</v>
      </c>
      <c r="AC967" t="s" s="25">
        <v>3803</v>
      </c>
      <c r="AD967" s="11"/>
      <c r="AE967" s="11"/>
      <c r="AF967" s="11"/>
      <c r="AG967" t="s" s="10">
        <v>299</v>
      </c>
      <c r="AH967" t="s" s="10">
        <v>106</v>
      </c>
      <c r="AI967" t="s" s="10">
        <v>76</v>
      </c>
      <c r="AJ967" t="s" s="10">
        <v>76</v>
      </c>
      <c r="AK967" t="s" s="10">
        <v>79</v>
      </c>
      <c r="AL967" t="s" s="10">
        <v>293</v>
      </c>
      <c r="AM967" t="s" s="10">
        <v>294</v>
      </c>
      <c r="AN967" t="s" s="10">
        <v>128</v>
      </c>
      <c r="AO967" s="18">
        <v>8</v>
      </c>
      <c r="AP967" s="18">
        <v>8192</v>
      </c>
      <c r="AQ967" s="18">
        <v>315486</v>
      </c>
      <c r="AR967" s="18">
        <v>315486</v>
      </c>
      <c r="AS967" t="s" s="10">
        <v>3806</v>
      </c>
      <c r="AT967" s="11"/>
      <c r="AU967" s="11"/>
      <c r="AV967" s="11"/>
      <c r="AW967" s="11"/>
      <c r="AX967" s="11"/>
      <c r="AY967" s="11"/>
      <c r="AZ967" s="11"/>
      <c r="BA967" s="11"/>
      <c r="BB967" s="11"/>
      <c r="BC967" s="11"/>
      <c r="BD967" s="11"/>
      <c r="BE967" s="11"/>
      <c r="BF967" s="11"/>
      <c r="BG967" s="11"/>
      <c r="BH967" s="11"/>
      <c r="BI967" s="11"/>
      <c r="BJ967" s="11"/>
      <c r="BK967" s="11"/>
      <c r="BL967" s="11"/>
      <c r="BM967" s="11"/>
      <c r="BN967" t="s" s="10">
        <v>78</v>
      </c>
      <c r="BO967" s="12"/>
      <c r="BP967" s="8"/>
    </row>
    <row r="968" ht="9" customHeight="1" hidden="1">
      <c r="A968" t="s" s="13">
        <v>3807</v>
      </c>
      <c r="B968" s="14"/>
      <c r="C968" t="str" s="14" cm="1">
        <f t="array" ref="C968">_xlfn.IFERROR((VLOOKUP(A968,#REF!,2,FALSE)),"")</f>
      </c>
      <c r="D968" s="14"/>
      <c r="E968" t="s" s="15">
        <v>195</v>
      </c>
      <c r="F968" s="14"/>
      <c r="G968" t="s" s="15">
        <v>3805</v>
      </c>
      <c r="H968" t="s" s="15">
        <v>2037</v>
      </c>
      <c r="I968" t="s" s="15">
        <v>73</v>
      </c>
      <c r="J968" t="s" s="15">
        <v>74</v>
      </c>
      <c r="K968" t="s" s="15">
        <v>113</v>
      </c>
      <c r="L968" t="s" s="15">
        <v>76</v>
      </c>
      <c r="M968" s="14"/>
      <c r="N968" s="14"/>
      <c r="O968" t="s" s="15">
        <v>71</v>
      </c>
      <c r="P968" s="14"/>
      <c r="Q968" s="14"/>
      <c r="R968" t="s" s="15">
        <v>71</v>
      </c>
      <c r="S968" s="14"/>
      <c r="T968" s="14"/>
      <c r="U968" s="14"/>
      <c r="V968" s="14"/>
      <c r="W968" s="14"/>
      <c r="X968" s="14"/>
      <c r="Y968" s="14"/>
      <c r="Z968" t="s" s="15">
        <v>76</v>
      </c>
      <c r="AA968" s="14"/>
      <c r="AB968" t="s" s="15">
        <v>76</v>
      </c>
      <c r="AC968" s="14"/>
      <c r="AD968" s="14"/>
      <c r="AE968" s="14"/>
      <c r="AF968" s="14"/>
      <c r="AG968" t="s" s="15">
        <v>299</v>
      </c>
      <c r="AH968" t="s" s="15">
        <v>83</v>
      </c>
      <c r="AI968" t="s" s="15">
        <v>76</v>
      </c>
      <c r="AJ968" t="s" s="15">
        <v>76</v>
      </c>
      <c r="AK968" t="s" s="15">
        <v>79</v>
      </c>
      <c r="AL968" t="s" s="15">
        <v>293</v>
      </c>
      <c r="AM968" t="s" s="15">
        <v>196</v>
      </c>
      <c r="AN968" t="s" s="15">
        <v>2400</v>
      </c>
      <c r="AO968" s="14"/>
      <c r="AP968" s="14"/>
      <c r="AQ968" s="14"/>
      <c r="AR968" s="14"/>
      <c r="AS968" t="s" s="15">
        <v>3806</v>
      </c>
      <c r="AT968" s="14"/>
      <c r="AU968" s="14"/>
      <c r="AV968" s="14"/>
      <c r="AW968" s="14"/>
      <c r="AX968" s="14"/>
      <c r="AY968" s="14"/>
      <c r="AZ968" s="14"/>
      <c r="BA968" s="14"/>
      <c r="BB968" s="14"/>
      <c r="BC968" s="14"/>
      <c r="BD968" s="14"/>
      <c r="BE968" s="14"/>
      <c r="BF968" s="14"/>
      <c r="BG968" s="14"/>
      <c r="BH968" s="14"/>
      <c r="BI968" s="14"/>
      <c r="BJ968" s="14"/>
      <c r="BK968" s="14"/>
      <c r="BL968" s="14"/>
      <c r="BM968" s="14"/>
      <c r="BN968" s="14"/>
      <c r="BO968" s="16"/>
      <c r="BP968" s="8"/>
    </row>
    <row r="969" ht="9" customHeight="1" hidden="1">
      <c r="A969" t="s" s="9">
        <v>3808</v>
      </c>
      <c r="B969" s="11"/>
      <c r="C969" t="str" s="11" cm="1">
        <f t="array" ref="C969">_xlfn.IFERROR((VLOOKUP(A969,#REF!,2,FALSE)),"")</f>
      </c>
      <c r="D969" t="s" s="10">
        <v>70</v>
      </c>
      <c r="E969" t="s" s="10">
        <v>3809</v>
      </c>
      <c r="F969" s="11"/>
      <c r="G969" t="s" s="10">
        <v>3810</v>
      </c>
      <c r="H969" t="s" s="10">
        <v>2037</v>
      </c>
      <c r="I969" t="s" s="10">
        <v>82</v>
      </c>
      <c r="J969" t="s" s="10">
        <v>82</v>
      </c>
      <c r="K969" t="s" s="10">
        <v>82</v>
      </c>
      <c r="L969" t="s" s="10">
        <v>76</v>
      </c>
      <c r="M969" t="s" s="10">
        <v>3811</v>
      </c>
      <c r="N969" t="s" s="10">
        <v>3810</v>
      </c>
      <c r="O969" s="11"/>
      <c r="P969" t="s" s="10">
        <v>322</v>
      </c>
      <c r="Q969" t="s" s="10">
        <v>78</v>
      </c>
      <c r="R969" t="s" s="10">
        <v>83</v>
      </c>
      <c r="S969" s="11"/>
      <c r="T969" s="11"/>
      <c r="U969" s="11"/>
      <c r="V969" t="s" s="10">
        <v>78</v>
      </c>
      <c r="W969" s="11"/>
      <c r="X969" t="s" s="10">
        <v>78</v>
      </c>
      <c r="Y969" s="11"/>
      <c r="Z969" t="s" s="10">
        <v>76</v>
      </c>
      <c r="AA969" s="11"/>
      <c r="AB969" t="s" s="10">
        <v>76</v>
      </c>
      <c r="AC969" s="11"/>
      <c r="AD969" s="11"/>
      <c r="AE969" s="11"/>
      <c r="AF969" s="11"/>
      <c r="AG969" t="s" s="10">
        <v>299</v>
      </c>
      <c r="AH969" t="s" s="10">
        <v>106</v>
      </c>
      <c r="AI969" t="s" s="10">
        <v>76</v>
      </c>
      <c r="AJ969" t="s" s="10">
        <v>76</v>
      </c>
      <c r="AK969" t="s" s="10">
        <v>79</v>
      </c>
      <c r="AL969" t="s" s="10">
        <v>293</v>
      </c>
      <c r="AM969" t="s" s="10">
        <v>294</v>
      </c>
      <c r="AN969" s="11"/>
      <c r="AO969" s="18">
        <v>8</v>
      </c>
      <c r="AP969" s="18">
        <v>16384</v>
      </c>
      <c r="AQ969" s="18">
        <v>661597</v>
      </c>
      <c r="AR969" s="18">
        <v>661597</v>
      </c>
      <c r="AS969" t="s" s="10">
        <v>3812</v>
      </c>
      <c r="AT969" t="s" s="10">
        <v>301</v>
      </c>
      <c r="AU969" s="11"/>
      <c r="AV969" s="11"/>
      <c r="AW969" s="11"/>
      <c r="AX969" s="11"/>
      <c r="AY969" s="11"/>
      <c r="AZ969" s="11"/>
      <c r="BA969" s="11"/>
      <c r="BB969" s="11"/>
      <c r="BC969" s="11"/>
      <c r="BD969" s="11"/>
      <c r="BE969" s="11"/>
      <c r="BF969" s="11"/>
      <c r="BG969" s="11"/>
      <c r="BH969" s="11"/>
      <c r="BI969" s="11"/>
      <c r="BJ969" s="11"/>
      <c r="BK969" s="11"/>
      <c r="BL969" s="11"/>
      <c r="BM969" s="11"/>
      <c r="BN969" s="11"/>
      <c r="BO969" s="12"/>
      <c r="BP969" s="8"/>
    </row>
    <row r="970" ht="13.55" customHeight="1">
      <c r="A970" t="s" s="13">
        <v>3813</v>
      </c>
      <c r="B970" s="14"/>
      <c r="C970" t="str" s="14" cm="1">
        <f t="array" ref="C970">_xlfn.IFERROR((VLOOKUP(A970,#REF!,2,FALSE)),"")</f>
      </c>
      <c r="D970" s="14"/>
      <c r="E970" s="14"/>
      <c r="F970" s="14"/>
      <c r="G970" t="s" s="15">
        <v>3814</v>
      </c>
      <c r="H970" t="s" s="15">
        <v>492</v>
      </c>
      <c r="I970" t="s" s="15">
        <v>111</v>
      </c>
      <c r="J970" t="s" s="15">
        <v>122</v>
      </c>
      <c r="K970" t="s" s="15">
        <v>825</v>
      </c>
      <c r="L970" t="s" s="15">
        <v>493</v>
      </c>
      <c r="M970" t="s" s="15">
        <v>3815</v>
      </c>
      <c r="N970" t="s" s="15">
        <v>3815</v>
      </c>
      <c r="O970" s="14"/>
      <c r="P970" t="s" s="15">
        <v>122</v>
      </c>
      <c r="Q970" t="s" s="15">
        <v>69</v>
      </c>
      <c r="R970" t="s" s="15">
        <v>83</v>
      </c>
      <c r="S970" s="14"/>
      <c r="T970" s="14"/>
      <c r="U970" s="14"/>
      <c r="V970" t="s" s="15">
        <v>69</v>
      </c>
      <c r="W970" s="14"/>
      <c r="X970" t="s" s="15">
        <v>69</v>
      </c>
      <c r="Y970" s="14"/>
      <c r="Z970" t="s" s="15">
        <v>495</v>
      </c>
      <c r="AA970" s="14"/>
      <c r="AB970" t="s" s="15">
        <v>495</v>
      </c>
      <c r="AC970" t="s" s="15">
        <v>3813</v>
      </c>
      <c r="AD970" t="s" s="15">
        <v>3816</v>
      </c>
      <c r="AE970" s="14"/>
      <c r="AF970" t="s" s="15">
        <v>492</v>
      </c>
      <c r="AG970" t="s" s="15">
        <v>299</v>
      </c>
      <c r="AH970" t="s" s="15">
        <v>114</v>
      </c>
      <c r="AI970" t="s" s="15">
        <v>332</v>
      </c>
      <c r="AJ970" t="s" s="15">
        <v>333</v>
      </c>
      <c r="AK970" t="s" s="15">
        <v>83</v>
      </c>
      <c r="AL970" t="s" s="15">
        <v>293</v>
      </c>
      <c r="AM970" t="s" s="15">
        <v>294</v>
      </c>
      <c r="AN970" t="s" s="15">
        <v>3817</v>
      </c>
      <c r="AO970" s="17">
        <v>8</v>
      </c>
      <c r="AP970" s="17">
        <v>24576</v>
      </c>
      <c r="AQ970" s="17">
        <v>868572</v>
      </c>
      <c r="AR970" s="17">
        <v>479528</v>
      </c>
      <c r="AS970" t="s" s="15">
        <v>3818</v>
      </c>
      <c r="AT970" t="s" s="15">
        <v>301</v>
      </c>
      <c r="AU970" s="14"/>
      <c r="AV970" s="14"/>
      <c r="AW970" s="14"/>
      <c r="AX970" s="14"/>
      <c r="AY970" s="14"/>
      <c r="AZ970" s="14"/>
      <c r="BA970" s="14"/>
      <c r="BB970" s="14"/>
      <c r="BC970" s="14"/>
      <c r="BD970" t="s" s="15">
        <v>366</v>
      </c>
      <c r="BE970" t="s" s="15">
        <v>367</v>
      </c>
      <c r="BF970" s="17">
        <v>8</v>
      </c>
      <c r="BG970" s="17">
        <v>32</v>
      </c>
      <c r="BH970" s="14"/>
      <c r="BI970" s="14"/>
      <c r="BJ970" s="14"/>
      <c r="BK970" s="14"/>
      <c r="BL970" s="14"/>
      <c r="BM970" s="14"/>
      <c r="BN970" t="s" s="15">
        <v>69</v>
      </c>
      <c r="BO970" s="16"/>
      <c r="BP970" s="8"/>
    </row>
    <row r="971" ht="9" customHeight="1" hidden="1">
      <c r="A971" t="s" s="9">
        <v>3819</v>
      </c>
      <c r="B971" s="11"/>
      <c r="C971" t="str" s="11" cm="1">
        <f t="array" ref="C971">_xlfn.IFERROR((VLOOKUP(A971,#REF!,2,FALSE)),"")</f>
      </c>
      <c r="D971" s="11"/>
      <c r="E971" s="11"/>
      <c r="F971" s="11"/>
      <c r="G971" t="s" s="10">
        <v>3820</v>
      </c>
      <c r="H971" t="s" s="10">
        <v>492</v>
      </c>
      <c r="I971" t="s" s="10">
        <v>111</v>
      </c>
      <c r="J971" t="s" s="10">
        <v>322</v>
      </c>
      <c r="K971" t="s" s="10">
        <v>825</v>
      </c>
      <c r="L971" t="s" s="10">
        <v>493</v>
      </c>
      <c r="M971" t="s" s="10">
        <v>3821</v>
      </c>
      <c r="N971" t="s" s="10">
        <v>3821</v>
      </c>
      <c r="O971" s="11"/>
      <c r="P971" t="s" s="10">
        <v>322</v>
      </c>
      <c r="Q971" t="s" s="10">
        <v>69</v>
      </c>
      <c r="R971" t="s" s="10">
        <v>83</v>
      </c>
      <c r="S971" s="11"/>
      <c r="T971" s="11"/>
      <c r="U971" s="11"/>
      <c r="V971" t="s" s="10">
        <v>69</v>
      </c>
      <c r="W971" s="11"/>
      <c r="X971" t="s" s="10">
        <v>69</v>
      </c>
      <c r="Y971" s="11"/>
      <c r="Z971" t="s" s="10">
        <v>495</v>
      </c>
      <c r="AA971" s="11"/>
      <c r="AB971" t="s" s="10">
        <v>495</v>
      </c>
      <c r="AC971" t="s" s="10">
        <v>3819</v>
      </c>
      <c r="AD971" t="s" s="10">
        <v>3822</v>
      </c>
      <c r="AE971" s="11"/>
      <c r="AF971" t="s" s="10">
        <v>492</v>
      </c>
      <c r="AG971" s="11"/>
      <c r="AH971" t="s" s="10">
        <v>114</v>
      </c>
      <c r="AI971" t="s" s="10">
        <v>332</v>
      </c>
      <c r="AJ971" t="s" s="10">
        <v>473</v>
      </c>
      <c r="AK971" t="s" s="10">
        <v>83</v>
      </c>
      <c r="AL971" t="s" s="10">
        <v>293</v>
      </c>
      <c r="AM971" t="s" s="10">
        <v>294</v>
      </c>
      <c r="AN971" t="s" s="10">
        <v>128</v>
      </c>
      <c r="AO971" s="18">
        <v>12</v>
      </c>
      <c r="AP971" s="18">
        <v>16384</v>
      </c>
      <c r="AQ971" s="18">
        <v>426125</v>
      </c>
      <c r="AR971" s="18">
        <v>96141</v>
      </c>
      <c r="AS971" t="s" s="10">
        <v>3823</v>
      </c>
      <c r="AT971" s="11"/>
      <c r="AU971" s="11"/>
      <c r="AV971" s="11"/>
      <c r="AW971" s="11"/>
      <c r="AX971" s="11"/>
      <c r="AY971" s="11"/>
      <c r="AZ971" s="11"/>
      <c r="BA971" s="11"/>
      <c r="BB971" s="11"/>
      <c r="BC971" s="11"/>
      <c r="BD971" t="s" s="10">
        <v>310</v>
      </c>
      <c r="BE971" t="s" s="10">
        <v>2296</v>
      </c>
      <c r="BF971" s="18">
        <v>16</v>
      </c>
      <c r="BG971" s="18">
        <v>32</v>
      </c>
      <c r="BH971" s="11"/>
      <c r="BI971" s="11"/>
      <c r="BJ971" s="11"/>
      <c r="BK971" s="11"/>
      <c r="BL971" s="11"/>
      <c r="BM971" s="11"/>
      <c r="BN971" t="s" s="10">
        <v>78</v>
      </c>
      <c r="BO971" s="12"/>
      <c r="BP971" s="8"/>
    </row>
    <row r="972" ht="9" customHeight="1" hidden="1">
      <c r="A972" t="s" s="13">
        <v>3824</v>
      </c>
      <c r="B972" s="14"/>
      <c r="C972" t="str" s="14" cm="1">
        <f t="array" ref="C972">_xlfn.IFERROR((VLOOKUP(A972,#REF!,2,FALSE)),"")</f>
      </c>
      <c r="D972" s="14"/>
      <c r="E972" t="s" s="15">
        <v>195</v>
      </c>
      <c r="F972" s="14"/>
      <c r="G972" t="s" s="15">
        <v>3825</v>
      </c>
      <c r="H972" t="s" s="15">
        <v>550</v>
      </c>
      <c r="I972" t="s" s="15">
        <v>73</v>
      </c>
      <c r="J972" t="s" s="15">
        <v>74</v>
      </c>
      <c r="K972" t="s" s="15">
        <v>113</v>
      </c>
      <c r="L972" t="s" s="15">
        <v>518</v>
      </c>
      <c r="M972" t="s" s="15">
        <v>3825</v>
      </c>
      <c r="N972" t="s" s="15">
        <v>3825</v>
      </c>
      <c r="O972" t="s" s="15">
        <v>71</v>
      </c>
      <c r="P972" t="s" s="15">
        <v>322</v>
      </c>
      <c r="Q972" t="s" s="15">
        <v>69</v>
      </c>
      <c r="R972" t="s" s="15">
        <v>71</v>
      </c>
      <c r="S972" s="14"/>
      <c r="T972" t="s" s="15">
        <v>69</v>
      </c>
      <c r="U972" s="14"/>
      <c r="V972" t="s" s="15">
        <v>69</v>
      </c>
      <c r="W972" s="14"/>
      <c r="X972" t="s" s="15">
        <v>69</v>
      </c>
      <c r="Y972" s="14"/>
      <c r="Z972" t="s" s="15">
        <v>552</v>
      </c>
      <c r="AA972" s="14"/>
      <c r="AB972" t="s" s="15">
        <v>553</v>
      </c>
      <c r="AC972" t="s" s="15">
        <v>3824</v>
      </c>
      <c r="AD972" t="s" s="15">
        <v>3826</v>
      </c>
      <c r="AE972" s="14"/>
      <c r="AF972" s="14"/>
      <c r="AG972" t="s" s="15">
        <v>299</v>
      </c>
      <c r="AH972" t="s" s="15">
        <v>114</v>
      </c>
      <c r="AI972" t="s" s="15">
        <v>76</v>
      </c>
      <c r="AJ972" t="s" s="15">
        <v>76</v>
      </c>
      <c r="AK972" t="s" s="15">
        <v>79</v>
      </c>
      <c r="AL972" t="s" s="15">
        <v>293</v>
      </c>
      <c r="AM972" t="s" s="15">
        <v>196</v>
      </c>
      <c r="AN972" t="s" s="15">
        <v>128</v>
      </c>
      <c r="AO972" s="17">
        <v>6</v>
      </c>
      <c r="AP972" s="17">
        <v>8192</v>
      </c>
      <c r="AQ972" s="17">
        <v>213107</v>
      </c>
      <c r="AR972" s="17">
        <v>126475</v>
      </c>
      <c r="AS972" t="s" s="15">
        <v>3827</v>
      </c>
      <c r="AT972" s="14"/>
      <c r="AU972" s="14"/>
      <c r="AV972" s="14"/>
      <c r="AW972" s="14"/>
      <c r="AX972" s="14"/>
      <c r="AY972" s="14"/>
      <c r="AZ972" s="14"/>
      <c r="BA972" s="14"/>
      <c r="BB972" s="14"/>
      <c r="BC972" s="14"/>
      <c r="BD972" t="s" s="15">
        <v>310</v>
      </c>
      <c r="BE972" t="s" s="15">
        <v>311</v>
      </c>
      <c r="BF972" s="17">
        <v>8</v>
      </c>
      <c r="BG972" s="17">
        <v>16</v>
      </c>
      <c r="BH972" s="14"/>
      <c r="BI972" s="14"/>
      <c r="BJ972" s="14"/>
      <c r="BK972" s="14"/>
      <c r="BL972" s="14"/>
      <c r="BM972" s="14"/>
      <c r="BN972" s="14"/>
      <c r="BO972" s="16"/>
      <c r="BP972" s="8"/>
    </row>
    <row r="973" ht="15" customHeight="1">
      <c r="A973" t="s" s="9">
        <v>3828</v>
      </c>
      <c r="B973" s="11"/>
      <c r="C973" t="str" s="11" cm="1">
        <f t="array" ref="C973">_xlfn.IFERROR((VLOOKUP(A973,#REF!,2,FALSE)),"")</f>
      </c>
      <c r="D973" s="11"/>
      <c r="E973" s="11"/>
      <c r="F973" s="11"/>
      <c r="G973" t="s" s="10">
        <v>3829</v>
      </c>
      <c r="H973" t="s" s="10">
        <v>3830</v>
      </c>
      <c r="I973" t="s" s="10">
        <v>111</v>
      </c>
      <c r="J973" t="s" s="10">
        <v>122</v>
      </c>
      <c r="K973" t="s" s="10">
        <v>825</v>
      </c>
      <c r="L973" t="s" s="10">
        <v>518</v>
      </c>
      <c r="M973" t="s" s="10">
        <v>3829</v>
      </c>
      <c r="N973" t="s" s="10">
        <v>3829</v>
      </c>
      <c r="O973" s="11"/>
      <c r="P973" t="s" s="10">
        <v>122</v>
      </c>
      <c r="Q973" t="s" s="10">
        <v>69</v>
      </c>
      <c r="R973" t="s" s="10">
        <v>83</v>
      </c>
      <c r="S973" s="11"/>
      <c r="T973" s="11"/>
      <c r="U973" s="11"/>
      <c r="V973" t="s" s="10">
        <v>69</v>
      </c>
      <c r="W973" s="11"/>
      <c r="X973" t="s" s="10">
        <v>69</v>
      </c>
      <c r="Y973" s="11"/>
      <c r="Z973" t="s" s="10">
        <v>2866</v>
      </c>
      <c r="AA973" s="11"/>
      <c r="AB973" t="s" s="10">
        <v>1551</v>
      </c>
      <c r="AC973" t="s" s="10">
        <v>3828</v>
      </c>
      <c r="AD973" t="s" s="10">
        <v>3831</v>
      </c>
      <c r="AE973" s="11"/>
      <c r="AF973" s="11"/>
      <c r="AG973" t="s" s="10">
        <v>299</v>
      </c>
      <c r="AH973" t="s" s="10">
        <v>114</v>
      </c>
      <c r="AI973" t="s" s="10">
        <v>440</v>
      </c>
      <c r="AJ973" s="11"/>
      <c r="AK973" t="s" s="10">
        <v>83</v>
      </c>
      <c r="AL973" t="s" s="10">
        <v>293</v>
      </c>
      <c r="AM973" t="s" s="10">
        <v>294</v>
      </c>
      <c r="AN973" t="s" s="10">
        <v>128</v>
      </c>
      <c r="AO973" s="18">
        <v>2</v>
      </c>
      <c r="AP973" s="18">
        <v>8192</v>
      </c>
      <c r="AQ973" s="18">
        <v>161903</v>
      </c>
      <c r="AR973" s="18">
        <v>161903</v>
      </c>
      <c r="AS973" t="s" s="10">
        <v>3832</v>
      </c>
      <c r="AT973" t="s" s="10">
        <v>301</v>
      </c>
      <c r="AU973" s="11"/>
      <c r="AV973" s="11"/>
      <c r="AW973" s="11"/>
      <c r="AX973" s="11"/>
      <c r="AY973" s="11"/>
      <c r="AZ973" s="11"/>
      <c r="BA973" s="11"/>
      <c r="BB973" s="11"/>
      <c r="BC973" s="11"/>
      <c r="BD973" t="s" s="10">
        <v>366</v>
      </c>
      <c r="BE973" t="s" s="10">
        <v>489</v>
      </c>
      <c r="BF973" s="18">
        <v>2</v>
      </c>
      <c r="BG973" s="18">
        <v>8</v>
      </c>
      <c r="BH973" s="11"/>
      <c r="BI973" s="11"/>
      <c r="BJ973" s="11"/>
      <c r="BK973" s="11"/>
      <c r="BL973" s="11"/>
      <c r="BM973" s="11"/>
      <c r="BN973" t="s" s="10">
        <v>69</v>
      </c>
      <c r="BO973" s="12"/>
      <c r="BP973" s="8"/>
    </row>
    <row r="974" ht="9" customHeight="1" hidden="1">
      <c r="A974" t="s" s="13">
        <v>3833</v>
      </c>
      <c r="B974" s="14"/>
      <c r="C974" t="str" s="14" cm="1">
        <f t="array" ref="C974">_xlfn.IFERROR((VLOOKUP(A974,#REF!,2,FALSE)),"")</f>
      </c>
      <c r="D974" s="14"/>
      <c r="E974" s="14"/>
      <c r="F974" s="14"/>
      <c r="G974" t="s" s="15">
        <v>3834</v>
      </c>
      <c r="H974" t="s" s="15">
        <v>3830</v>
      </c>
      <c r="I974" t="s" s="15">
        <v>111</v>
      </c>
      <c r="J974" t="s" s="15">
        <v>322</v>
      </c>
      <c r="K974" t="s" s="15">
        <v>825</v>
      </c>
      <c r="L974" t="s" s="15">
        <v>518</v>
      </c>
      <c r="M974" t="s" s="15">
        <v>3834</v>
      </c>
      <c r="N974" t="s" s="15">
        <v>3834</v>
      </c>
      <c r="O974" s="14"/>
      <c r="P974" t="s" s="15">
        <v>322</v>
      </c>
      <c r="Q974" t="s" s="15">
        <v>69</v>
      </c>
      <c r="R974" t="s" s="15">
        <v>83</v>
      </c>
      <c r="S974" s="14"/>
      <c r="T974" s="14"/>
      <c r="U974" s="14"/>
      <c r="V974" t="s" s="15">
        <v>69</v>
      </c>
      <c r="W974" s="14"/>
      <c r="X974" t="s" s="15">
        <v>69</v>
      </c>
      <c r="Y974" s="14"/>
      <c r="Z974" t="s" s="15">
        <v>2866</v>
      </c>
      <c r="AA974" s="14"/>
      <c r="AB974" t="s" s="15">
        <v>1551</v>
      </c>
      <c r="AC974" t="s" s="15">
        <v>3833</v>
      </c>
      <c r="AD974" t="s" s="15">
        <v>3835</v>
      </c>
      <c r="AE974" s="14"/>
      <c r="AF974" s="14"/>
      <c r="AG974" s="14"/>
      <c r="AH974" t="s" s="15">
        <v>106</v>
      </c>
      <c r="AI974" t="s" s="15">
        <v>76</v>
      </c>
      <c r="AJ974" t="s" s="15">
        <v>76</v>
      </c>
      <c r="AK974" t="s" s="15">
        <v>79</v>
      </c>
      <c r="AL974" t="s" s="15">
        <v>293</v>
      </c>
      <c r="AM974" t="s" s="15">
        <v>294</v>
      </c>
      <c r="AN974" t="s" s="15">
        <v>128</v>
      </c>
      <c r="AO974" s="17">
        <v>2</v>
      </c>
      <c r="AP974" s="17">
        <v>8192</v>
      </c>
      <c r="AQ974" s="17">
        <v>161897</v>
      </c>
      <c r="AR974" s="17">
        <v>161897</v>
      </c>
      <c r="AS974" t="s" s="15">
        <v>3836</v>
      </c>
      <c r="AT974" s="14"/>
      <c r="AU974" s="14"/>
      <c r="AV974" s="14"/>
      <c r="AW974" s="14"/>
      <c r="AX974" s="14"/>
      <c r="AY974" s="14"/>
      <c r="AZ974" s="14"/>
      <c r="BA974" s="14"/>
      <c r="BB974" s="14"/>
      <c r="BC974" s="14"/>
      <c r="BD974" s="14"/>
      <c r="BE974" s="14"/>
      <c r="BF974" s="14"/>
      <c r="BG974" s="14"/>
      <c r="BH974" s="14"/>
      <c r="BI974" s="14"/>
      <c r="BJ974" s="14"/>
      <c r="BK974" s="14"/>
      <c r="BL974" s="14"/>
      <c r="BM974" s="14"/>
      <c r="BN974" t="s" s="15">
        <v>78</v>
      </c>
      <c r="BO974" s="16"/>
      <c r="BP974" s="8"/>
    </row>
    <row r="975" ht="9" customHeight="1" hidden="1">
      <c r="A975" t="s" s="9">
        <v>3837</v>
      </c>
      <c r="B975" s="11"/>
      <c r="C975" t="str" s="11" cm="1">
        <f t="array" ref="C975">_xlfn.IFERROR((VLOOKUP(A975,#REF!,2,FALSE)),"")</f>
      </c>
      <c r="D975" s="11"/>
      <c r="E975" t="s" s="10">
        <v>3838</v>
      </c>
      <c r="F975" s="11"/>
      <c r="G975" t="s" s="10">
        <v>3839</v>
      </c>
      <c r="H975" t="s" s="10">
        <v>3840</v>
      </c>
      <c r="I975" t="s" s="10">
        <v>111</v>
      </c>
      <c r="J975" t="s" s="10">
        <v>322</v>
      </c>
      <c r="K975" t="s" s="10">
        <v>825</v>
      </c>
      <c r="L975" t="s" s="10">
        <v>826</v>
      </c>
      <c r="M975" t="s" s="10">
        <v>3839</v>
      </c>
      <c r="N975" t="s" s="10">
        <v>3839</v>
      </c>
      <c r="O975" t="s" s="10">
        <v>322</v>
      </c>
      <c r="P975" t="s" s="10">
        <v>322</v>
      </c>
      <c r="Q975" t="s" s="10">
        <v>69</v>
      </c>
      <c r="R975" t="s" s="10">
        <v>83</v>
      </c>
      <c r="S975" s="11"/>
      <c r="T975" s="11"/>
      <c r="U975" s="11"/>
      <c r="V975" t="s" s="10">
        <v>69</v>
      </c>
      <c r="W975" s="11"/>
      <c r="X975" t="s" s="10">
        <v>69</v>
      </c>
      <c r="Y975" t="s" s="10">
        <v>69</v>
      </c>
      <c r="Z975" t="s" s="10">
        <v>205</v>
      </c>
      <c r="AA975" s="11"/>
      <c r="AB975" t="s" s="10">
        <v>520</v>
      </c>
      <c r="AC975" t="s" s="25">
        <v>3837</v>
      </c>
      <c r="AD975" t="s" s="10">
        <v>3841</v>
      </c>
      <c r="AE975" s="11"/>
      <c r="AF975" s="11"/>
      <c r="AG975" t="s" s="10">
        <v>299</v>
      </c>
      <c r="AH975" t="s" s="10">
        <v>114</v>
      </c>
      <c r="AI975" t="s" s="10">
        <v>290</v>
      </c>
      <c r="AJ975" t="s" s="10">
        <v>405</v>
      </c>
      <c r="AK975" t="s" s="10">
        <v>1195</v>
      </c>
      <c r="AL975" t="s" s="10">
        <v>293</v>
      </c>
      <c r="AM975" t="s" s="10">
        <v>294</v>
      </c>
      <c r="AN975" t="s" s="10">
        <v>128</v>
      </c>
      <c r="AO975" s="18">
        <v>4</v>
      </c>
      <c r="AP975" s="18">
        <v>8192</v>
      </c>
      <c r="AQ975" s="18">
        <v>213103</v>
      </c>
      <c r="AR975" s="18">
        <v>95352</v>
      </c>
      <c r="AS975" t="s" s="10">
        <v>3842</v>
      </c>
      <c r="AT975" t="s" s="10">
        <v>301</v>
      </c>
      <c r="AU975" t="s" s="10">
        <v>1174</v>
      </c>
      <c r="AV975" t="s" s="10">
        <v>83</v>
      </c>
      <c r="AW975" t="s" s="10">
        <v>83</v>
      </c>
      <c r="AX975" t="s" s="10">
        <v>83</v>
      </c>
      <c r="AY975" t="s" s="10">
        <v>309</v>
      </c>
      <c r="AZ975" t="s" s="10">
        <v>83</v>
      </c>
      <c r="BA975" t="s" s="10">
        <v>76</v>
      </c>
      <c r="BB975" t="s" s="10">
        <v>76</v>
      </c>
      <c r="BC975" t="s" s="10">
        <v>76</v>
      </c>
      <c r="BD975" t="s" s="10">
        <v>310</v>
      </c>
      <c r="BE975" t="s" s="10">
        <v>356</v>
      </c>
      <c r="BF975" s="18">
        <v>4</v>
      </c>
      <c r="BG975" s="18">
        <v>8</v>
      </c>
      <c r="BH975" t="s" s="10">
        <v>83</v>
      </c>
      <c r="BI975" t="s" s="10">
        <v>83</v>
      </c>
      <c r="BJ975" t="s" s="10">
        <v>83</v>
      </c>
      <c r="BK975" t="s" s="10">
        <v>83</v>
      </c>
      <c r="BL975" t="s" s="10">
        <v>83</v>
      </c>
      <c r="BM975" t="s" s="10">
        <v>312</v>
      </c>
      <c r="BN975" t="s" s="10">
        <v>78</v>
      </c>
      <c r="BO975" t="s" s="19">
        <v>76</v>
      </c>
      <c r="BP975" s="8"/>
    </row>
    <row r="976" ht="15" customHeight="1" hidden="1">
      <c r="A976" t="s" s="13">
        <v>3843</v>
      </c>
      <c r="B976" s="14"/>
      <c r="C976" t="str" s="14" cm="1">
        <f t="array" ref="C976">_xlfn.IFERROR((VLOOKUP(A976,#REF!,2,FALSE)),"")</f>
      </c>
      <c r="D976" s="14"/>
      <c r="E976" t="s" s="15">
        <v>2576</v>
      </c>
      <c r="F976" t="s" s="15">
        <v>76</v>
      </c>
      <c r="G976" t="s" s="15">
        <v>3844</v>
      </c>
      <c r="H976" t="s" s="15">
        <v>3845</v>
      </c>
      <c r="I976" t="s" s="15">
        <v>111</v>
      </c>
      <c r="J976" t="s" s="15">
        <v>469</v>
      </c>
      <c r="K976" t="s" s="15">
        <v>113</v>
      </c>
      <c r="L976" t="s" s="15">
        <v>3555</v>
      </c>
      <c r="M976" t="s" s="15">
        <v>3844</v>
      </c>
      <c r="N976" t="s" s="15">
        <v>3844</v>
      </c>
      <c r="O976" t="s" s="15">
        <v>1162</v>
      </c>
      <c r="P976" t="s" s="15">
        <v>469</v>
      </c>
      <c r="Q976" t="s" s="15">
        <v>69</v>
      </c>
      <c r="R976" t="s" s="15">
        <v>83</v>
      </c>
      <c r="S976" s="14"/>
      <c r="T976" s="14"/>
      <c r="U976" s="14"/>
      <c r="V976" t="s" s="15">
        <v>69</v>
      </c>
      <c r="W976" s="14"/>
      <c r="X976" t="s" s="15">
        <v>69</v>
      </c>
      <c r="Y976" s="14"/>
      <c r="Z976" t="s" s="15">
        <v>3846</v>
      </c>
      <c r="AA976" s="14"/>
      <c r="AB976" t="s" s="15">
        <v>3847</v>
      </c>
      <c r="AC976" t="s" s="15">
        <v>3843</v>
      </c>
      <c r="AD976" t="s" s="15">
        <v>3848</v>
      </c>
      <c r="AE976" s="14"/>
      <c r="AF976" s="14"/>
      <c r="AG976" t="s" s="15">
        <v>299</v>
      </c>
      <c r="AH976" t="s" s="15">
        <v>114</v>
      </c>
      <c r="AI976" t="s" s="15">
        <v>290</v>
      </c>
      <c r="AJ976" t="s" s="15">
        <v>798</v>
      </c>
      <c r="AK976" t="s" s="15">
        <v>1195</v>
      </c>
      <c r="AL976" t="s" s="15">
        <v>293</v>
      </c>
      <c r="AM976" t="s" s="15">
        <v>294</v>
      </c>
      <c r="AN976" t="s" s="15">
        <v>128</v>
      </c>
      <c r="AO976" s="17">
        <v>4</v>
      </c>
      <c r="AP976" s="17">
        <v>4096</v>
      </c>
      <c r="AQ976" s="17">
        <v>106591</v>
      </c>
      <c r="AR976" s="17">
        <v>106591</v>
      </c>
      <c r="AS976" t="s" s="15">
        <v>3849</v>
      </c>
      <c r="AT976" t="s" s="15">
        <v>301</v>
      </c>
      <c r="AU976" t="s" s="15">
        <v>646</v>
      </c>
      <c r="AV976" t="s" s="15">
        <v>76</v>
      </c>
      <c r="AW976" t="s" s="15">
        <v>83</v>
      </c>
      <c r="AX976" t="s" s="15">
        <v>83</v>
      </c>
      <c r="AY976" t="s" s="15">
        <v>309</v>
      </c>
      <c r="AZ976" t="s" s="15">
        <v>83</v>
      </c>
      <c r="BA976" t="s" s="15">
        <v>76</v>
      </c>
      <c r="BB976" t="s" s="15">
        <v>76</v>
      </c>
      <c r="BC976" t="s" s="15">
        <v>76</v>
      </c>
      <c r="BD976" t="s" s="15">
        <v>310</v>
      </c>
      <c r="BE976" t="s" s="15">
        <v>356</v>
      </c>
      <c r="BF976" s="17">
        <v>4</v>
      </c>
      <c r="BG976" s="17">
        <v>8</v>
      </c>
      <c r="BH976" t="s" s="15">
        <v>83</v>
      </c>
      <c r="BI976" t="s" s="15">
        <v>83</v>
      </c>
      <c r="BJ976" t="s" s="15">
        <v>83</v>
      </c>
      <c r="BK976" t="s" s="15">
        <v>83</v>
      </c>
      <c r="BL976" t="s" s="15">
        <v>83</v>
      </c>
      <c r="BM976" t="s" s="15">
        <v>312</v>
      </c>
      <c r="BN976" t="s" s="15">
        <v>78</v>
      </c>
      <c r="BO976" t="s" s="21">
        <v>76</v>
      </c>
      <c r="BP976" s="8"/>
    </row>
    <row r="977" ht="9" customHeight="1" hidden="1">
      <c r="A977" t="s" s="9">
        <v>3850</v>
      </c>
      <c r="B977" s="11"/>
      <c r="C977" t="str" s="11" cm="1">
        <f t="array" ref="C977">_xlfn.IFERROR((VLOOKUP(A977,#REF!,2,FALSE)),"")</f>
      </c>
      <c r="D977" s="11"/>
      <c r="E977" t="s" s="10">
        <v>3851</v>
      </c>
      <c r="F977" t="s" s="10">
        <v>3852</v>
      </c>
      <c r="G977" t="s" s="10">
        <v>3853</v>
      </c>
      <c r="H977" t="s" s="10">
        <v>25</v>
      </c>
      <c r="I977" t="s" s="10">
        <v>111</v>
      </c>
      <c r="J977" t="s" s="10">
        <v>517</v>
      </c>
      <c r="K977" t="s" s="10">
        <v>825</v>
      </c>
      <c r="L977" t="s" s="10">
        <v>518</v>
      </c>
      <c r="M977" t="s" s="10">
        <v>3854</v>
      </c>
      <c r="N977" t="s" s="10">
        <v>3854</v>
      </c>
      <c r="O977" s="11"/>
      <c r="P977" t="s" s="10">
        <v>517</v>
      </c>
      <c r="Q977" t="s" s="10">
        <v>69</v>
      </c>
      <c r="R977" t="s" s="10">
        <v>83</v>
      </c>
      <c r="S977" s="11"/>
      <c r="T977" s="11"/>
      <c r="U977" s="11"/>
      <c r="V977" t="s" s="10">
        <v>69</v>
      </c>
      <c r="W977" s="11"/>
      <c r="X977" t="s" s="10">
        <v>69</v>
      </c>
      <c r="Y977" t="s" s="10">
        <v>69</v>
      </c>
      <c r="Z977" t="s" s="10">
        <v>1976</v>
      </c>
      <c r="AA977" s="11"/>
      <c r="AB977" t="s" s="10">
        <v>1977</v>
      </c>
      <c r="AC977" t="s" s="25">
        <v>3850</v>
      </c>
      <c r="AD977" t="s" s="10">
        <v>3855</v>
      </c>
      <c r="AE977" s="11"/>
      <c r="AF977" s="11"/>
      <c r="AG977" t="s" s="10">
        <v>299</v>
      </c>
      <c r="AH977" t="s" s="10">
        <v>114</v>
      </c>
      <c r="AI977" t="s" s="10">
        <v>290</v>
      </c>
      <c r="AJ977" t="s" s="10">
        <v>473</v>
      </c>
      <c r="AK977" t="s" s="10">
        <v>1195</v>
      </c>
      <c r="AL977" t="s" s="10">
        <v>293</v>
      </c>
      <c r="AM977" t="s" s="10">
        <v>294</v>
      </c>
      <c r="AN977" t="s" s="10">
        <v>128</v>
      </c>
      <c r="AO977" s="18">
        <v>4</v>
      </c>
      <c r="AP977" s="18">
        <v>8192</v>
      </c>
      <c r="AQ977" s="18">
        <v>161888</v>
      </c>
      <c r="AR977" s="18">
        <v>150020</v>
      </c>
      <c r="AS977" t="s" s="10">
        <v>3856</v>
      </c>
      <c r="AT977" t="s" s="10">
        <v>301</v>
      </c>
      <c r="AU977" s="11"/>
      <c r="AV977" s="11"/>
      <c r="AW977" t="s" s="10">
        <v>83</v>
      </c>
      <c r="AX977" t="s" s="10">
        <v>83</v>
      </c>
      <c r="AY977" t="s" s="10">
        <v>309</v>
      </c>
      <c r="AZ977" t="s" s="10">
        <v>83</v>
      </c>
      <c r="BA977" t="s" s="10">
        <v>76</v>
      </c>
      <c r="BB977" t="s" s="10">
        <v>76</v>
      </c>
      <c r="BC977" t="s" s="10">
        <v>76</v>
      </c>
      <c r="BD977" t="s" s="10">
        <v>310</v>
      </c>
      <c r="BE977" t="s" s="10">
        <v>356</v>
      </c>
      <c r="BF977" s="18">
        <v>4</v>
      </c>
      <c r="BG977" s="18">
        <v>8</v>
      </c>
      <c r="BH977" t="s" s="10">
        <v>83</v>
      </c>
      <c r="BI977" t="s" s="10">
        <v>83</v>
      </c>
      <c r="BJ977" t="s" s="10">
        <v>83</v>
      </c>
      <c r="BK977" t="s" s="10">
        <v>83</v>
      </c>
      <c r="BL977" t="s" s="10">
        <v>83</v>
      </c>
      <c r="BM977" t="s" s="10">
        <v>312</v>
      </c>
      <c r="BN977" t="s" s="10">
        <v>78</v>
      </c>
      <c r="BO977" t="s" s="19">
        <v>76</v>
      </c>
      <c r="BP977" s="8"/>
    </row>
    <row r="978" ht="9" customHeight="1" hidden="1">
      <c r="A978" t="s" s="13">
        <v>3857</v>
      </c>
      <c r="B978" s="14"/>
      <c r="C978" t="str" s="14" cm="1">
        <f t="array" ref="C978">_xlfn.IFERROR((VLOOKUP(A978,#REF!,2,FALSE)),"")</f>
      </c>
      <c r="D978" t="s" s="15">
        <v>70</v>
      </c>
      <c r="E978" t="s" s="15">
        <v>392</v>
      </c>
      <c r="F978" s="14"/>
      <c r="G978" t="s" s="15">
        <v>3858</v>
      </c>
      <c r="H978" t="s" s="15">
        <v>3859</v>
      </c>
      <c r="I978" t="s" s="15">
        <v>111</v>
      </c>
      <c r="J978" t="s" s="15">
        <v>452</v>
      </c>
      <c r="K978" t="s" s="15">
        <v>825</v>
      </c>
      <c r="L978" t="s" s="15">
        <v>76</v>
      </c>
      <c r="M978" t="s" s="15">
        <v>3858</v>
      </c>
      <c r="N978" t="s" s="15">
        <v>3858</v>
      </c>
      <c r="O978" s="14"/>
      <c r="P978" t="s" s="15">
        <v>452</v>
      </c>
      <c r="Q978" t="s" s="15">
        <v>78</v>
      </c>
      <c r="R978" t="s" s="15">
        <v>83</v>
      </c>
      <c r="S978" s="14"/>
      <c r="T978" s="14"/>
      <c r="U978" s="14"/>
      <c r="V978" t="s" s="15">
        <v>78</v>
      </c>
      <c r="W978" s="14"/>
      <c r="X978" t="s" s="15">
        <v>69</v>
      </c>
      <c r="Y978" s="14"/>
      <c r="Z978" t="s" s="15">
        <v>76</v>
      </c>
      <c r="AA978" s="14"/>
      <c r="AB978" t="s" s="15">
        <v>76</v>
      </c>
      <c r="AC978" s="14"/>
      <c r="AD978" t="s" s="15">
        <v>3860</v>
      </c>
      <c r="AE978" s="14"/>
      <c r="AF978" s="14"/>
      <c r="AG978" s="14"/>
      <c r="AH978" t="s" s="15">
        <v>114</v>
      </c>
      <c r="AI978" t="s" s="15">
        <v>76</v>
      </c>
      <c r="AJ978" t="s" s="15">
        <v>76</v>
      </c>
      <c r="AK978" t="s" s="15">
        <v>79</v>
      </c>
      <c r="AL978" t="s" s="15">
        <v>293</v>
      </c>
      <c r="AM978" t="s" s="15">
        <v>294</v>
      </c>
      <c r="AN978" s="14"/>
      <c r="AO978" s="17">
        <v>4</v>
      </c>
      <c r="AP978" s="17">
        <v>8192</v>
      </c>
      <c r="AQ978" s="17">
        <v>469553</v>
      </c>
      <c r="AR978" s="17">
        <v>67274</v>
      </c>
      <c r="AS978" t="s" s="15">
        <v>3861</v>
      </c>
      <c r="AT978" s="14"/>
      <c r="AU978" s="14"/>
      <c r="AV978" s="14"/>
      <c r="AW978" s="14"/>
      <c r="AX978" s="14"/>
      <c r="AY978" s="14"/>
      <c r="AZ978" s="14"/>
      <c r="BA978" s="14"/>
      <c r="BB978" s="14"/>
      <c r="BC978" s="14"/>
      <c r="BD978" t="s" s="15">
        <v>310</v>
      </c>
      <c r="BE978" t="s" s="15">
        <v>356</v>
      </c>
      <c r="BF978" s="17">
        <v>4</v>
      </c>
      <c r="BG978" s="17">
        <v>8</v>
      </c>
      <c r="BH978" s="14"/>
      <c r="BI978" s="14"/>
      <c r="BJ978" s="14"/>
      <c r="BK978" s="14"/>
      <c r="BL978" s="14"/>
      <c r="BM978" s="14"/>
      <c r="BN978" t="s" s="15">
        <v>78</v>
      </c>
      <c r="BO978" s="16"/>
      <c r="BP978" s="8"/>
    </row>
    <row r="979" ht="9" customHeight="1" hidden="1">
      <c r="A979" t="s" s="9">
        <v>3862</v>
      </c>
      <c r="B979" s="11"/>
      <c r="C979" t="str" s="11" cm="1">
        <f t="array" ref="C979">_xlfn.IFERROR((VLOOKUP(A979,#REF!,2,FALSE)),"")</f>
      </c>
      <c r="D979" s="11"/>
      <c r="E979" s="11"/>
      <c r="F979" s="11"/>
      <c r="G979" t="s" s="10">
        <v>3863</v>
      </c>
      <c r="H979" t="s" s="10">
        <v>3863</v>
      </c>
      <c r="I979" t="s" s="10">
        <v>111</v>
      </c>
      <c r="J979" t="s" s="10">
        <v>122</v>
      </c>
      <c r="K979" t="s" s="10">
        <v>210</v>
      </c>
      <c r="L979" t="s" s="10">
        <v>2097</v>
      </c>
      <c r="M979" t="s" s="10">
        <v>3864</v>
      </c>
      <c r="N979" t="s" s="10">
        <v>3863</v>
      </c>
      <c r="O979" s="11"/>
      <c r="P979" t="s" s="10">
        <v>469</v>
      </c>
      <c r="Q979" t="s" s="10">
        <v>78</v>
      </c>
      <c r="R979" t="s" s="10">
        <v>83</v>
      </c>
      <c r="S979" s="11"/>
      <c r="T979" s="11"/>
      <c r="U979" s="11"/>
      <c r="V979" t="s" s="10">
        <v>78</v>
      </c>
      <c r="W979" s="11"/>
      <c r="X979" t="s" s="10">
        <v>69</v>
      </c>
      <c r="Y979" s="11"/>
      <c r="Z979" t="s" s="10">
        <v>205</v>
      </c>
      <c r="AA979" s="11"/>
      <c r="AB979" t="s" s="10">
        <v>2098</v>
      </c>
      <c r="AC979" s="11"/>
      <c r="AD979" s="11"/>
      <c r="AE979" s="11"/>
      <c r="AF979" s="11"/>
      <c r="AG979" t="s" s="10">
        <v>299</v>
      </c>
      <c r="AH979" t="s" s="10">
        <v>114</v>
      </c>
      <c r="AI979" t="s" s="10">
        <v>76</v>
      </c>
      <c r="AJ979" t="s" s="10">
        <v>76</v>
      </c>
      <c r="AK979" t="s" s="10">
        <v>79</v>
      </c>
      <c r="AL979" t="s" s="10">
        <v>293</v>
      </c>
      <c r="AM979" t="s" s="10">
        <v>294</v>
      </c>
      <c r="AN979" s="11"/>
      <c r="AO979" s="18">
        <v>2</v>
      </c>
      <c r="AP979" s="18">
        <v>4096</v>
      </c>
      <c r="AQ979" s="18">
        <v>24658</v>
      </c>
      <c r="AR979" s="18">
        <v>24658</v>
      </c>
      <c r="AS979" t="s" s="10">
        <v>3865</v>
      </c>
      <c r="AT979" s="11"/>
      <c r="AU979" s="11"/>
      <c r="AV979" s="11"/>
      <c r="AW979" s="11"/>
      <c r="AX979" s="11"/>
      <c r="AY979" s="11"/>
      <c r="AZ979" s="11"/>
      <c r="BA979" s="11"/>
      <c r="BB979" s="11"/>
      <c r="BC979" s="11"/>
      <c r="BD979" t="s" s="10">
        <v>310</v>
      </c>
      <c r="BE979" t="s" s="10">
        <v>419</v>
      </c>
      <c r="BF979" s="18">
        <v>2</v>
      </c>
      <c r="BG979" s="18">
        <v>4</v>
      </c>
      <c r="BH979" s="11"/>
      <c r="BI979" s="11"/>
      <c r="BJ979" s="11"/>
      <c r="BK979" s="11"/>
      <c r="BL979" s="11"/>
      <c r="BM979" s="11"/>
      <c r="BN979" t="s" s="10">
        <v>78</v>
      </c>
      <c r="BO979" s="12"/>
      <c r="BP979" s="8"/>
    </row>
    <row r="980" ht="9" customHeight="1" hidden="1">
      <c r="A980" t="s" s="13">
        <v>3866</v>
      </c>
      <c r="B980" s="14"/>
      <c r="C980" t="str" s="14" cm="1">
        <f t="array" ref="C980">_xlfn.IFERROR((VLOOKUP(A980,#REF!,2,FALSE)),"")</f>
      </c>
      <c r="D980" s="14"/>
      <c r="E980" t="s" s="15">
        <v>303</v>
      </c>
      <c r="F980" s="14"/>
      <c r="G980" t="s" s="15">
        <v>3867</v>
      </c>
      <c r="H980" t="s" s="15">
        <v>3867</v>
      </c>
      <c r="I980" t="s" s="15">
        <v>73</v>
      </c>
      <c r="J980" t="s" s="15">
        <v>74</v>
      </c>
      <c r="K980" t="s" s="15">
        <v>825</v>
      </c>
      <c r="L980" t="s" s="15">
        <v>518</v>
      </c>
      <c r="M980" t="s" s="15">
        <v>3867</v>
      </c>
      <c r="N980" t="s" s="15">
        <v>3867</v>
      </c>
      <c r="O980" t="s" s="15">
        <v>71</v>
      </c>
      <c r="P980" t="s" s="15">
        <v>74</v>
      </c>
      <c r="Q980" t="s" s="15">
        <v>78</v>
      </c>
      <c r="R980" t="s" s="15">
        <v>71</v>
      </c>
      <c r="S980" s="14"/>
      <c r="T980" s="14"/>
      <c r="U980" s="14"/>
      <c r="V980" t="s" s="15">
        <v>78</v>
      </c>
      <c r="W980" t="s" s="15">
        <v>3866</v>
      </c>
      <c r="X980" t="s" s="15">
        <v>69</v>
      </c>
      <c r="Y980" s="14"/>
      <c r="Z980" t="s" s="15">
        <v>2866</v>
      </c>
      <c r="AA980" s="14"/>
      <c r="AB980" t="s" s="15">
        <v>1551</v>
      </c>
      <c r="AC980" s="14"/>
      <c r="AD980" s="14"/>
      <c r="AE980" s="14"/>
      <c r="AF980" s="14"/>
      <c r="AG980" s="14"/>
      <c r="AH980" t="s" s="15">
        <v>106</v>
      </c>
      <c r="AI980" t="s" s="15">
        <v>76</v>
      </c>
      <c r="AJ980" t="s" s="15">
        <v>76</v>
      </c>
      <c r="AK980" t="s" s="15">
        <v>79</v>
      </c>
      <c r="AL980" s="14"/>
      <c r="AM980" s="14"/>
      <c r="AN980" s="14"/>
      <c r="AO980" s="14"/>
      <c r="AP980" s="14"/>
      <c r="AQ980" s="14"/>
      <c r="AR980" s="14"/>
      <c r="AS980" s="14"/>
      <c r="AT980" s="14"/>
      <c r="AU980" s="14"/>
      <c r="AV980" s="14"/>
      <c r="AW980" s="14"/>
      <c r="AX980" s="14"/>
      <c r="AY980" s="14"/>
      <c r="AZ980" s="14"/>
      <c r="BA980" s="14"/>
      <c r="BB980" s="14"/>
      <c r="BC980" s="14"/>
      <c r="BD980" t="s" s="15">
        <v>310</v>
      </c>
      <c r="BE980" t="s" s="15">
        <v>356</v>
      </c>
      <c r="BF980" s="14"/>
      <c r="BG980" s="14"/>
      <c r="BH980" s="14"/>
      <c r="BI980" s="14"/>
      <c r="BJ980" s="14"/>
      <c r="BK980" s="14"/>
      <c r="BL980" s="14"/>
      <c r="BM980" s="14"/>
      <c r="BN980" s="14"/>
      <c r="BO980" s="16"/>
      <c r="BP980" s="8"/>
    </row>
    <row r="981" ht="9" customHeight="1" hidden="1">
      <c r="A981" t="s" s="9">
        <v>3868</v>
      </c>
      <c r="B981" s="11"/>
      <c r="C981" t="str" s="11" cm="1">
        <f t="array" ref="C981">_xlfn.IFERROR((VLOOKUP(A981,#REF!,2,FALSE)),"")</f>
      </c>
      <c r="D981" s="11"/>
      <c r="E981" t="s" s="10">
        <v>3869</v>
      </c>
      <c r="F981" t="s" s="10">
        <v>3870</v>
      </c>
      <c r="G981" t="s" s="10">
        <v>3871</v>
      </c>
      <c r="H981" t="s" s="10">
        <v>3674</v>
      </c>
      <c r="I981" t="s" s="10">
        <v>111</v>
      </c>
      <c r="J981" t="s" s="10">
        <v>322</v>
      </c>
      <c r="K981" t="s" s="10">
        <v>113</v>
      </c>
      <c r="L981" t="s" s="10">
        <v>2963</v>
      </c>
      <c r="M981" t="s" s="10">
        <v>3871</v>
      </c>
      <c r="N981" t="s" s="10">
        <v>3871</v>
      </c>
      <c r="O981" s="11"/>
      <c r="P981" t="s" s="10">
        <v>322</v>
      </c>
      <c r="Q981" t="s" s="10">
        <v>69</v>
      </c>
      <c r="R981" t="s" s="10">
        <v>83</v>
      </c>
      <c r="S981" s="11"/>
      <c r="T981" s="11"/>
      <c r="U981" s="11"/>
      <c r="V981" t="s" s="10">
        <v>69</v>
      </c>
      <c r="W981" s="11"/>
      <c r="X981" t="s" s="10">
        <v>69</v>
      </c>
      <c r="Y981" s="11"/>
      <c r="Z981" t="s" s="10">
        <v>552</v>
      </c>
      <c r="AA981" s="11"/>
      <c r="AB981" t="s" s="10">
        <v>3677</v>
      </c>
      <c r="AC981" t="s" s="25">
        <v>3868</v>
      </c>
      <c r="AD981" t="s" s="10">
        <v>3872</v>
      </c>
      <c r="AE981" s="11"/>
      <c r="AF981" s="11"/>
      <c r="AG981" t="s" s="10">
        <v>299</v>
      </c>
      <c r="AH981" t="s" s="10">
        <v>114</v>
      </c>
      <c r="AI981" t="s" s="10">
        <v>290</v>
      </c>
      <c r="AJ981" t="s" s="10">
        <v>827</v>
      </c>
      <c r="AK981" t="s" s="10">
        <v>1195</v>
      </c>
      <c r="AL981" t="s" s="10">
        <v>293</v>
      </c>
      <c r="AM981" t="s" s="10">
        <v>294</v>
      </c>
      <c r="AN981" t="s" s="10">
        <v>128</v>
      </c>
      <c r="AO981" s="18">
        <v>2</v>
      </c>
      <c r="AP981" s="18">
        <v>8192</v>
      </c>
      <c r="AQ981" s="18">
        <v>213078</v>
      </c>
      <c r="AR981" s="18">
        <v>54264</v>
      </c>
      <c r="AS981" t="s" s="10">
        <v>3873</v>
      </c>
      <c r="AT981" t="s" s="10">
        <v>301</v>
      </c>
      <c r="AU981" s="11"/>
      <c r="AV981" s="11"/>
      <c r="AW981" t="s" s="10">
        <v>83</v>
      </c>
      <c r="AX981" t="s" s="10">
        <v>83</v>
      </c>
      <c r="AY981" t="s" s="10">
        <v>309</v>
      </c>
      <c r="AZ981" t="s" s="10">
        <v>83</v>
      </c>
      <c r="BA981" t="s" s="10">
        <v>76</v>
      </c>
      <c r="BB981" t="s" s="10">
        <v>76</v>
      </c>
      <c r="BC981" t="s" s="10">
        <v>76</v>
      </c>
      <c r="BD981" t="s" s="10">
        <v>366</v>
      </c>
      <c r="BE981" t="s" s="10">
        <v>489</v>
      </c>
      <c r="BF981" s="18">
        <v>2</v>
      </c>
      <c r="BG981" s="18">
        <v>8</v>
      </c>
      <c r="BH981" t="s" s="10">
        <v>83</v>
      </c>
      <c r="BI981" t="s" s="10">
        <v>83</v>
      </c>
      <c r="BJ981" t="s" s="10">
        <v>83</v>
      </c>
      <c r="BK981" t="s" s="10">
        <v>83</v>
      </c>
      <c r="BL981" t="s" s="10">
        <v>83</v>
      </c>
      <c r="BM981" t="s" s="10">
        <v>312</v>
      </c>
      <c r="BN981" t="s" s="10">
        <v>78</v>
      </c>
      <c r="BO981" t="s" s="19">
        <v>76</v>
      </c>
      <c r="BP981" s="8"/>
    </row>
    <row r="982" ht="15" customHeight="1" hidden="1">
      <c r="A982" t="s" s="13">
        <v>3874</v>
      </c>
      <c r="B982" s="14"/>
      <c r="C982" t="str" s="14" cm="1">
        <f t="array" ref="C982">_xlfn.IFERROR((VLOOKUP(A982,#REF!,2,FALSE)),"")</f>
      </c>
      <c r="D982" s="14"/>
      <c r="E982" t="s" s="15">
        <v>3875</v>
      </c>
      <c r="F982" t="s" s="15">
        <v>3876</v>
      </c>
      <c r="G982" t="s" s="15">
        <v>3877</v>
      </c>
      <c r="H982" t="s" s="15">
        <v>2183</v>
      </c>
      <c r="I982" t="s" s="15">
        <v>111</v>
      </c>
      <c r="J982" t="s" s="15">
        <v>517</v>
      </c>
      <c r="K982" t="s" s="15">
        <v>825</v>
      </c>
      <c r="L982" t="s" s="15">
        <v>518</v>
      </c>
      <c r="M982" t="s" s="15">
        <v>3877</v>
      </c>
      <c r="N982" t="s" s="15">
        <v>3877</v>
      </c>
      <c r="O982" s="14"/>
      <c r="P982" t="s" s="15">
        <v>517</v>
      </c>
      <c r="Q982" t="s" s="15">
        <v>69</v>
      </c>
      <c r="R982" t="s" s="15">
        <v>83</v>
      </c>
      <c r="S982" s="14"/>
      <c r="T982" s="14"/>
      <c r="U982" s="14"/>
      <c r="V982" t="s" s="15">
        <v>69</v>
      </c>
      <c r="W982" s="14"/>
      <c r="X982" t="s" s="15">
        <v>69</v>
      </c>
      <c r="Y982" s="14"/>
      <c r="Z982" t="s" s="15">
        <v>1760</v>
      </c>
      <c r="AA982" s="14"/>
      <c r="AB982" t="s" s="15">
        <v>2184</v>
      </c>
      <c r="AC982" t="s" s="24">
        <v>3874</v>
      </c>
      <c r="AD982" t="s" s="15">
        <v>3878</v>
      </c>
      <c r="AE982" s="14"/>
      <c r="AF982" s="14"/>
      <c r="AG982" t="s" s="15">
        <v>299</v>
      </c>
      <c r="AH982" t="s" s="15">
        <v>114</v>
      </c>
      <c r="AI982" t="s" s="15">
        <v>290</v>
      </c>
      <c r="AJ982" t="s" s="15">
        <v>473</v>
      </c>
      <c r="AK982" t="s" s="15">
        <v>1195</v>
      </c>
      <c r="AL982" t="s" s="15">
        <v>293</v>
      </c>
      <c r="AM982" t="s" s="15">
        <v>294</v>
      </c>
      <c r="AN982" t="s" s="15">
        <v>187</v>
      </c>
      <c r="AO982" s="17">
        <v>4</v>
      </c>
      <c r="AP982" s="17">
        <v>16384</v>
      </c>
      <c r="AQ982" s="17">
        <v>221435</v>
      </c>
      <c r="AR982" s="17">
        <v>221435</v>
      </c>
      <c r="AS982" t="s" s="15">
        <v>3879</v>
      </c>
      <c r="AT982" t="s" s="15">
        <v>301</v>
      </c>
      <c r="AU982" s="14"/>
      <c r="AV982" s="14"/>
      <c r="AW982" t="s" s="15">
        <v>83</v>
      </c>
      <c r="AX982" t="s" s="15">
        <v>83</v>
      </c>
      <c r="AY982" t="s" s="15">
        <v>309</v>
      </c>
      <c r="AZ982" t="s" s="15">
        <v>83</v>
      </c>
      <c r="BA982" t="s" s="15">
        <v>76</v>
      </c>
      <c r="BB982" t="s" s="15">
        <v>76</v>
      </c>
      <c r="BC982" t="s" s="15">
        <v>76</v>
      </c>
      <c r="BD982" t="s" s="15">
        <v>366</v>
      </c>
      <c r="BE982" t="s" s="15">
        <v>394</v>
      </c>
      <c r="BF982" s="17">
        <v>4</v>
      </c>
      <c r="BG982" s="17">
        <v>16</v>
      </c>
      <c r="BH982" t="s" s="15">
        <v>83</v>
      </c>
      <c r="BI982" t="s" s="15">
        <v>83</v>
      </c>
      <c r="BJ982" t="s" s="15">
        <v>83</v>
      </c>
      <c r="BK982" t="s" s="15">
        <v>83</v>
      </c>
      <c r="BL982" t="s" s="15">
        <v>83</v>
      </c>
      <c r="BM982" t="s" s="15">
        <v>312</v>
      </c>
      <c r="BN982" t="s" s="15">
        <v>78</v>
      </c>
      <c r="BO982" t="s" s="21">
        <v>76</v>
      </c>
      <c r="BP982" s="8"/>
    </row>
    <row r="983" ht="15" customHeight="1" hidden="1">
      <c r="A983" t="s" s="9">
        <v>3880</v>
      </c>
      <c r="B983" s="11"/>
      <c r="C983" t="str" s="11" cm="1">
        <f t="array" ref="C983">_xlfn.IFERROR((VLOOKUP(A983,#REF!,2,FALSE)),"")</f>
      </c>
      <c r="D983" s="11"/>
      <c r="E983" t="s" s="10">
        <v>3881</v>
      </c>
      <c r="F983" t="s" s="10">
        <v>76</v>
      </c>
      <c r="G983" t="s" s="10">
        <v>3882</v>
      </c>
      <c r="H983" t="s" s="10">
        <v>2183</v>
      </c>
      <c r="I983" t="s" s="10">
        <v>111</v>
      </c>
      <c r="J983" t="s" s="10">
        <v>112</v>
      </c>
      <c r="K983" t="s" s="10">
        <v>825</v>
      </c>
      <c r="L983" t="s" s="10">
        <v>518</v>
      </c>
      <c r="M983" t="s" s="10">
        <v>3882</v>
      </c>
      <c r="N983" t="s" s="10">
        <v>3882</v>
      </c>
      <c r="O983" s="11"/>
      <c r="P983" t="s" s="10">
        <v>112</v>
      </c>
      <c r="Q983" t="s" s="10">
        <v>69</v>
      </c>
      <c r="R983" t="s" s="10">
        <v>83</v>
      </c>
      <c r="S983" s="11"/>
      <c r="T983" s="11"/>
      <c r="U983" s="11"/>
      <c r="V983" t="s" s="10">
        <v>69</v>
      </c>
      <c r="W983" s="11"/>
      <c r="X983" t="s" s="10">
        <v>69</v>
      </c>
      <c r="Y983" s="11"/>
      <c r="Z983" t="s" s="10">
        <v>1760</v>
      </c>
      <c r="AA983" s="11"/>
      <c r="AB983" t="s" s="10">
        <v>2184</v>
      </c>
      <c r="AC983" t="s" s="25">
        <v>3880</v>
      </c>
      <c r="AD983" t="s" s="10">
        <v>3883</v>
      </c>
      <c r="AE983" s="11"/>
      <c r="AF983" s="11"/>
      <c r="AG983" t="s" s="10">
        <v>299</v>
      </c>
      <c r="AH983" t="s" s="10">
        <v>114</v>
      </c>
      <c r="AI983" t="s" s="10">
        <v>290</v>
      </c>
      <c r="AJ983" t="s" s="10">
        <v>473</v>
      </c>
      <c r="AK983" t="s" s="10">
        <v>1195</v>
      </c>
      <c r="AL983" t="s" s="10">
        <v>293</v>
      </c>
      <c r="AM983" t="s" s="10">
        <v>294</v>
      </c>
      <c r="AN983" t="s" s="10">
        <v>187</v>
      </c>
      <c r="AO983" s="18">
        <v>4</v>
      </c>
      <c r="AP983" s="18">
        <v>8192</v>
      </c>
      <c r="AQ983" s="18">
        <v>213146</v>
      </c>
      <c r="AR983" s="18">
        <v>213146</v>
      </c>
      <c r="AS983" t="s" s="10">
        <v>3884</v>
      </c>
      <c r="AT983" t="s" s="10">
        <v>301</v>
      </c>
      <c r="AU983" s="11"/>
      <c r="AV983" s="11"/>
      <c r="AW983" t="s" s="10">
        <v>83</v>
      </c>
      <c r="AX983" t="s" s="10">
        <v>83</v>
      </c>
      <c r="AY983" t="s" s="10">
        <v>309</v>
      </c>
      <c r="AZ983" t="s" s="10">
        <v>83</v>
      </c>
      <c r="BA983" t="s" s="10">
        <v>76</v>
      </c>
      <c r="BB983" t="s" s="10">
        <v>76</v>
      </c>
      <c r="BC983" t="s" s="10">
        <v>76</v>
      </c>
      <c r="BD983" t="s" s="10">
        <v>310</v>
      </c>
      <c r="BE983" t="s" s="10">
        <v>356</v>
      </c>
      <c r="BF983" s="18">
        <v>4</v>
      </c>
      <c r="BG983" s="18">
        <v>8</v>
      </c>
      <c r="BH983" t="s" s="10">
        <v>83</v>
      </c>
      <c r="BI983" t="s" s="10">
        <v>83</v>
      </c>
      <c r="BJ983" t="s" s="10">
        <v>83</v>
      </c>
      <c r="BK983" t="s" s="10">
        <v>83</v>
      </c>
      <c r="BL983" t="s" s="10">
        <v>83</v>
      </c>
      <c r="BM983" t="s" s="10">
        <v>312</v>
      </c>
      <c r="BN983" t="s" s="10">
        <v>78</v>
      </c>
      <c r="BO983" t="s" s="19">
        <v>76</v>
      </c>
      <c r="BP983" s="8"/>
    </row>
    <row r="984" ht="13.55" customHeight="1">
      <c r="A984" t="s" s="13">
        <v>3885</v>
      </c>
      <c r="B984" s="14"/>
      <c r="C984" t="str" s="14" cm="1">
        <f t="array" ref="C984">_xlfn.IFERROR((VLOOKUP(A984,#REF!,2,FALSE)),"")</f>
      </c>
      <c r="D984" s="14"/>
      <c r="E984" s="14"/>
      <c r="F984" s="14"/>
      <c r="G984" t="s" s="15">
        <v>3886</v>
      </c>
      <c r="H984" t="s" s="15">
        <v>25</v>
      </c>
      <c r="I984" t="s" s="15">
        <v>111</v>
      </c>
      <c r="J984" t="s" s="15">
        <v>122</v>
      </c>
      <c r="K984" t="s" s="15">
        <v>825</v>
      </c>
      <c r="L984" t="s" s="15">
        <v>518</v>
      </c>
      <c r="M984" t="s" s="15">
        <v>3886</v>
      </c>
      <c r="N984" t="s" s="15">
        <v>3886</v>
      </c>
      <c r="O984" s="14"/>
      <c r="P984" t="s" s="15">
        <v>122</v>
      </c>
      <c r="Q984" t="s" s="15">
        <v>69</v>
      </c>
      <c r="R984" t="s" s="15">
        <v>83</v>
      </c>
      <c r="S984" s="14"/>
      <c r="T984" s="14"/>
      <c r="U984" s="14"/>
      <c r="V984" t="s" s="15">
        <v>69</v>
      </c>
      <c r="W984" s="14"/>
      <c r="X984" t="s" s="15">
        <v>69</v>
      </c>
      <c r="Y984" s="14"/>
      <c r="Z984" t="s" s="15">
        <v>1976</v>
      </c>
      <c r="AA984" s="14"/>
      <c r="AB984" t="s" s="15">
        <v>1977</v>
      </c>
      <c r="AC984" t="s" s="15">
        <v>3885</v>
      </c>
      <c r="AD984" t="s" s="15">
        <v>3887</v>
      </c>
      <c r="AE984" s="14"/>
      <c r="AF984" t="s" s="15">
        <v>1989</v>
      </c>
      <c r="AG984" t="s" s="15">
        <v>299</v>
      </c>
      <c r="AH984" t="s" s="15">
        <v>114</v>
      </c>
      <c r="AI984" t="s" s="15">
        <v>332</v>
      </c>
      <c r="AJ984" t="s" s="15">
        <v>405</v>
      </c>
      <c r="AK984" t="s" s="15">
        <v>83</v>
      </c>
      <c r="AL984" t="s" s="15">
        <v>293</v>
      </c>
      <c r="AM984" t="s" s="15">
        <v>294</v>
      </c>
      <c r="AN984" t="s" s="15">
        <v>187</v>
      </c>
      <c r="AO984" s="17">
        <v>4</v>
      </c>
      <c r="AP984" s="17">
        <v>16384</v>
      </c>
      <c r="AQ984" s="17">
        <v>221420</v>
      </c>
      <c r="AR984" s="17">
        <v>221420</v>
      </c>
      <c r="AS984" t="s" s="15">
        <v>3888</v>
      </c>
      <c r="AT984" t="s" s="15">
        <v>301</v>
      </c>
      <c r="AU984" s="14"/>
      <c r="AV984" s="14"/>
      <c r="AW984" s="14"/>
      <c r="AX984" s="14"/>
      <c r="AY984" s="14"/>
      <c r="AZ984" s="14"/>
      <c r="BA984" s="14"/>
      <c r="BB984" s="14"/>
      <c r="BC984" s="14"/>
      <c r="BD984" t="s" s="15">
        <v>366</v>
      </c>
      <c r="BE984" t="s" s="15">
        <v>394</v>
      </c>
      <c r="BF984" s="17">
        <v>4</v>
      </c>
      <c r="BG984" s="17">
        <v>16</v>
      </c>
      <c r="BH984" s="14"/>
      <c r="BI984" s="14"/>
      <c r="BJ984" s="14"/>
      <c r="BK984" s="14"/>
      <c r="BL984" s="14"/>
      <c r="BM984" s="14"/>
      <c r="BN984" t="s" s="15">
        <v>69</v>
      </c>
      <c r="BO984" s="16"/>
      <c r="BP984" s="8"/>
    </row>
    <row r="985" ht="15" customHeight="1">
      <c r="A985" t="s" s="9">
        <v>3889</v>
      </c>
      <c r="B985" s="11"/>
      <c r="C985" t="str" s="11" cm="1">
        <f t="array" ref="C985">_xlfn.IFERROR((VLOOKUP(A985,#REF!,2,FALSE)),"")</f>
      </c>
      <c r="D985" s="11"/>
      <c r="E985" s="11"/>
      <c r="F985" s="11"/>
      <c r="G985" t="s" s="10">
        <v>3890</v>
      </c>
      <c r="H985" t="s" s="10">
        <v>25</v>
      </c>
      <c r="I985" t="s" s="10">
        <v>111</v>
      </c>
      <c r="J985" t="s" s="10">
        <v>122</v>
      </c>
      <c r="K985" t="s" s="10">
        <v>825</v>
      </c>
      <c r="L985" t="s" s="10">
        <v>518</v>
      </c>
      <c r="M985" t="s" s="10">
        <v>3890</v>
      </c>
      <c r="N985" t="s" s="10">
        <v>3890</v>
      </c>
      <c r="O985" s="11"/>
      <c r="P985" t="s" s="10">
        <v>122</v>
      </c>
      <c r="Q985" t="s" s="10">
        <v>78</v>
      </c>
      <c r="R985" t="s" s="10">
        <v>83</v>
      </c>
      <c r="S985" s="11"/>
      <c r="T985" s="11"/>
      <c r="U985" s="11"/>
      <c r="V985" t="s" s="10">
        <v>69</v>
      </c>
      <c r="W985" s="11"/>
      <c r="X985" t="s" s="10">
        <v>69</v>
      </c>
      <c r="Y985" s="11"/>
      <c r="Z985" t="s" s="10">
        <v>1976</v>
      </c>
      <c r="AA985" s="11"/>
      <c r="AB985" t="s" s="10">
        <v>1977</v>
      </c>
      <c r="AC985" s="11"/>
      <c r="AD985" s="11"/>
      <c r="AE985" s="11"/>
      <c r="AF985" t="s" s="10">
        <v>1989</v>
      </c>
      <c r="AG985" t="s" s="10">
        <v>299</v>
      </c>
      <c r="AH985" t="s" s="10">
        <v>114</v>
      </c>
      <c r="AI985" t="s" s="10">
        <v>332</v>
      </c>
      <c r="AJ985" t="s" s="10">
        <v>405</v>
      </c>
      <c r="AK985" t="s" s="10">
        <v>83</v>
      </c>
      <c r="AL985" t="s" s="10">
        <v>293</v>
      </c>
      <c r="AM985" t="s" s="10">
        <v>294</v>
      </c>
      <c r="AN985" t="s" s="10">
        <v>3549</v>
      </c>
      <c r="AO985" s="18">
        <v>8</v>
      </c>
      <c r="AP985" s="18">
        <v>32768</v>
      </c>
      <c r="AQ985" s="18">
        <v>237981</v>
      </c>
      <c r="AR985" s="18">
        <v>237981</v>
      </c>
      <c r="AS985" t="s" s="10">
        <v>3891</v>
      </c>
      <c r="AT985" s="11"/>
      <c r="AU985" s="11"/>
      <c r="AV985" s="11"/>
      <c r="AW985" s="11"/>
      <c r="AX985" s="11"/>
      <c r="AY985" s="11"/>
      <c r="AZ985" s="11"/>
      <c r="BA985" s="11"/>
      <c r="BB985" s="11"/>
      <c r="BC985" s="11"/>
      <c r="BD985" t="s" s="10">
        <v>366</v>
      </c>
      <c r="BE985" t="s" s="10">
        <v>367</v>
      </c>
      <c r="BF985" s="18">
        <v>8</v>
      </c>
      <c r="BG985" s="18">
        <v>32</v>
      </c>
      <c r="BH985" s="11"/>
      <c r="BI985" s="11"/>
      <c r="BJ985" s="11"/>
      <c r="BK985" s="11"/>
      <c r="BL985" s="11"/>
      <c r="BM985" s="11"/>
      <c r="BN985" t="s" s="10">
        <v>69</v>
      </c>
      <c r="BO985" s="12"/>
      <c r="BP985" s="8"/>
    </row>
    <row r="986" ht="15" customHeight="1">
      <c r="A986" t="s" s="13">
        <v>3892</v>
      </c>
      <c r="B986" s="14"/>
      <c r="C986" t="str" s="14" cm="1">
        <f t="array" ref="C986">_xlfn.IFERROR((VLOOKUP(A986,#REF!,2,FALSE)),"")</f>
      </c>
      <c r="D986" s="14"/>
      <c r="E986" s="14"/>
      <c r="F986" s="14"/>
      <c r="G986" t="s" s="15">
        <v>3893</v>
      </c>
      <c r="H986" t="s" s="15">
        <v>25</v>
      </c>
      <c r="I986" t="s" s="15">
        <v>111</v>
      </c>
      <c r="J986" t="s" s="15">
        <v>122</v>
      </c>
      <c r="K986" t="s" s="15">
        <v>825</v>
      </c>
      <c r="L986" t="s" s="15">
        <v>518</v>
      </c>
      <c r="M986" t="s" s="15">
        <v>3893</v>
      </c>
      <c r="N986" t="s" s="15">
        <v>3893</v>
      </c>
      <c r="O986" s="14"/>
      <c r="P986" t="s" s="15">
        <v>122</v>
      </c>
      <c r="Q986" t="s" s="15">
        <v>78</v>
      </c>
      <c r="R986" t="s" s="15">
        <v>83</v>
      </c>
      <c r="S986" s="14"/>
      <c r="T986" s="14"/>
      <c r="U986" s="14"/>
      <c r="V986" t="s" s="15">
        <v>69</v>
      </c>
      <c r="W986" s="14"/>
      <c r="X986" t="s" s="15">
        <v>69</v>
      </c>
      <c r="Y986" s="14"/>
      <c r="Z986" t="s" s="15">
        <v>1976</v>
      </c>
      <c r="AA986" s="14"/>
      <c r="AB986" t="s" s="15">
        <v>1977</v>
      </c>
      <c r="AC986" s="14"/>
      <c r="AD986" s="14"/>
      <c r="AE986" s="14"/>
      <c r="AF986" t="s" s="15">
        <v>1989</v>
      </c>
      <c r="AG986" t="s" s="15">
        <v>299</v>
      </c>
      <c r="AH986" t="s" s="15">
        <v>114</v>
      </c>
      <c r="AI986" t="s" s="15">
        <v>332</v>
      </c>
      <c r="AJ986" t="s" s="15">
        <v>405</v>
      </c>
      <c r="AK986" t="s" s="15">
        <v>83</v>
      </c>
      <c r="AL986" t="s" s="15">
        <v>293</v>
      </c>
      <c r="AM986" t="s" s="15">
        <v>294</v>
      </c>
      <c r="AN986" t="s" s="15">
        <v>3549</v>
      </c>
      <c r="AO986" s="17">
        <v>8</v>
      </c>
      <c r="AP986" s="17">
        <v>32768</v>
      </c>
      <c r="AQ986" s="17">
        <v>237934</v>
      </c>
      <c r="AR986" s="17">
        <v>237934</v>
      </c>
      <c r="AS986" t="s" s="15">
        <v>3894</v>
      </c>
      <c r="AT986" s="14"/>
      <c r="AU986" s="14"/>
      <c r="AV986" s="14"/>
      <c r="AW986" s="14"/>
      <c r="AX986" s="14"/>
      <c r="AY986" s="14"/>
      <c r="AZ986" s="14"/>
      <c r="BA986" s="14"/>
      <c r="BB986" s="14"/>
      <c r="BC986" s="14"/>
      <c r="BD986" t="s" s="15">
        <v>366</v>
      </c>
      <c r="BE986" t="s" s="15">
        <v>367</v>
      </c>
      <c r="BF986" s="17">
        <v>8</v>
      </c>
      <c r="BG986" s="17">
        <v>32</v>
      </c>
      <c r="BH986" s="14"/>
      <c r="BI986" s="14"/>
      <c r="BJ986" s="14"/>
      <c r="BK986" s="14"/>
      <c r="BL986" s="14"/>
      <c r="BM986" s="14"/>
      <c r="BN986" t="s" s="15">
        <v>69</v>
      </c>
      <c r="BO986" s="16"/>
      <c r="BP986" s="8"/>
    </row>
    <row r="987" ht="13.55" customHeight="1">
      <c r="A987" t="s" s="9">
        <v>3895</v>
      </c>
      <c r="B987" s="11"/>
      <c r="C987" t="str" s="11" cm="1">
        <f t="array" ref="C987">_xlfn.IFERROR((VLOOKUP(A987,#REF!,2,FALSE)),"")</f>
      </c>
      <c r="D987" s="11"/>
      <c r="E987" s="11"/>
      <c r="F987" s="11"/>
      <c r="G987" t="s" s="10">
        <v>3896</v>
      </c>
      <c r="H987" t="s" s="10">
        <v>3897</v>
      </c>
      <c r="I987" t="s" s="10">
        <v>111</v>
      </c>
      <c r="J987" t="s" s="10">
        <v>122</v>
      </c>
      <c r="K987" t="s" s="10">
        <v>113</v>
      </c>
      <c r="L987" t="s" s="10">
        <v>76</v>
      </c>
      <c r="M987" t="s" s="10">
        <v>3896</v>
      </c>
      <c r="N987" t="s" s="10">
        <v>3896</v>
      </c>
      <c r="O987" s="11"/>
      <c r="P987" t="s" s="10">
        <v>122</v>
      </c>
      <c r="Q987" t="s" s="10">
        <v>69</v>
      </c>
      <c r="R987" t="s" s="10">
        <v>83</v>
      </c>
      <c r="S987" s="11"/>
      <c r="T987" s="11"/>
      <c r="U987" s="11"/>
      <c r="V987" t="s" s="10">
        <v>69</v>
      </c>
      <c r="W987" s="11"/>
      <c r="X987" t="s" s="10">
        <v>69</v>
      </c>
      <c r="Y987" t="s" s="10">
        <v>69</v>
      </c>
      <c r="Z987" t="s" s="10">
        <v>76</v>
      </c>
      <c r="AA987" s="11"/>
      <c r="AB987" t="s" s="10">
        <v>76</v>
      </c>
      <c r="AC987" t="s" s="25">
        <v>3895</v>
      </c>
      <c r="AD987" t="s" s="10">
        <v>3898</v>
      </c>
      <c r="AE987" s="11"/>
      <c r="AF987" s="11"/>
      <c r="AG987" t="s" s="10">
        <v>299</v>
      </c>
      <c r="AH987" t="s" s="10">
        <v>114</v>
      </c>
      <c r="AI987" t="s" s="10">
        <v>332</v>
      </c>
      <c r="AJ987" t="s" s="10">
        <v>523</v>
      </c>
      <c r="AK987" t="s" s="10">
        <v>83</v>
      </c>
      <c r="AL987" t="s" s="10">
        <v>293</v>
      </c>
      <c r="AM987" t="s" s="10">
        <v>294</v>
      </c>
      <c r="AN987" t="s" s="10">
        <v>128</v>
      </c>
      <c r="AO987" s="18">
        <v>8</v>
      </c>
      <c r="AP987" s="18">
        <v>8192</v>
      </c>
      <c r="AQ987" s="18">
        <v>213099</v>
      </c>
      <c r="AR987" s="18">
        <v>213099</v>
      </c>
      <c r="AS987" t="s" s="10">
        <v>3899</v>
      </c>
      <c r="AT987" t="s" s="10">
        <v>301</v>
      </c>
      <c r="AU987" s="11"/>
      <c r="AV987" s="11"/>
      <c r="AW987" s="11"/>
      <c r="AX987" s="11"/>
      <c r="AY987" s="11"/>
      <c r="AZ987" s="11"/>
      <c r="BA987" s="11"/>
      <c r="BB987" s="11"/>
      <c r="BC987" s="11"/>
      <c r="BD987" t="s" s="10">
        <v>310</v>
      </c>
      <c r="BE987" t="s" s="10">
        <v>311</v>
      </c>
      <c r="BF987" s="18">
        <v>8</v>
      </c>
      <c r="BG987" s="18">
        <v>16</v>
      </c>
      <c r="BH987" s="11"/>
      <c r="BI987" s="11"/>
      <c r="BJ987" s="11"/>
      <c r="BK987" s="11"/>
      <c r="BL987" s="11"/>
      <c r="BM987" s="11"/>
      <c r="BN987" t="s" s="10">
        <v>69</v>
      </c>
      <c r="BO987" s="12"/>
      <c r="BP987" s="8"/>
    </row>
    <row r="988" ht="9" customHeight="1" hidden="1">
      <c r="A988" t="s" s="13">
        <v>3900</v>
      </c>
      <c r="B988" s="14"/>
      <c r="C988" t="str" s="14" cm="1">
        <f t="array" ref="C988">_xlfn.IFERROR((VLOOKUP(A988,#REF!,2,FALSE)),"")</f>
      </c>
      <c r="D988" s="14"/>
      <c r="E988" t="s" s="15">
        <v>3901</v>
      </c>
      <c r="F988" t="s" s="15">
        <v>3705</v>
      </c>
      <c r="G988" t="s" s="15">
        <v>3902</v>
      </c>
      <c r="H988" t="s" s="15">
        <v>3903</v>
      </c>
      <c r="I988" t="s" s="15">
        <v>111</v>
      </c>
      <c r="J988" t="s" s="15">
        <v>112</v>
      </c>
      <c r="K988" t="s" s="15">
        <v>825</v>
      </c>
      <c r="L988" t="s" s="15">
        <v>1759</v>
      </c>
      <c r="M988" t="s" s="15">
        <v>3902</v>
      </c>
      <c r="N988" t="s" s="15">
        <v>3902</v>
      </c>
      <c r="O988" t="s" s="15">
        <v>346</v>
      </c>
      <c r="P988" t="s" s="15">
        <v>112</v>
      </c>
      <c r="Q988" t="s" s="15">
        <v>69</v>
      </c>
      <c r="R988" t="s" s="15">
        <v>83</v>
      </c>
      <c r="S988" s="14"/>
      <c r="T988" s="14"/>
      <c r="U988" s="14"/>
      <c r="V988" t="s" s="15">
        <v>69</v>
      </c>
      <c r="W988" s="14"/>
      <c r="X988" t="s" s="15">
        <v>69</v>
      </c>
      <c r="Y988" s="14"/>
      <c r="Z988" t="s" s="15">
        <v>205</v>
      </c>
      <c r="AA988" s="14"/>
      <c r="AB988" t="s" s="15">
        <v>520</v>
      </c>
      <c r="AC988" t="s" s="24">
        <v>3900</v>
      </c>
      <c r="AD988" t="s" s="15">
        <v>3904</v>
      </c>
      <c r="AE988" s="14"/>
      <c r="AF988" s="14"/>
      <c r="AG988" t="s" s="15">
        <v>299</v>
      </c>
      <c r="AH988" t="s" s="15">
        <v>114</v>
      </c>
      <c r="AI988" t="s" s="15">
        <v>290</v>
      </c>
      <c r="AJ988" t="s" s="15">
        <v>405</v>
      </c>
      <c r="AK988" t="s" s="15">
        <v>1195</v>
      </c>
      <c r="AL988" t="s" s="15">
        <v>293</v>
      </c>
      <c r="AM988" t="s" s="15">
        <v>294</v>
      </c>
      <c r="AN988" t="s" s="15">
        <v>128</v>
      </c>
      <c r="AO988" s="17">
        <v>4</v>
      </c>
      <c r="AP988" s="17">
        <v>8192</v>
      </c>
      <c r="AQ988" s="17">
        <v>161878</v>
      </c>
      <c r="AR988" s="17">
        <v>48951</v>
      </c>
      <c r="AS988" t="s" s="15">
        <v>3905</v>
      </c>
      <c r="AT988" t="s" s="15">
        <v>301</v>
      </c>
      <c r="AU988" t="s" s="15">
        <v>1174</v>
      </c>
      <c r="AV988" t="s" s="15">
        <v>83</v>
      </c>
      <c r="AW988" t="s" s="15">
        <v>83</v>
      </c>
      <c r="AX988" t="s" s="15">
        <v>83</v>
      </c>
      <c r="AY988" t="s" s="15">
        <v>309</v>
      </c>
      <c r="AZ988" t="s" s="15">
        <v>83</v>
      </c>
      <c r="BA988" t="s" s="15">
        <v>76</v>
      </c>
      <c r="BB988" t="s" s="15">
        <v>76</v>
      </c>
      <c r="BC988" t="s" s="15">
        <v>76</v>
      </c>
      <c r="BD988" t="s" s="15">
        <v>310</v>
      </c>
      <c r="BE988" t="s" s="15">
        <v>356</v>
      </c>
      <c r="BF988" s="17">
        <v>4</v>
      </c>
      <c r="BG988" s="17">
        <v>8</v>
      </c>
      <c r="BH988" t="s" s="15">
        <v>83</v>
      </c>
      <c r="BI988" t="s" s="15">
        <v>83</v>
      </c>
      <c r="BJ988" t="s" s="15">
        <v>83</v>
      </c>
      <c r="BK988" t="s" s="15">
        <v>83</v>
      </c>
      <c r="BL988" t="s" s="15">
        <v>83</v>
      </c>
      <c r="BM988" t="s" s="15">
        <v>312</v>
      </c>
      <c r="BN988" t="s" s="15">
        <v>78</v>
      </c>
      <c r="BO988" t="s" s="21">
        <v>76</v>
      </c>
      <c r="BP988" s="8"/>
    </row>
    <row r="989" ht="9" customHeight="1" hidden="1">
      <c r="A989" t="s" s="9">
        <v>3906</v>
      </c>
      <c r="B989" s="11"/>
      <c r="C989" t="str" s="11" cm="1">
        <f t="array" ref="C989">_xlfn.IFERROR((VLOOKUP(A989,#REF!,2,FALSE)),"")</f>
      </c>
      <c r="D989" s="11"/>
      <c r="E989" t="s" s="10">
        <v>3901</v>
      </c>
      <c r="F989" t="s" s="10">
        <v>3705</v>
      </c>
      <c r="G989" t="s" s="10">
        <v>3907</v>
      </c>
      <c r="H989" t="s" s="10">
        <v>3903</v>
      </c>
      <c r="I989" t="s" s="10">
        <v>111</v>
      </c>
      <c r="J989" t="s" s="10">
        <v>112</v>
      </c>
      <c r="K989" t="s" s="10">
        <v>825</v>
      </c>
      <c r="L989" t="s" s="10">
        <v>1759</v>
      </c>
      <c r="M989" t="s" s="10">
        <v>3907</v>
      </c>
      <c r="N989" t="s" s="10">
        <v>3907</v>
      </c>
      <c r="O989" t="s" s="10">
        <v>346</v>
      </c>
      <c r="P989" t="s" s="10">
        <v>469</v>
      </c>
      <c r="Q989" t="s" s="10">
        <v>69</v>
      </c>
      <c r="R989" t="s" s="10">
        <v>83</v>
      </c>
      <c r="S989" s="11"/>
      <c r="T989" s="11"/>
      <c r="U989" s="11"/>
      <c r="V989" t="s" s="10">
        <v>69</v>
      </c>
      <c r="W989" s="11"/>
      <c r="X989" t="s" s="10">
        <v>69</v>
      </c>
      <c r="Y989" s="11"/>
      <c r="Z989" t="s" s="10">
        <v>205</v>
      </c>
      <c r="AA989" s="11"/>
      <c r="AB989" t="s" s="10">
        <v>520</v>
      </c>
      <c r="AC989" t="s" s="25">
        <v>3906</v>
      </c>
      <c r="AD989" t="s" s="10">
        <v>3908</v>
      </c>
      <c r="AE989" s="11"/>
      <c r="AF989" s="11"/>
      <c r="AG989" t="s" s="10">
        <v>299</v>
      </c>
      <c r="AH989" t="s" s="10">
        <v>114</v>
      </c>
      <c r="AI989" t="s" s="10">
        <v>290</v>
      </c>
      <c r="AJ989" t="s" s="10">
        <v>405</v>
      </c>
      <c r="AK989" t="s" s="10">
        <v>1195</v>
      </c>
      <c r="AL989" t="s" s="10">
        <v>293</v>
      </c>
      <c r="AM989" t="s" s="10">
        <v>294</v>
      </c>
      <c r="AN989" t="s" s="10">
        <v>128</v>
      </c>
      <c r="AO989" s="18">
        <v>4</v>
      </c>
      <c r="AP989" s="18">
        <v>8192</v>
      </c>
      <c r="AQ989" s="18">
        <v>161880</v>
      </c>
      <c r="AR989" s="18">
        <v>53509</v>
      </c>
      <c r="AS989" t="s" s="10">
        <v>3909</v>
      </c>
      <c r="AT989" t="s" s="10">
        <v>301</v>
      </c>
      <c r="AU989" t="s" s="10">
        <v>1174</v>
      </c>
      <c r="AV989" t="s" s="10">
        <v>83</v>
      </c>
      <c r="AW989" t="s" s="10">
        <v>83</v>
      </c>
      <c r="AX989" t="s" s="10">
        <v>83</v>
      </c>
      <c r="AY989" t="s" s="10">
        <v>309</v>
      </c>
      <c r="AZ989" t="s" s="10">
        <v>83</v>
      </c>
      <c r="BA989" t="s" s="10">
        <v>76</v>
      </c>
      <c r="BB989" t="s" s="10">
        <v>76</v>
      </c>
      <c r="BC989" t="s" s="10">
        <v>76</v>
      </c>
      <c r="BD989" t="s" s="10">
        <v>310</v>
      </c>
      <c r="BE989" t="s" s="10">
        <v>356</v>
      </c>
      <c r="BF989" s="18">
        <v>4</v>
      </c>
      <c r="BG989" s="18">
        <v>8</v>
      </c>
      <c r="BH989" t="s" s="10">
        <v>83</v>
      </c>
      <c r="BI989" t="s" s="10">
        <v>83</v>
      </c>
      <c r="BJ989" t="s" s="10">
        <v>83</v>
      </c>
      <c r="BK989" t="s" s="10">
        <v>83</v>
      </c>
      <c r="BL989" t="s" s="10">
        <v>83</v>
      </c>
      <c r="BM989" t="s" s="10">
        <v>312</v>
      </c>
      <c r="BN989" t="s" s="10">
        <v>78</v>
      </c>
      <c r="BO989" t="s" s="19">
        <v>76</v>
      </c>
      <c r="BP989" s="8"/>
    </row>
    <row r="990" ht="13.55" customHeight="1">
      <c r="A990" t="s" s="13">
        <v>3910</v>
      </c>
      <c r="B990" s="14"/>
      <c r="C990" t="str" s="14" cm="1">
        <f t="array" ref="C990">_xlfn.IFERROR((VLOOKUP(A990,#REF!,2,FALSE)),"")</f>
      </c>
      <c r="D990" s="14"/>
      <c r="E990" s="14"/>
      <c r="F990" s="14"/>
      <c r="G990" t="s" s="15">
        <v>3911</v>
      </c>
      <c r="H990" t="s" s="15">
        <v>3912</v>
      </c>
      <c r="I990" t="s" s="15">
        <v>111</v>
      </c>
      <c r="J990" t="s" s="15">
        <v>122</v>
      </c>
      <c r="K990" t="s" s="15">
        <v>113</v>
      </c>
      <c r="L990" t="s" s="15">
        <v>518</v>
      </c>
      <c r="M990" t="s" s="15">
        <v>3913</v>
      </c>
      <c r="N990" t="s" s="15">
        <v>3913</v>
      </c>
      <c r="O990" s="14"/>
      <c r="P990" t="s" s="15">
        <v>122</v>
      </c>
      <c r="Q990" t="s" s="15">
        <v>69</v>
      </c>
      <c r="R990" t="s" s="15">
        <v>83</v>
      </c>
      <c r="S990" s="14"/>
      <c r="T990" s="14"/>
      <c r="U990" s="14"/>
      <c r="V990" t="s" s="15">
        <v>69</v>
      </c>
      <c r="W990" s="14"/>
      <c r="X990" t="s" s="15">
        <v>69</v>
      </c>
      <c r="Y990" t="s" s="15">
        <v>69</v>
      </c>
      <c r="Z990" t="s" s="15">
        <v>2791</v>
      </c>
      <c r="AA990" s="14"/>
      <c r="AB990" t="s" s="15">
        <v>3914</v>
      </c>
      <c r="AC990" t="s" s="15">
        <v>3910</v>
      </c>
      <c r="AD990" t="s" s="15">
        <v>3915</v>
      </c>
      <c r="AE990" s="14"/>
      <c r="AF990" t="s" s="15">
        <v>3912</v>
      </c>
      <c r="AG990" t="s" s="15">
        <v>299</v>
      </c>
      <c r="AH990" t="s" s="15">
        <v>114</v>
      </c>
      <c r="AI990" t="s" s="15">
        <v>332</v>
      </c>
      <c r="AJ990" t="s" s="15">
        <v>405</v>
      </c>
      <c r="AK990" t="s" s="15">
        <v>83</v>
      </c>
      <c r="AL990" t="s" s="15">
        <v>293</v>
      </c>
      <c r="AM990" t="s" s="15">
        <v>294</v>
      </c>
      <c r="AN990" t="s" s="15">
        <v>128</v>
      </c>
      <c r="AO990" s="17">
        <v>2</v>
      </c>
      <c r="AP990" s="17">
        <v>16384</v>
      </c>
      <c r="AQ990" s="17">
        <v>272557</v>
      </c>
      <c r="AR990" s="17">
        <v>272557</v>
      </c>
      <c r="AS990" t="s" s="15">
        <v>3916</v>
      </c>
      <c r="AT990" t="s" s="15">
        <v>301</v>
      </c>
      <c r="AU990" s="14"/>
      <c r="AV990" s="14"/>
      <c r="AW990" s="14"/>
      <c r="AX990" s="14"/>
      <c r="AY990" s="14"/>
      <c r="AZ990" s="14"/>
      <c r="BA990" s="14"/>
      <c r="BB990" s="14"/>
      <c r="BC990" s="14"/>
      <c r="BD990" t="s" s="15">
        <v>428</v>
      </c>
      <c r="BE990" t="s" s="15">
        <v>481</v>
      </c>
      <c r="BF990" s="17">
        <v>2</v>
      </c>
      <c r="BG990" s="17">
        <v>16</v>
      </c>
      <c r="BH990" s="14"/>
      <c r="BI990" s="14"/>
      <c r="BJ990" s="14"/>
      <c r="BK990" s="14"/>
      <c r="BL990" s="14"/>
      <c r="BM990" s="14"/>
      <c r="BN990" t="s" s="15">
        <v>69</v>
      </c>
      <c r="BO990" s="16"/>
      <c r="BP990" s="8"/>
    </row>
    <row r="991" ht="15" customHeight="1" hidden="1">
      <c r="A991" t="s" s="9">
        <v>3917</v>
      </c>
      <c r="B991" s="11"/>
      <c r="C991" t="str" s="11" cm="1">
        <f t="array" ref="C991">_xlfn.IFERROR((VLOOKUP(A991,#REF!,2,FALSE)),"")</f>
      </c>
      <c r="D991" s="11"/>
      <c r="E991" t="s" s="10">
        <v>3881</v>
      </c>
      <c r="F991" t="s" s="10">
        <v>76</v>
      </c>
      <c r="G991" t="s" s="10">
        <v>3918</v>
      </c>
      <c r="H991" t="s" s="10">
        <v>2183</v>
      </c>
      <c r="I991" t="s" s="10">
        <v>111</v>
      </c>
      <c r="J991" t="s" s="10">
        <v>322</v>
      </c>
      <c r="K991" t="s" s="10">
        <v>113</v>
      </c>
      <c r="L991" t="s" s="10">
        <v>518</v>
      </c>
      <c r="M991" t="s" s="10">
        <v>3918</v>
      </c>
      <c r="N991" t="s" s="10">
        <v>3918</v>
      </c>
      <c r="O991" s="11"/>
      <c r="P991" t="s" s="10">
        <v>322</v>
      </c>
      <c r="Q991" t="s" s="10">
        <v>69</v>
      </c>
      <c r="R991" t="s" s="10">
        <v>83</v>
      </c>
      <c r="S991" s="11"/>
      <c r="T991" s="11"/>
      <c r="U991" s="11"/>
      <c r="V991" t="s" s="10">
        <v>69</v>
      </c>
      <c r="W991" s="11"/>
      <c r="X991" t="s" s="10">
        <v>69</v>
      </c>
      <c r="Y991" s="11"/>
      <c r="Z991" t="s" s="10">
        <v>1760</v>
      </c>
      <c r="AA991" s="11"/>
      <c r="AB991" t="s" s="10">
        <v>2184</v>
      </c>
      <c r="AC991" t="s" s="25">
        <v>3917</v>
      </c>
      <c r="AD991" t="s" s="10">
        <v>3919</v>
      </c>
      <c r="AE991" s="11"/>
      <c r="AF991" s="11"/>
      <c r="AG991" t="s" s="10">
        <v>299</v>
      </c>
      <c r="AH991" t="s" s="10">
        <v>114</v>
      </c>
      <c r="AI991" t="s" s="10">
        <v>290</v>
      </c>
      <c r="AJ991" t="s" s="10">
        <v>473</v>
      </c>
      <c r="AK991" t="s" s="10">
        <v>1195</v>
      </c>
      <c r="AL991" t="s" s="10">
        <v>293</v>
      </c>
      <c r="AM991" t="s" s="10">
        <v>294</v>
      </c>
      <c r="AN991" t="s" s="10">
        <v>187</v>
      </c>
      <c r="AO991" s="18">
        <v>4</v>
      </c>
      <c r="AP991" s="18">
        <v>8192</v>
      </c>
      <c r="AQ991" s="18">
        <v>213136</v>
      </c>
      <c r="AR991" s="18">
        <v>213136</v>
      </c>
      <c r="AS991" t="s" s="10">
        <v>3920</v>
      </c>
      <c r="AT991" t="s" s="10">
        <v>301</v>
      </c>
      <c r="AU991" s="11"/>
      <c r="AV991" s="11"/>
      <c r="AW991" t="s" s="10">
        <v>83</v>
      </c>
      <c r="AX991" t="s" s="10">
        <v>83</v>
      </c>
      <c r="AY991" t="s" s="10">
        <v>309</v>
      </c>
      <c r="AZ991" t="s" s="10">
        <v>83</v>
      </c>
      <c r="BA991" t="s" s="10">
        <v>76</v>
      </c>
      <c r="BB991" t="s" s="10">
        <v>76</v>
      </c>
      <c r="BC991" t="s" s="10">
        <v>76</v>
      </c>
      <c r="BD991" t="s" s="10">
        <v>310</v>
      </c>
      <c r="BE991" t="s" s="10">
        <v>356</v>
      </c>
      <c r="BF991" s="18">
        <v>4</v>
      </c>
      <c r="BG991" s="18">
        <v>8</v>
      </c>
      <c r="BH991" t="s" s="10">
        <v>83</v>
      </c>
      <c r="BI991" t="s" s="10">
        <v>83</v>
      </c>
      <c r="BJ991" t="s" s="10">
        <v>83</v>
      </c>
      <c r="BK991" t="s" s="10">
        <v>83</v>
      </c>
      <c r="BL991" t="s" s="10">
        <v>83</v>
      </c>
      <c r="BM991" t="s" s="10">
        <v>312</v>
      </c>
      <c r="BN991" t="s" s="10">
        <v>78</v>
      </c>
      <c r="BO991" t="s" s="19">
        <v>76</v>
      </c>
      <c r="BP991" s="8"/>
    </row>
    <row r="992" ht="9" customHeight="1" hidden="1">
      <c r="A992" t="s" s="13">
        <v>3921</v>
      </c>
      <c r="B992" s="14"/>
      <c r="C992" t="str" s="14" cm="1">
        <f t="array" ref="C992">_xlfn.IFERROR((VLOOKUP(A992,#REF!,2,FALSE)),"")</f>
      </c>
      <c r="D992" s="14"/>
      <c r="E992" t="s" s="15">
        <v>3881</v>
      </c>
      <c r="F992" t="s" s="15">
        <v>76</v>
      </c>
      <c r="G992" t="s" s="15">
        <v>3922</v>
      </c>
      <c r="H992" t="s" s="15">
        <v>2183</v>
      </c>
      <c r="I992" t="s" s="15">
        <v>111</v>
      </c>
      <c r="J992" t="s" s="15">
        <v>322</v>
      </c>
      <c r="K992" t="s" s="15">
        <v>113</v>
      </c>
      <c r="L992" t="s" s="15">
        <v>518</v>
      </c>
      <c r="M992" t="s" s="15">
        <v>3922</v>
      </c>
      <c r="N992" t="s" s="15">
        <v>3922</v>
      </c>
      <c r="O992" s="14"/>
      <c r="P992" t="s" s="15">
        <v>322</v>
      </c>
      <c r="Q992" t="s" s="15">
        <v>69</v>
      </c>
      <c r="R992" t="s" s="15">
        <v>83</v>
      </c>
      <c r="S992" s="14"/>
      <c r="T992" s="14"/>
      <c r="U992" s="14"/>
      <c r="V992" t="s" s="15">
        <v>69</v>
      </c>
      <c r="W992" s="14"/>
      <c r="X992" t="s" s="15">
        <v>69</v>
      </c>
      <c r="Y992" s="14"/>
      <c r="Z992" t="s" s="15">
        <v>1760</v>
      </c>
      <c r="AA992" s="14"/>
      <c r="AB992" t="s" s="15">
        <v>2184</v>
      </c>
      <c r="AC992" t="s" s="24">
        <v>3921</v>
      </c>
      <c r="AD992" t="s" s="15">
        <v>3923</v>
      </c>
      <c r="AE992" s="14"/>
      <c r="AF992" s="14"/>
      <c r="AG992" t="s" s="15">
        <v>299</v>
      </c>
      <c r="AH992" t="s" s="15">
        <v>114</v>
      </c>
      <c r="AI992" t="s" s="15">
        <v>290</v>
      </c>
      <c r="AJ992" t="s" s="15">
        <v>473</v>
      </c>
      <c r="AK992" t="s" s="15">
        <v>1195</v>
      </c>
      <c r="AL992" t="s" s="15">
        <v>293</v>
      </c>
      <c r="AM992" t="s" s="15">
        <v>294</v>
      </c>
      <c r="AN992" t="s" s="15">
        <v>187</v>
      </c>
      <c r="AO992" s="17">
        <v>4</v>
      </c>
      <c r="AP992" s="17">
        <v>8192</v>
      </c>
      <c r="AQ992" s="17">
        <v>213140</v>
      </c>
      <c r="AR992" s="17">
        <v>213140</v>
      </c>
      <c r="AS992" t="s" s="15">
        <v>3924</v>
      </c>
      <c r="AT992" t="s" s="15">
        <v>301</v>
      </c>
      <c r="AU992" s="14"/>
      <c r="AV992" s="14"/>
      <c r="AW992" t="s" s="15">
        <v>83</v>
      </c>
      <c r="AX992" t="s" s="15">
        <v>83</v>
      </c>
      <c r="AY992" t="s" s="15">
        <v>309</v>
      </c>
      <c r="AZ992" t="s" s="15">
        <v>83</v>
      </c>
      <c r="BA992" t="s" s="15">
        <v>76</v>
      </c>
      <c r="BB992" t="s" s="15">
        <v>76</v>
      </c>
      <c r="BC992" t="s" s="15">
        <v>76</v>
      </c>
      <c r="BD992" t="s" s="15">
        <v>310</v>
      </c>
      <c r="BE992" t="s" s="15">
        <v>356</v>
      </c>
      <c r="BF992" s="17">
        <v>4</v>
      </c>
      <c r="BG992" s="17">
        <v>8</v>
      </c>
      <c r="BH992" t="s" s="15">
        <v>83</v>
      </c>
      <c r="BI992" t="s" s="15">
        <v>83</v>
      </c>
      <c r="BJ992" t="s" s="15">
        <v>83</v>
      </c>
      <c r="BK992" t="s" s="15">
        <v>83</v>
      </c>
      <c r="BL992" t="s" s="15">
        <v>83</v>
      </c>
      <c r="BM992" t="s" s="15">
        <v>312</v>
      </c>
      <c r="BN992" t="s" s="15">
        <v>78</v>
      </c>
      <c r="BO992" t="s" s="21">
        <v>76</v>
      </c>
      <c r="BP992" s="8"/>
    </row>
    <row r="993" ht="13.55" customHeight="1">
      <c r="A993" t="s" s="9">
        <v>3925</v>
      </c>
      <c r="B993" s="11"/>
      <c r="C993" t="str" s="11" cm="1">
        <f t="array" ref="C993">_xlfn.IFERROR((VLOOKUP(A993,#REF!,2,FALSE)),"")</f>
      </c>
      <c r="D993" s="11"/>
      <c r="E993" s="11"/>
      <c r="F993" s="11"/>
      <c r="G993" t="s" s="10">
        <v>3926</v>
      </c>
      <c r="H993" t="s" s="10">
        <v>3674</v>
      </c>
      <c r="I993" t="s" s="10">
        <v>111</v>
      </c>
      <c r="J993" t="s" s="10">
        <v>122</v>
      </c>
      <c r="K993" t="s" s="10">
        <v>113</v>
      </c>
      <c r="L993" t="s" s="10">
        <v>2963</v>
      </c>
      <c r="M993" t="s" s="10">
        <v>3926</v>
      </c>
      <c r="N993" t="s" s="10">
        <v>3926</v>
      </c>
      <c r="O993" s="11"/>
      <c r="P993" t="s" s="10">
        <v>122</v>
      </c>
      <c r="Q993" t="s" s="10">
        <v>69</v>
      </c>
      <c r="R993" t="s" s="10">
        <v>83</v>
      </c>
      <c r="S993" s="11"/>
      <c r="T993" s="11"/>
      <c r="U993" s="11"/>
      <c r="V993" t="s" s="10">
        <v>69</v>
      </c>
      <c r="W993" s="11"/>
      <c r="X993" t="s" s="10">
        <v>69</v>
      </c>
      <c r="Y993" s="11"/>
      <c r="Z993" t="s" s="10">
        <v>552</v>
      </c>
      <c r="AA993" s="11"/>
      <c r="AB993" t="s" s="10">
        <v>3677</v>
      </c>
      <c r="AC993" t="s" s="10">
        <v>3925</v>
      </c>
      <c r="AD993" t="s" s="10">
        <v>3927</v>
      </c>
      <c r="AE993" s="11"/>
      <c r="AF993" t="s" s="10">
        <v>3674</v>
      </c>
      <c r="AG993" t="s" s="10">
        <v>299</v>
      </c>
      <c r="AH993" t="s" s="10">
        <v>114</v>
      </c>
      <c r="AI993" t="s" s="10">
        <v>332</v>
      </c>
      <c r="AJ993" t="s" s="10">
        <v>827</v>
      </c>
      <c r="AK993" t="s" s="10">
        <v>83</v>
      </c>
      <c r="AL993" t="s" s="10">
        <v>293</v>
      </c>
      <c r="AM993" t="s" s="10">
        <v>294</v>
      </c>
      <c r="AN993" t="s" s="10">
        <v>128</v>
      </c>
      <c r="AO993" s="18">
        <v>2</v>
      </c>
      <c r="AP993" s="18">
        <v>4096</v>
      </c>
      <c r="AQ993" s="18">
        <v>229468</v>
      </c>
      <c r="AR993" s="18">
        <v>229468</v>
      </c>
      <c r="AS993" t="s" s="10">
        <v>3928</v>
      </c>
      <c r="AT993" t="s" s="10">
        <v>301</v>
      </c>
      <c r="AU993" s="11"/>
      <c r="AV993" s="11"/>
      <c r="AW993" s="11"/>
      <c r="AX993" s="11"/>
      <c r="AY993" s="11"/>
      <c r="AZ993" s="11"/>
      <c r="BA993" s="11"/>
      <c r="BB993" s="11"/>
      <c r="BC993" s="11"/>
      <c r="BD993" t="s" s="10">
        <v>310</v>
      </c>
      <c r="BE993" t="s" s="10">
        <v>419</v>
      </c>
      <c r="BF993" s="18">
        <v>2</v>
      </c>
      <c r="BG993" s="18">
        <v>4</v>
      </c>
      <c r="BH993" s="11"/>
      <c r="BI993" s="11"/>
      <c r="BJ993" s="11"/>
      <c r="BK993" s="11"/>
      <c r="BL993" s="11"/>
      <c r="BM993" s="11"/>
      <c r="BN993" t="s" s="10">
        <v>69</v>
      </c>
      <c r="BO993" s="12"/>
      <c r="BP993" s="8"/>
    </row>
    <row r="994" ht="15" customHeight="1">
      <c r="A994" t="s" s="13">
        <v>3929</v>
      </c>
      <c r="B994" s="14"/>
      <c r="C994" t="str" s="14" cm="1">
        <f t="array" ref="C994">_xlfn.IFERROR((VLOOKUP(A994,#REF!,2,FALSE)),"")</f>
      </c>
      <c r="D994" s="14"/>
      <c r="E994" s="14"/>
      <c r="F994" s="14"/>
      <c r="G994" t="s" s="15">
        <v>3930</v>
      </c>
      <c r="H994" t="s" s="15">
        <v>2244</v>
      </c>
      <c r="I994" t="s" s="15">
        <v>111</v>
      </c>
      <c r="J994" t="s" s="15">
        <v>122</v>
      </c>
      <c r="K994" t="s" s="15">
        <v>825</v>
      </c>
      <c r="L994" t="s" s="15">
        <v>2245</v>
      </c>
      <c r="M994" t="s" s="15">
        <v>3930</v>
      </c>
      <c r="N994" t="s" s="15">
        <v>3930</v>
      </c>
      <c r="O994" s="14"/>
      <c r="P994" t="s" s="15">
        <v>122</v>
      </c>
      <c r="Q994" t="s" s="15">
        <v>69</v>
      </c>
      <c r="R994" t="s" s="15">
        <v>83</v>
      </c>
      <c r="S994" s="14"/>
      <c r="T994" s="14"/>
      <c r="U994" s="14"/>
      <c r="V994" t="s" s="15">
        <v>69</v>
      </c>
      <c r="W994" s="14"/>
      <c r="X994" t="s" s="15">
        <v>69</v>
      </c>
      <c r="Y994" s="14"/>
      <c r="Z994" t="s" s="15">
        <v>2246</v>
      </c>
      <c r="AA994" s="14"/>
      <c r="AB994" t="s" s="15">
        <v>2245</v>
      </c>
      <c r="AC994" t="s" s="15">
        <v>3929</v>
      </c>
      <c r="AD994" t="s" s="15">
        <v>3931</v>
      </c>
      <c r="AE994" s="14"/>
      <c r="AF994" t="s" s="15">
        <v>2244</v>
      </c>
      <c r="AG994" t="s" s="15">
        <v>299</v>
      </c>
      <c r="AH994" t="s" s="15">
        <v>114</v>
      </c>
      <c r="AI994" t="s" s="15">
        <v>332</v>
      </c>
      <c r="AJ994" t="s" s="15">
        <v>523</v>
      </c>
      <c r="AK994" t="s" s="15">
        <v>83</v>
      </c>
      <c r="AL994" t="s" s="15">
        <v>293</v>
      </c>
      <c r="AM994" t="s" s="15">
        <v>294</v>
      </c>
      <c r="AN994" t="s" s="15">
        <v>187</v>
      </c>
      <c r="AO994" s="17">
        <v>8</v>
      </c>
      <c r="AP994" s="17">
        <v>16384</v>
      </c>
      <c r="AQ994" s="17">
        <v>400571</v>
      </c>
      <c r="AR994" s="17">
        <v>400571</v>
      </c>
      <c r="AS994" t="s" s="15">
        <v>3932</v>
      </c>
      <c r="AT994" t="s" s="15">
        <v>301</v>
      </c>
      <c r="AU994" s="14"/>
      <c r="AV994" s="14"/>
      <c r="AW994" s="14"/>
      <c r="AX994" s="14"/>
      <c r="AY994" s="14"/>
      <c r="AZ994" s="14"/>
      <c r="BA994" s="14"/>
      <c r="BB994" s="14"/>
      <c r="BC994" s="14"/>
      <c r="BD994" t="s" s="15">
        <v>310</v>
      </c>
      <c r="BE994" t="s" s="15">
        <v>311</v>
      </c>
      <c r="BF994" s="17">
        <v>8</v>
      </c>
      <c r="BG994" s="17">
        <v>16</v>
      </c>
      <c r="BH994" s="14"/>
      <c r="BI994" s="14"/>
      <c r="BJ994" s="14"/>
      <c r="BK994" s="14"/>
      <c r="BL994" s="14"/>
      <c r="BM994" s="14"/>
      <c r="BN994" t="s" s="15">
        <v>69</v>
      </c>
      <c r="BO994" s="16"/>
      <c r="BP994" s="8"/>
    </row>
    <row r="995" ht="15" customHeight="1">
      <c r="A995" t="s" s="9">
        <v>3933</v>
      </c>
      <c r="B995" s="11"/>
      <c r="C995" t="str" s="11" cm="1">
        <f t="array" ref="C995">_xlfn.IFERROR((VLOOKUP(A995,#REF!,2,FALSE)),"")</f>
      </c>
      <c r="D995" s="11"/>
      <c r="E995" t="s" s="10">
        <v>3934</v>
      </c>
      <c r="F995" t="s" s="10">
        <v>3935</v>
      </c>
      <c r="G995" t="s" s="10">
        <v>3936</v>
      </c>
      <c r="H995" t="s" s="10">
        <v>2252</v>
      </c>
      <c r="I995" t="s" s="10">
        <v>111</v>
      </c>
      <c r="J995" t="s" s="10">
        <v>322</v>
      </c>
      <c r="K995" t="s" s="10">
        <v>825</v>
      </c>
      <c r="L995" t="s" s="10">
        <v>2245</v>
      </c>
      <c r="M995" t="s" s="10">
        <v>3937</v>
      </c>
      <c r="N995" t="s" s="10">
        <v>3937</v>
      </c>
      <c r="O995" s="11"/>
      <c r="P995" t="s" s="10">
        <v>322</v>
      </c>
      <c r="Q995" t="s" s="10">
        <v>69</v>
      </c>
      <c r="R995" t="s" s="10">
        <v>83</v>
      </c>
      <c r="S995" s="11"/>
      <c r="T995" s="11"/>
      <c r="U995" s="11"/>
      <c r="V995" t="s" s="10">
        <v>69</v>
      </c>
      <c r="W995" s="11"/>
      <c r="X995" t="s" s="10">
        <v>69</v>
      </c>
      <c r="Y995" s="11"/>
      <c r="Z995" t="s" s="10">
        <v>2246</v>
      </c>
      <c r="AA995" s="11"/>
      <c r="AB995" t="s" s="10">
        <v>2254</v>
      </c>
      <c r="AC995" t="s" s="25">
        <v>3933</v>
      </c>
      <c r="AD995" t="s" s="10">
        <v>1316</v>
      </c>
      <c r="AE995" s="11"/>
      <c r="AF995" s="11"/>
      <c r="AG995" t="s" s="10">
        <v>299</v>
      </c>
      <c r="AH995" t="s" s="10">
        <v>114</v>
      </c>
      <c r="AI995" t="s" s="10">
        <v>290</v>
      </c>
      <c r="AJ995" t="s" s="10">
        <v>827</v>
      </c>
      <c r="AK995" t="s" s="10">
        <v>1195</v>
      </c>
      <c r="AL995" t="s" s="10">
        <v>293</v>
      </c>
      <c r="AM995" t="s" s="10">
        <v>294</v>
      </c>
      <c r="AN995" t="s" s="10">
        <v>187</v>
      </c>
      <c r="AO995" s="18">
        <v>4</v>
      </c>
      <c r="AP995" s="18">
        <v>4096</v>
      </c>
      <c r="AQ995" s="18">
        <v>388189</v>
      </c>
      <c r="AR995" s="18">
        <v>42102</v>
      </c>
      <c r="AS995" t="s" s="10">
        <v>1317</v>
      </c>
      <c r="AT995" t="s" s="10">
        <v>301</v>
      </c>
      <c r="AU995" s="11"/>
      <c r="AV995" s="11"/>
      <c r="AW995" t="s" s="10">
        <v>83</v>
      </c>
      <c r="AX995" t="s" s="10">
        <v>83</v>
      </c>
      <c r="AY995" t="s" s="10">
        <v>309</v>
      </c>
      <c r="AZ995" t="s" s="10">
        <v>83</v>
      </c>
      <c r="BA995" t="s" s="10">
        <v>76</v>
      </c>
      <c r="BB995" t="s" s="10">
        <v>76</v>
      </c>
      <c r="BC995" t="s" s="10">
        <v>76</v>
      </c>
      <c r="BD995" t="s" s="10">
        <v>310</v>
      </c>
      <c r="BE995" t="s" s="10">
        <v>356</v>
      </c>
      <c r="BF995" s="18">
        <v>4</v>
      </c>
      <c r="BG995" s="18">
        <v>8</v>
      </c>
      <c r="BH995" t="s" s="10">
        <v>83</v>
      </c>
      <c r="BI995" t="s" s="10">
        <v>83</v>
      </c>
      <c r="BJ995" t="s" s="10">
        <v>83</v>
      </c>
      <c r="BK995" t="s" s="10">
        <v>83</v>
      </c>
      <c r="BL995" t="s" s="10">
        <v>83</v>
      </c>
      <c r="BM995" t="s" s="10">
        <v>312</v>
      </c>
      <c r="BN995" t="s" s="10">
        <v>69</v>
      </c>
      <c r="BO995" t="s" s="19">
        <v>76</v>
      </c>
      <c r="BP995" s="8"/>
    </row>
    <row r="996" ht="15" customHeight="1" hidden="1">
      <c r="A996" t="s" s="13">
        <v>3938</v>
      </c>
      <c r="B996" s="14"/>
      <c r="C996" t="str" s="14" cm="1">
        <f t="array" ref="C996">_xlfn.IFERROR((VLOOKUP(A996,#REF!,2,FALSE)),"")</f>
      </c>
      <c r="D996" s="14"/>
      <c r="E996" t="s" s="15">
        <v>2258</v>
      </c>
      <c r="F996" s="14"/>
      <c r="G996" t="s" s="15">
        <v>3939</v>
      </c>
      <c r="H996" t="s" s="15">
        <v>2260</v>
      </c>
      <c r="I996" t="s" s="15">
        <v>111</v>
      </c>
      <c r="J996" t="s" s="15">
        <v>322</v>
      </c>
      <c r="K996" s="14"/>
      <c r="L996" t="s" s="15">
        <v>83</v>
      </c>
      <c r="M996" s="14"/>
      <c r="N996" s="14"/>
      <c r="O996" t="s" s="15">
        <v>322</v>
      </c>
      <c r="P996" s="14"/>
      <c r="Q996" s="14"/>
      <c r="R996" t="s" s="15">
        <v>76</v>
      </c>
      <c r="S996" s="14"/>
      <c r="T996" s="14"/>
      <c r="U996" s="14"/>
      <c r="V996" s="14"/>
      <c r="W996" s="14"/>
      <c r="X996" s="14"/>
      <c r="Y996" s="14"/>
      <c r="Z996" t="s" s="15">
        <v>83</v>
      </c>
      <c r="AA996" s="14"/>
      <c r="AB996" t="s" s="15">
        <v>83</v>
      </c>
      <c r="AC996" s="14"/>
      <c r="AD996" s="14"/>
      <c r="AE996" s="14"/>
      <c r="AF996" s="14"/>
      <c r="AG996" t="s" s="15">
        <v>299</v>
      </c>
      <c r="AH996" t="s" s="15">
        <v>83</v>
      </c>
      <c r="AI996" t="s" s="15">
        <v>83</v>
      </c>
      <c r="AJ996" t="s" s="15">
        <v>83</v>
      </c>
      <c r="AK996" t="s" s="15">
        <v>83</v>
      </c>
      <c r="AL996" t="s" s="15">
        <v>293</v>
      </c>
      <c r="AM996" t="s" s="15">
        <v>294</v>
      </c>
      <c r="AN996" t="s" s="15">
        <v>2261</v>
      </c>
      <c r="AO996" s="14"/>
      <c r="AP996" s="14"/>
      <c r="AQ996" s="14"/>
      <c r="AR996" s="14"/>
      <c r="AS996" t="s" s="15">
        <v>3940</v>
      </c>
      <c r="AT996" s="14"/>
      <c r="AU996" s="14"/>
      <c r="AV996" s="14"/>
      <c r="AW996" s="14"/>
      <c r="AX996" s="14"/>
      <c r="AY996" s="14"/>
      <c r="AZ996" s="14"/>
      <c r="BA996" s="14"/>
      <c r="BB996" s="14"/>
      <c r="BC996" s="14"/>
      <c r="BD996" s="14"/>
      <c r="BE996" s="14"/>
      <c r="BF996" s="14"/>
      <c r="BG996" s="14"/>
      <c r="BH996" s="14"/>
      <c r="BI996" s="14"/>
      <c r="BJ996" s="14"/>
      <c r="BK996" s="14"/>
      <c r="BL996" s="14"/>
      <c r="BM996" s="14"/>
      <c r="BN996" t="s" s="15">
        <v>69</v>
      </c>
      <c r="BO996" s="16"/>
      <c r="BP996" s="8"/>
    </row>
    <row r="997" ht="15" customHeight="1" hidden="1">
      <c r="A997" t="s" s="9">
        <v>3941</v>
      </c>
      <c r="B997" s="11"/>
      <c r="C997" t="str" s="11" cm="1">
        <f t="array" ref="C997">_xlfn.IFERROR((VLOOKUP(A997,#REF!,2,FALSE)),"")</f>
      </c>
      <c r="D997" s="11"/>
      <c r="E997" t="s" s="10">
        <v>3942</v>
      </c>
      <c r="F997" t="s" s="10">
        <v>3935</v>
      </c>
      <c r="G997" t="s" s="10">
        <v>3943</v>
      </c>
      <c r="H997" t="s" s="10">
        <v>3912</v>
      </c>
      <c r="I997" t="s" s="10">
        <v>111</v>
      </c>
      <c r="J997" t="s" s="10">
        <v>322</v>
      </c>
      <c r="K997" t="s" s="10">
        <v>825</v>
      </c>
      <c r="L997" t="s" s="10">
        <v>518</v>
      </c>
      <c r="M997" t="s" s="10">
        <v>3944</v>
      </c>
      <c r="N997" t="s" s="10">
        <v>3944</v>
      </c>
      <c r="O997" t="s" s="10">
        <v>322</v>
      </c>
      <c r="P997" t="s" s="10">
        <v>322</v>
      </c>
      <c r="Q997" t="s" s="10">
        <v>69</v>
      </c>
      <c r="R997" t="s" s="10">
        <v>83</v>
      </c>
      <c r="S997" s="11"/>
      <c r="T997" s="11"/>
      <c r="U997" s="11"/>
      <c r="V997" t="s" s="10">
        <v>69</v>
      </c>
      <c r="W997" s="11"/>
      <c r="X997" t="s" s="10">
        <v>69</v>
      </c>
      <c r="Y997" t="s" s="10">
        <v>69</v>
      </c>
      <c r="Z997" t="s" s="10">
        <v>1334</v>
      </c>
      <c r="AA997" s="11"/>
      <c r="AB997" t="s" s="10">
        <v>3945</v>
      </c>
      <c r="AC997" t="s" s="25">
        <v>3941</v>
      </c>
      <c r="AD997" t="s" s="10">
        <v>3657</v>
      </c>
      <c r="AE997" s="11"/>
      <c r="AF997" s="11"/>
      <c r="AG997" t="s" s="10">
        <v>299</v>
      </c>
      <c r="AH997" t="s" s="10">
        <v>114</v>
      </c>
      <c r="AI997" t="s" s="10">
        <v>290</v>
      </c>
      <c r="AJ997" t="s" s="10">
        <v>333</v>
      </c>
      <c r="AK997" t="s" s="10">
        <v>1195</v>
      </c>
      <c r="AL997" t="s" s="10">
        <v>293</v>
      </c>
      <c r="AM997" t="s" s="10">
        <v>294</v>
      </c>
      <c r="AN997" t="s" s="10">
        <v>128</v>
      </c>
      <c r="AO997" s="18">
        <v>2</v>
      </c>
      <c r="AP997" s="18">
        <v>16384</v>
      </c>
      <c r="AQ997" s="18">
        <v>221284</v>
      </c>
      <c r="AR997" s="18">
        <v>64074</v>
      </c>
      <c r="AS997" t="s" s="10">
        <v>3658</v>
      </c>
      <c r="AT997" t="s" s="10">
        <v>301</v>
      </c>
      <c r="AU997" s="11"/>
      <c r="AV997" t="s" s="10">
        <v>76</v>
      </c>
      <c r="AW997" t="s" s="10">
        <v>83</v>
      </c>
      <c r="AX997" t="s" s="10">
        <v>83</v>
      </c>
      <c r="AY997" t="s" s="10">
        <v>309</v>
      </c>
      <c r="AZ997" t="s" s="10">
        <v>83</v>
      </c>
      <c r="BA997" t="s" s="10">
        <v>76</v>
      </c>
      <c r="BB997" t="s" s="10">
        <v>76</v>
      </c>
      <c r="BC997" t="s" s="10">
        <v>76</v>
      </c>
      <c r="BD997" t="s" s="10">
        <v>428</v>
      </c>
      <c r="BE997" t="s" s="10">
        <v>481</v>
      </c>
      <c r="BF997" s="18">
        <v>2</v>
      </c>
      <c r="BG997" s="18">
        <v>16</v>
      </c>
      <c r="BH997" t="s" s="10">
        <v>83</v>
      </c>
      <c r="BI997" t="s" s="10">
        <v>83</v>
      </c>
      <c r="BJ997" t="s" s="10">
        <v>83</v>
      </c>
      <c r="BK997" t="s" s="10">
        <v>83</v>
      </c>
      <c r="BL997" t="s" s="10">
        <v>83</v>
      </c>
      <c r="BM997" t="s" s="10">
        <v>312</v>
      </c>
      <c r="BN997" t="s" s="10">
        <v>78</v>
      </c>
      <c r="BO997" t="s" s="19">
        <v>76</v>
      </c>
      <c r="BP997" s="8"/>
    </row>
    <row r="998" ht="15" customHeight="1">
      <c r="A998" t="s" s="13">
        <v>3946</v>
      </c>
      <c r="B998" s="14"/>
      <c r="C998" t="str" s="14" cm="1">
        <f t="array" ref="C998">_xlfn.IFERROR((VLOOKUP(A998,#REF!,2,FALSE)),"")</f>
      </c>
      <c r="D998" s="14"/>
      <c r="E998" s="14"/>
      <c r="F998" s="14"/>
      <c r="G998" t="s" s="15">
        <v>3947</v>
      </c>
      <c r="H998" t="s" s="15">
        <v>714</v>
      </c>
      <c r="I998" t="s" s="15">
        <v>111</v>
      </c>
      <c r="J998" t="s" s="15">
        <v>122</v>
      </c>
      <c r="K998" t="s" s="15">
        <v>825</v>
      </c>
      <c r="L998" t="s" s="15">
        <v>76</v>
      </c>
      <c r="M998" t="s" s="15">
        <v>3947</v>
      </c>
      <c r="N998" t="s" s="15">
        <v>3947</v>
      </c>
      <c r="O998" s="14"/>
      <c r="P998" t="s" s="15">
        <v>122</v>
      </c>
      <c r="Q998" t="s" s="15">
        <v>78</v>
      </c>
      <c r="R998" t="s" s="15">
        <v>83</v>
      </c>
      <c r="S998" s="14"/>
      <c r="T998" s="14"/>
      <c r="U998" s="14"/>
      <c r="V998" t="s" s="15">
        <v>69</v>
      </c>
      <c r="W998" s="14"/>
      <c r="X998" t="s" s="15">
        <v>69</v>
      </c>
      <c r="Y998" s="14"/>
      <c r="Z998" t="s" s="15">
        <v>76</v>
      </c>
      <c r="AA998" s="14"/>
      <c r="AB998" t="s" s="15">
        <v>76</v>
      </c>
      <c r="AC998" s="14"/>
      <c r="AD998" s="14"/>
      <c r="AE998" s="14"/>
      <c r="AF998" s="14"/>
      <c r="AG998" t="s" s="15">
        <v>299</v>
      </c>
      <c r="AH998" t="s" s="15">
        <v>114</v>
      </c>
      <c r="AI998" t="s" s="15">
        <v>717</v>
      </c>
      <c r="AJ998" s="14"/>
      <c r="AK998" t="s" s="15">
        <v>83</v>
      </c>
      <c r="AL998" t="s" s="15">
        <v>293</v>
      </c>
      <c r="AM998" t="s" s="15">
        <v>294</v>
      </c>
      <c r="AN998" t="s" s="15">
        <v>3549</v>
      </c>
      <c r="AO998" s="17">
        <v>4</v>
      </c>
      <c r="AP998" s="17">
        <v>32768</v>
      </c>
      <c r="AQ998" s="17">
        <v>238155</v>
      </c>
      <c r="AR998" s="17">
        <v>130816</v>
      </c>
      <c r="AS998" t="s" s="15">
        <v>3948</v>
      </c>
      <c r="AT998" s="14"/>
      <c r="AU998" s="14"/>
      <c r="AV998" s="14"/>
      <c r="AW998" s="14"/>
      <c r="AX998" s="14"/>
      <c r="AY998" s="14"/>
      <c r="AZ998" s="14"/>
      <c r="BA998" s="14"/>
      <c r="BB998" s="14"/>
      <c r="BC998" s="14"/>
      <c r="BD998" t="s" s="15">
        <v>428</v>
      </c>
      <c r="BE998" t="s" s="15">
        <v>1482</v>
      </c>
      <c r="BF998" s="17">
        <v>4</v>
      </c>
      <c r="BG998" s="17">
        <v>32</v>
      </c>
      <c r="BH998" s="14"/>
      <c r="BI998" s="14"/>
      <c r="BJ998" s="14"/>
      <c r="BK998" s="14"/>
      <c r="BL998" s="14"/>
      <c r="BM998" s="14"/>
      <c r="BN998" t="s" s="15">
        <v>69</v>
      </c>
      <c r="BO998" s="16"/>
      <c r="BP998" s="8"/>
    </row>
    <row r="999" ht="13.55" customHeight="1">
      <c r="A999" t="s" s="9">
        <v>3949</v>
      </c>
      <c r="B999" s="11"/>
      <c r="C999" t="str" s="11" cm="1">
        <f t="array" ref="C999">_xlfn.IFERROR((VLOOKUP(A999,#REF!,2,FALSE)),"")</f>
      </c>
      <c r="D999" s="11"/>
      <c r="E999" s="11"/>
      <c r="F999" s="11"/>
      <c r="G999" t="s" s="10">
        <v>3950</v>
      </c>
      <c r="H999" t="s" s="10">
        <v>714</v>
      </c>
      <c r="I999" t="s" s="10">
        <v>111</v>
      </c>
      <c r="J999" t="s" s="10">
        <v>122</v>
      </c>
      <c r="K999" t="s" s="10">
        <v>825</v>
      </c>
      <c r="L999" t="s" s="10">
        <v>76</v>
      </c>
      <c r="M999" t="s" s="10">
        <v>3950</v>
      </c>
      <c r="N999" t="s" s="10">
        <v>3950</v>
      </c>
      <c r="O999" s="11"/>
      <c r="P999" t="s" s="10">
        <v>122</v>
      </c>
      <c r="Q999" t="s" s="10">
        <v>78</v>
      </c>
      <c r="R999" t="s" s="10">
        <v>83</v>
      </c>
      <c r="S999" s="11"/>
      <c r="T999" s="11"/>
      <c r="U999" s="11"/>
      <c r="V999" t="s" s="10">
        <v>69</v>
      </c>
      <c r="W999" s="11"/>
      <c r="X999" t="s" s="10">
        <v>69</v>
      </c>
      <c r="Y999" s="11"/>
      <c r="Z999" t="s" s="10">
        <v>76</v>
      </c>
      <c r="AA999" s="11"/>
      <c r="AB999" t="s" s="10">
        <v>76</v>
      </c>
      <c r="AC999" s="11"/>
      <c r="AD999" s="11"/>
      <c r="AE999" s="11"/>
      <c r="AF999" s="11"/>
      <c r="AG999" t="s" s="10">
        <v>299</v>
      </c>
      <c r="AH999" t="s" s="10">
        <v>114</v>
      </c>
      <c r="AI999" t="s" s="10">
        <v>717</v>
      </c>
      <c r="AJ999" s="11"/>
      <c r="AK999" t="s" s="10">
        <v>83</v>
      </c>
      <c r="AL999" t="s" s="10">
        <v>293</v>
      </c>
      <c r="AM999" t="s" s="10">
        <v>294</v>
      </c>
      <c r="AN999" t="s" s="10">
        <v>3549</v>
      </c>
      <c r="AO999" s="18">
        <v>4</v>
      </c>
      <c r="AP999" s="18">
        <v>32768</v>
      </c>
      <c r="AQ999" s="18">
        <v>237832</v>
      </c>
      <c r="AR999" s="18">
        <v>148142</v>
      </c>
      <c r="AS999" t="s" s="10">
        <v>3951</v>
      </c>
      <c r="AT999" s="11"/>
      <c r="AU999" s="11"/>
      <c r="AV999" s="11"/>
      <c r="AW999" s="11"/>
      <c r="AX999" s="11"/>
      <c r="AY999" s="11"/>
      <c r="AZ999" s="11"/>
      <c r="BA999" s="11"/>
      <c r="BB999" s="11"/>
      <c r="BC999" s="11"/>
      <c r="BD999" t="s" s="10">
        <v>428</v>
      </c>
      <c r="BE999" t="s" s="10">
        <v>1482</v>
      </c>
      <c r="BF999" s="18">
        <v>4</v>
      </c>
      <c r="BG999" s="18">
        <v>32</v>
      </c>
      <c r="BH999" s="11"/>
      <c r="BI999" s="11"/>
      <c r="BJ999" s="11"/>
      <c r="BK999" s="11"/>
      <c r="BL999" s="11"/>
      <c r="BM999" s="11"/>
      <c r="BN999" t="s" s="10">
        <v>69</v>
      </c>
      <c r="BO999" s="12"/>
      <c r="BP999" s="8"/>
    </row>
    <row r="1000" ht="13.55" customHeight="1">
      <c r="A1000" t="s" s="13">
        <v>3952</v>
      </c>
      <c r="B1000" s="14"/>
      <c r="C1000" t="str" s="14" cm="1">
        <f t="array" ref="C1000">_xlfn.IFERROR((VLOOKUP(A1000,#REF!,2,FALSE)),"")</f>
      </c>
      <c r="D1000" s="14"/>
      <c r="E1000" s="14"/>
      <c r="F1000" s="14"/>
      <c r="G1000" t="s" s="15">
        <v>3953</v>
      </c>
      <c r="H1000" t="s" s="15">
        <v>714</v>
      </c>
      <c r="I1000" t="s" s="15">
        <v>111</v>
      </c>
      <c r="J1000" t="s" s="15">
        <v>122</v>
      </c>
      <c r="K1000" t="s" s="15">
        <v>825</v>
      </c>
      <c r="L1000" t="s" s="15">
        <v>76</v>
      </c>
      <c r="M1000" t="s" s="15">
        <v>3953</v>
      </c>
      <c r="N1000" t="s" s="15">
        <v>3953</v>
      </c>
      <c r="O1000" s="14"/>
      <c r="P1000" t="s" s="15">
        <v>122</v>
      </c>
      <c r="Q1000" t="s" s="15">
        <v>78</v>
      </c>
      <c r="R1000" t="s" s="15">
        <v>83</v>
      </c>
      <c r="S1000" s="14"/>
      <c r="T1000" s="14"/>
      <c r="U1000" s="14"/>
      <c r="V1000" t="s" s="15">
        <v>69</v>
      </c>
      <c r="W1000" s="14"/>
      <c r="X1000" t="s" s="15">
        <v>69</v>
      </c>
      <c r="Y1000" s="14"/>
      <c r="Z1000" t="s" s="15">
        <v>76</v>
      </c>
      <c r="AA1000" s="14"/>
      <c r="AB1000" t="s" s="15">
        <v>76</v>
      </c>
      <c r="AC1000" s="14"/>
      <c r="AD1000" s="14"/>
      <c r="AE1000" s="14"/>
      <c r="AF1000" s="14"/>
      <c r="AG1000" t="s" s="15">
        <v>299</v>
      </c>
      <c r="AH1000" t="s" s="15">
        <v>114</v>
      </c>
      <c r="AI1000" t="s" s="15">
        <v>717</v>
      </c>
      <c r="AJ1000" s="14"/>
      <c r="AK1000" t="s" s="15">
        <v>83</v>
      </c>
      <c r="AL1000" t="s" s="15">
        <v>293</v>
      </c>
      <c r="AM1000" t="s" s="15">
        <v>294</v>
      </c>
      <c r="AN1000" t="s" s="15">
        <v>3549</v>
      </c>
      <c r="AO1000" s="17">
        <v>4</v>
      </c>
      <c r="AP1000" s="17">
        <v>32768</v>
      </c>
      <c r="AQ1000" s="17">
        <v>237792</v>
      </c>
      <c r="AR1000" s="17">
        <v>137047</v>
      </c>
      <c r="AS1000" t="s" s="15">
        <v>3954</v>
      </c>
      <c r="AT1000" s="14"/>
      <c r="AU1000" s="14"/>
      <c r="AV1000" s="14"/>
      <c r="AW1000" s="14"/>
      <c r="AX1000" s="14"/>
      <c r="AY1000" s="14"/>
      <c r="AZ1000" s="14"/>
      <c r="BA1000" s="14"/>
      <c r="BB1000" s="14"/>
      <c r="BC1000" s="14"/>
      <c r="BD1000" t="s" s="15">
        <v>428</v>
      </c>
      <c r="BE1000" t="s" s="15">
        <v>1482</v>
      </c>
      <c r="BF1000" s="17">
        <v>4</v>
      </c>
      <c r="BG1000" s="17">
        <v>32</v>
      </c>
      <c r="BH1000" s="14"/>
      <c r="BI1000" s="14"/>
      <c r="BJ1000" s="14"/>
      <c r="BK1000" s="14"/>
      <c r="BL1000" s="14"/>
      <c r="BM1000" s="14"/>
      <c r="BN1000" t="s" s="15">
        <v>69</v>
      </c>
      <c r="BO1000" s="16"/>
      <c r="BP1000" s="8"/>
    </row>
    <row r="1001" ht="13.55" customHeight="1">
      <c r="A1001" t="s" s="9">
        <v>3955</v>
      </c>
      <c r="B1001" s="11"/>
      <c r="C1001" t="str" s="11" cm="1">
        <f t="array" ref="C1001">_xlfn.IFERROR((VLOOKUP(A1001,#REF!,2,FALSE)),"")</f>
      </c>
      <c r="D1001" s="11"/>
      <c r="E1001" s="11"/>
      <c r="F1001" s="11"/>
      <c r="G1001" t="s" s="10">
        <v>3956</v>
      </c>
      <c r="H1001" t="s" s="10">
        <v>714</v>
      </c>
      <c r="I1001" t="s" s="10">
        <v>111</v>
      </c>
      <c r="J1001" t="s" s="10">
        <v>122</v>
      </c>
      <c r="K1001" t="s" s="10">
        <v>113</v>
      </c>
      <c r="L1001" t="s" s="10">
        <v>76</v>
      </c>
      <c r="M1001" t="s" s="10">
        <v>3956</v>
      </c>
      <c r="N1001" t="s" s="10">
        <v>3956</v>
      </c>
      <c r="O1001" s="11"/>
      <c r="P1001" t="s" s="10">
        <v>122</v>
      </c>
      <c r="Q1001" t="s" s="10">
        <v>69</v>
      </c>
      <c r="R1001" t="s" s="10">
        <v>83</v>
      </c>
      <c r="S1001" s="11"/>
      <c r="T1001" s="11"/>
      <c r="U1001" s="11"/>
      <c r="V1001" t="s" s="10">
        <v>69</v>
      </c>
      <c r="W1001" s="11"/>
      <c r="X1001" t="s" s="10">
        <v>69</v>
      </c>
      <c r="Y1001" s="11"/>
      <c r="Z1001" t="s" s="10">
        <v>76</v>
      </c>
      <c r="AA1001" s="11"/>
      <c r="AB1001" t="s" s="10">
        <v>76</v>
      </c>
      <c r="AC1001" t="s" s="10">
        <v>3955</v>
      </c>
      <c r="AD1001" t="s" s="10">
        <v>3957</v>
      </c>
      <c r="AE1001" s="11"/>
      <c r="AF1001" s="11"/>
      <c r="AG1001" t="s" s="10">
        <v>299</v>
      </c>
      <c r="AH1001" t="s" s="10">
        <v>114</v>
      </c>
      <c r="AI1001" t="s" s="10">
        <v>717</v>
      </c>
      <c r="AJ1001" s="11"/>
      <c r="AK1001" t="s" s="10">
        <v>83</v>
      </c>
      <c r="AL1001" t="s" s="10">
        <v>293</v>
      </c>
      <c r="AM1001" t="s" s="10">
        <v>294</v>
      </c>
      <c r="AN1001" t="s" s="10">
        <v>187</v>
      </c>
      <c r="AO1001" s="18">
        <v>4</v>
      </c>
      <c r="AP1001" s="18">
        <v>32768</v>
      </c>
      <c r="AQ1001" s="18">
        <v>237832</v>
      </c>
      <c r="AR1001" s="18">
        <v>88250</v>
      </c>
      <c r="AS1001" t="s" s="10">
        <v>3958</v>
      </c>
      <c r="AT1001" t="s" s="10">
        <v>301</v>
      </c>
      <c r="AU1001" s="11"/>
      <c r="AV1001" s="11"/>
      <c r="AW1001" s="11"/>
      <c r="AX1001" s="11"/>
      <c r="AY1001" s="11"/>
      <c r="AZ1001" s="11"/>
      <c r="BA1001" s="11"/>
      <c r="BB1001" s="11"/>
      <c r="BC1001" s="11"/>
      <c r="BD1001" t="s" s="10">
        <v>428</v>
      </c>
      <c r="BE1001" t="s" s="10">
        <v>1482</v>
      </c>
      <c r="BF1001" s="18">
        <v>4</v>
      </c>
      <c r="BG1001" s="18">
        <v>32</v>
      </c>
      <c r="BH1001" s="11"/>
      <c r="BI1001" s="11"/>
      <c r="BJ1001" s="11"/>
      <c r="BK1001" s="11"/>
      <c r="BL1001" s="11"/>
      <c r="BM1001" s="11"/>
      <c r="BN1001" t="s" s="10">
        <v>69</v>
      </c>
      <c r="BO1001" s="12"/>
      <c r="BP1001" s="8"/>
    </row>
    <row r="1002" ht="9" customHeight="1" hidden="1">
      <c r="A1002" t="s" s="13">
        <v>3959</v>
      </c>
      <c r="B1002" s="14"/>
      <c r="C1002" t="str" s="14" cm="1">
        <f t="array" ref="C1002">_xlfn.IFERROR((VLOOKUP(A1002,#REF!,2,FALSE)),"")</f>
      </c>
      <c r="D1002" s="14"/>
      <c r="E1002" t="s" s="15">
        <v>2258</v>
      </c>
      <c r="F1002" s="14"/>
      <c r="G1002" t="s" s="15">
        <v>3960</v>
      </c>
      <c r="H1002" t="s" s="15">
        <v>2260</v>
      </c>
      <c r="I1002" t="s" s="15">
        <v>111</v>
      </c>
      <c r="J1002" t="s" s="15">
        <v>122</v>
      </c>
      <c r="K1002" s="14"/>
      <c r="L1002" t="s" s="15">
        <v>83</v>
      </c>
      <c r="M1002" s="14"/>
      <c r="N1002" s="14"/>
      <c r="O1002" t="s" s="15">
        <v>286</v>
      </c>
      <c r="P1002" s="14"/>
      <c r="Q1002" s="14"/>
      <c r="R1002" t="s" s="15">
        <v>76</v>
      </c>
      <c r="S1002" s="14"/>
      <c r="T1002" s="14"/>
      <c r="U1002" s="14"/>
      <c r="V1002" s="14"/>
      <c r="W1002" s="14"/>
      <c r="X1002" s="14"/>
      <c r="Y1002" s="14"/>
      <c r="Z1002" t="s" s="15">
        <v>83</v>
      </c>
      <c r="AA1002" s="14"/>
      <c r="AB1002" t="s" s="15">
        <v>83</v>
      </c>
      <c r="AC1002" s="14"/>
      <c r="AD1002" s="14"/>
      <c r="AE1002" s="14"/>
      <c r="AF1002" s="14"/>
      <c r="AG1002" t="s" s="15">
        <v>299</v>
      </c>
      <c r="AH1002" t="s" s="15">
        <v>83</v>
      </c>
      <c r="AI1002" t="s" s="15">
        <v>83</v>
      </c>
      <c r="AJ1002" t="s" s="15">
        <v>83</v>
      </c>
      <c r="AK1002" t="s" s="15">
        <v>83</v>
      </c>
      <c r="AL1002" t="s" s="15">
        <v>293</v>
      </c>
      <c r="AM1002" t="s" s="15">
        <v>294</v>
      </c>
      <c r="AN1002" t="s" s="15">
        <v>2261</v>
      </c>
      <c r="AO1002" s="14"/>
      <c r="AP1002" s="14"/>
      <c r="AQ1002" s="14"/>
      <c r="AR1002" s="14"/>
      <c r="AS1002" t="s" s="15">
        <v>3961</v>
      </c>
      <c r="AT1002" s="14"/>
      <c r="AU1002" s="14"/>
      <c r="AV1002" s="14"/>
      <c r="AW1002" s="14"/>
      <c r="AX1002" s="14"/>
      <c r="AY1002" s="14"/>
      <c r="AZ1002" s="14"/>
      <c r="BA1002" s="14"/>
      <c r="BB1002" s="14"/>
      <c r="BC1002" s="14"/>
      <c r="BD1002" s="14"/>
      <c r="BE1002" s="14"/>
      <c r="BF1002" s="14"/>
      <c r="BG1002" s="14"/>
      <c r="BH1002" s="14"/>
      <c r="BI1002" s="14"/>
      <c r="BJ1002" s="14"/>
      <c r="BK1002" s="14"/>
      <c r="BL1002" s="14"/>
      <c r="BM1002" s="14"/>
      <c r="BN1002" t="s" s="15">
        <v>69</v>
      </c>
      <c r="BO1002" s="16"/>
      <c r="BP1002" s="8"/>
    </row>
    <row r="1003" ht="15" customHeight="1" hidden="1">
      <c r="A1003" t="s" s="9">
        <v>3962</v>
      </c>
      <c r="B1003" s="11"/>
      <c r="C1003" t="str" s="11" cm="1">
        <f t="array" ref="C1003">_xlfn.IFERROR((VLOOKUP(A1003,#REF!,2,FALSE)),"")</f>
      </c>
      <c r="D1003" s="11"/>
      <c r="E1003" t="s" s="10">
        <v>3963</v>
      </c>
      <c r="F1003" t="s" s="10">
        <v>3964</v>
      </c>
      <c r="G1003" t="s" s="10">
        <v>3965</v>
      </c>
      <c r="H1003" t="s" s="10">
        <v>824</v>
      </c>
      <c r="I1003" t="s" s="10">
        <v>111</v>
      </c>
      <c r="J1003" t="s" s="10">
        <v>322</v>
      </c>
      <c r="K1003" t="s" s="10">
        <v>113</v>
      </c>
      <c r="L1003" t="s" s="10">
        <v>826</v>
      </c>
      <c r="M1003" t="s" s="10">
        <v>3966</v>
      </c>
      <c r="N1003" t="s" s="10">
        <v>3966</v>
      </c>
      <c r="O1003" t="s" s="10">
        <v>322</v>
      </c>
      <c r="P1003" t="s" s="10">
        <v>322</v>
      </c>
      <c r="Q1003" t="s" s="10">
        <v>69</v>
      </c>
      <c r="R1003" t="s" s="10">
        <v>83</v>
      </c>
      <c r="S1003" s="11"/>
      <c r="T1003" s="11"/>
      <c r="U1003" s="11"/>
      <c r="V1003" t="s" s="10">
        <v>69</v>
      </c>
      <c r="W1003" s="11"/>
      <c r="X1003" t="s" s="10">
        <v>69</v>
      </c>
      <c r="Y1003" s="11"/>
      <c r="Z1003" t="s" s="10">
        <v>205</v>
      </c>
      <c r="AA1003" s="11"/>
      <c r="AB1003" t="s" s="10">
        <v>520</v>
      </c>
      <c r="AC1003" t="s" s="25">
        <v>3962</v>
      </c>
      <c r="AD1003" t="s" s="10">
        <v>3967</v>
      </c>
      <c r="AE1003" s="11"/>
      <c r="AF1003" s="11"/>
      <c r="AG1003" t="s" s="10">
        <v>299</v>
      </c>
      <c r="AH1003" t="s" s="10">
        <v>114</v>
      </c>
      <c r="AI1003" t="s" s="10">
        <v>290</v>
      </c>
      <c r="AJ1003" t="s" s="10">
        <v>405</v>
      </c>
      <c r="AK1003" t="s" s="10">
        <v>1195</v>
      </c>
      <c r="AL1003" t="s" s="10">
        <v>293</v>
      </c>
      <c r="AM1003" t="s" s="10">
        <v>294</v>
      </c>
      <c r="AN1003" t="s" s="10">
        <v>128</v>
      </c>
      <c r="AO1003" s="18">
        <v>2</v>
      </c>
      <c r="AP1003" s="18">
        <v>6144</v>
      </c>
      <c r="AQ1003" s="18">
        <v>211041</v>
      </c>
      <c r="AR1003" s="18">
        <v>48911</v>
      </c>
      <c r="AS1003" t="s" s="10">
        <v>3968</v>
      </c>
      <c r="AT1003" t="s" s="10">
        <v>301</v>
      </c>
      <c r="AU1003" t="s" s="10">
        <v>1174</v>
      </c>
      <c r="AV1003" t="s" s="10">
        <v>83</v>
      </c>
      <c r="AW1003" t="s" s="10">
        <v>83</v>
      </c>
      <c r="AX1003" t="s" s="10">
        <v>83</v>
      </c>
      <c r="AY1003" t="s" s="10">
        <v>309</v>
      </c>
      <c r="AZ1003" t="s" s="10">
        <v>83</v>
      </c>
      <c r="BA1003" t="s" s="10">
        <v>76</v>
      </c>
      <c r="BB1003" t="s" s="10">
        <v>76</v>
      </c>
      <c r="BC1003" t="s" s="10">
        <v>76</v>
      </c>
      <c r="BD1003" t="s" s="10">
        <v>366</v>
      </c>
      <c r="BE1003" t="s" s="10">
        <v>489</v>
      </c>
      <c r="BF1003" s="18">
        <v>2</v>
      </c>
      <c r="BG1003" s="18">
        <v>8</v>
      </c>
      <c r="BH1003" t="s" s="10">
        <v>83</v>
      </c>
      <c r="BI1003" t="s" s="10">
        <v>83</v>
      </c>
      <c r="BJ1003" t="s" s="10">
        <v>83</v>
      </c>
      <c r="BK1003" t="s" s="10">
        <v>83</v>
      </c>
      <c r="BL1003" t="s" s="10">
        <v>83</v>
      </c>
      <c r="BM1003" t="s" s="10">
        <v>312</v>
      </c>
      <c r="BN1003" t="s" s="10">
        <v>78</v>
      </c>
      <c r="BO1003" t="s" s="19">
        <v>76</v>
      </c>
      <c r="BP1003" s="8"/>
    </row>
    <row r="1004" ht="15" customHeight="1" hidden="1">
      <c r="A1004" t="s" s="13">
        <v>3969</v>
      </c>
      <c r="B1004" s="14"/>
      <c r="C1004" t="str" s="14" cm="1">
        <f t="array" ref="C1004">_xlfn.IFERROR((VLOOKUP(A1004,#REF!,2,FALSE)),"")</f>
      </c>
      <c r="D1004" s="14"/>
      <c r="E1004" t="s" s="15">
        <v>3970</v>
      </c>
      <c r="F1004" t="s" s="15">
        <v>76</v>
      </c>
      <c r="G1004" t="s" s="15">
        <v>3971</v>
      </c>
      <c r="H1004" t="s" s="15">
        <v>3972</v>
      </c>
      <c r="I1004" t="s" s="15">
        <v>111</v>
      </c>
      <c r="J1004" t="s" s="15">
        <v>322</v>
      </c>
      <c r="K1004" t="s" s="15">
        <v>113</v>
      </c>
      <c r="L1004" t="s" s="15">
        <v>518</v>
      </c>
      <c r="M1004" t="s" s="15">
        <v>3971</v>
      </c>
      <c r="N1004" t="s" s="15">
        <v>3971</v>
      </c>
      <c r="O1004" s="14"/>
      <c r="P1004" t="s" s="15">
        <v>322</v>
      </c>
      <c r="Q1004" t="s" s="15">
        <v>69</v>
      </c>
      <c r="R1004" t="s" s="15">
        <v>83</v>
      </c>
      <c r="S1004" s="14"/>
      <c r="T1004" s="14"/>
      <c r="U1004" s="14"/>
      <c r="V1004" t="s" s="15">
        <v>69</v>
      </c>
      <c r="W1004" s="14"/>
      <c r="X1004" t="s" s="15">
        <v>69</v>
      </c>
      <c r="Y1004" s="14"/>
      <c r="Z1004" t="s" s="15">
        <v>552</v>
      </c>
      <c r="AA1004" s="14"/>
      <c r="AB1004" t="s" s="15">
        <v>520</v>
      </c>
      <c r="AC1004" t="s" s="24">
        <v>3969</v>
      </c>
      <c r="AD1004" t="s" s="15">
        <v>3973</v>
      </c>
      <c r="AE1004" s="14"/>
      <c r="AF1004" s="14"/>
      <c r="AG1004" t="s" s="15">
        <v>299</v>
      </c>
      <c r="AH1004" t="s" s="15">
        <v>114</v>
      </c>
      <c r="AI1004" t="s" s="15">
        <v>290</v>
      </c>
      <c r="AJ1004" t="s" s="15">
        <v>333</v>
      </c>
      <c r="AK1004" t="s" s="15">
        <v>1195</v>
      </c>
      <c r="AL1004" t="s" s="15">
        <v>293</v>
      </c>
      <c r="AM1004" t="s" s="15">
        <v>294</v>
      </c>
      <c r="AN1004" t="s" s="15">
        <v>187</v>
      </c>
      <c r="AO1004" s="17">
        <v>4</v>
      </c>
      <c r="AP1004" s="17">
        <v>8192</v>
      </c>
      <c r="AQ1004" s="17">
        <v>213098</v>
      </c>
      <c r="AR1004" s="17">
        <v>43301</v>
      </c>
      <c r="AS1004" t="s" s="15">
        <v>3974</v>
      </c>
      <c r="AT1004" t="s" s="15">
        <v>301</v>
      </c>
      <c r="AU1004" s="14"/>
      <c r="AV1004" s="14"/>
      <c r="AW1004" t="s" s="15">
        <v>83</v>
      </c>
      <c r="AX1004" t="s" s="15">
        <v>83</v>
      </c>
      <c r="AY1004" t="s" s="15">
        <v>309</v>
      </c>
      <c r="AZ1004" t="s" s="15">
        <v>83</v>
      </c>
      <c r="BA1004" t="s" s="15">
        <v>76</v>
      </c>
      <c r="BB1004" t="s" s="15">
        <v>76</v>
      </c>
      <c r="BC1004" t="s" s="15">
        <v>76</v>
      </c>
      <c r="BD1004" t="s" s="15">
        <v>310</v>
      </c>
      <c r="BE1004" t="s" s="15">
        <v>356</v>
      </c>
      <c r="BF1004" s="17">
        <v>4</v>
      </c>
      <c r="BG1004" s="17">
        <v>8</v>
      </c>
      <c r="BH1004" t="s" s="15">
        <v>83</v>
      </c>
      <c r="BI1004" t="s" s="15">
        <v>83</v>
      </c>
      <c r="BJ1004" t="s" s="15">
        <v>83</v>
      </c>
      <c r="BK1004" t="s" s="15">
        <v>83</v>
      </c>
      <c r="BL1004" t="s" s="15">
        <v>83</v>
      </c>
      <c r="BM1004" t="s" s="15">
        <v>312</v>
      </c>
      <c r="BN1004" t="s" s="15">
        <v>78</v>
      </c>
      <c r="BO1004" t="s" s="21">
        <v>76</v>
      </c>
      <c r="BP1004" s="8"/>
    </row>
    <row r="1005" ht="15" customHeight="1" hidden="1">
      <c r="A1005" t="s" s="9">
        <v>3975</v>
      </c>
      <c r="B1005" s="11"/>
      <c r="C1005" t="str" s="11" cm="1">
        <f t="array" ref="C1005">_xlfn.IFERROR((VLOOKUP(A1005,#REF!,2,FALSE)),"")</f>
      </c>
      <c r="D1005" s="11"/>
      <c r="E1005" t="s" s="10">
        <v>3970</v>
      </c>
      <c r="F1005" t="s" s="10">
        <v>76</v>
      </c>
      <c r="G1005" t="s" s="10">
        <v>3976</v>
      </c>
      <c r="H1005" t="s" s="10">
        <v>3972</v>
      </c>
      <c r="I1005" t="s" s="10">
        <v>111</v>
      </c>
      <c r="J1005" t="s" s="10">
        <v>322</v>
      </c>
      <c r="K1005" t="s" s="10">
        <v>113</v>
      </c>
      <c r="L1005" t="s" s="10">
        <v>518</v>
      </c>
      <c r="M1005" t="s" s="10">
        <v>3976</v>
      </c>
      <c r="N1005" t="s" s="10">
        <v>3976</v>
      </c>
      <c r="O1005" s="11"/>
      <c r="P1005" t="s" s="10">
        <v>322</v>
      </c>
      <c r="Q1005" t="s" s="10">
        <v>69</v>
      </c>
      <c r="R1005" t="s" s="10">
        <v>83</v>
      </c>
      <c r="S1005" s="11"/>
      <c r="T1005" s="11"/>
      <c r="U1005" s="11"/>
      <c r="V1005" t="s" s="10">
        <v>69</v>
      </c>
      <c r="W1005" s="11"/>
      <c r="X1005" t="s" s="10">
        <v>69</v>
      </c>
      <c r="Y1005" s="11"/>
      <c r="Z1005" t="s" s="10">
        <v>552</v>
      </c>
      <c r="AA1005" s="11"/>
      <c r="AB1005" t="s" s="10">
        <v>520</v>
      </c>
      <c r="AC1005" t="s" s="25">
        <v>3975</v>
      </c>
      <c r="AD1005" t="s" s="10">
        <v>3977</v>
      </c>
      <c r="AE1005" s="11"/>
      <c r="AF1005" s="11"/>
      <c r="AG1005" t="s" s="10">
        <v>299</v>
      </c>
      <c r="AH1005" t="s" s="10">
        <v>114</v>
      </c>
      <c r="AI1005" t="s" s="10">
        <v>290</v>
      </c>
      <c r="AJ1005" t="s" s="10">
        <v>333</v>
      </c>
      <c r="AK1005" t="s" s="10">
        <v>1195</v>
      </c>
      <c r="AL1005" t="s" s="10">
        <v>293</v>
      </c>
      <c r="AM1005" t="s" s="10">
        <v>294</v>
      </c>
      <c r="AN1005" t="s" s="10">
        <v>187</v>
      </c>
      <c r="AO1005" s="18">
        <v>4</v>
      </c>
      <c r="AP1005" s="18">
        <v>8192</v>
      </c>
      <c r="AQ1005" s="18">
        <v>213132</v>
      </c>
      <c r="AR1005" s="18">
        <v>41439</v>
      </c>
      <c r="AS1005" t="s" s="10">
        <v>3978</v>
      </c>
      <c r="AT1005" t="s" s="10">
        <v>301</v>
      </c>
      <c r="AU1005" s="11"/>
      <c r="AV1005" s="11"/>
      <c r="AW1005" t="s" s="10">
        <v>83</v>
      </c>
      <c r="AX1005" t="s" s="10">
        <v>83</v>
      </c>
      <c r="AY1005" t="s" s="10">
        <v>309</v>
      </c>
      <c r="AZ1005" t="s" s="10">
        <v>83</v>
      </c>
      <c r="BA1005" t="s" s="10">
        <v>76</v>
      </c>
      <c r="BB1005" t="s" s="10">
        <v>76</v>
      </c>
      <c r="BC1005" t="s" s="10">
        <v>76</v>
      </c>
      <c r="BD1005" t="s" s="10">
        <v>310</v>
      </c>
      <c r="BE1005" t="s" s="10">
        <v>356</v>
      </c>
      <c r="BF1005" s="18">
        <v>4</v>
      </c>
      <c r="BG1005" s="18">
        <v>8</v>
      </c>
      <c r="BH1005" t="s" s="10">
        <v>83</v>
      </c>
      <c r="BI1005" t="s" s="10">
        <v>83</v>
      </c>
      <c r="BJ1005" t="s" s="10">
        <v>83</v>
      </c>
      <c r="BK1005" t="s" s="10">
        <v>83</v>
      </c>
      <c r="BL1005" t="s" s="10">
        <v>83</v>
      </c>
      <c r="BM1005" t="s" s="10">
        <v>312</v>
      </c>
      <c r="BN1005" t="s" s="10">
        <v>78</v>
      </c>
      <c r="BO1005" t="s" s="19">
        <v>76</v>
      </c>
      <c r="BP1005" s="8"/>
    </row>
    <row r="1006" ht="15" customHeight="1" hidden="1">
      <c r="A1006" t="s" s="13">
        <v>3979</v>
      </c>
      <c r="B1006" s="14"/>
      <c r="C1006" t="str" s="14" cm="1">
        <f t="array" ref="C1006">_xlfn.IFERROR((VLOOKUP(A1006,#REF!,2,FALSE)),"")</f>
      </c>
      <c r="D1006" s="14"/>
      <c r="E1006" t="s" s="15">
        <v>3970</v>
      </c>
      <c r="F1006" t="s" s="15">
        <v>76</v>
      </c>
      <c r="G1006" t="s" s="15">
        <v>3980</v>
      </c>
      <c r="H1006" t="s" s="15">
        <v>3972</v>
      </c>
      <c r="I1006" t="s" s="15">
        <v>111</v>
      </c>
      <c r="J1006" t="s" s="15">
        <v>517</v>
      </c>
      <c r="K1006" t="s" s="15">
        <v>113</v>
      </c>
      <c r="L1006" t="s" s="15">
        <v>518</v>
      </c>
      <c r="M1006" t="s" s="15">
        <v>3980</v>
      </c>
      <c r="N1006" t="s" s="15">
        <v>3980</v>
      </c>
      <c r="O1006" s="14"/>
      <c r="P1006" t="s" s="15">
        <v>517</v>
      </c>
      <c r="Q1006" t="s" s="15">
        <v>69</v>
      </c>
      <c r="R1006" t="s" s="15">
        <v>83</v>
      </c>
      <c r="S1006" s="14"/>
      <c r="T1006" s="14"/>
      <c r="U1006" s="14"/>
      <c r="V1006" t="s" s="15">
        <v>69</v>
      </c>
      <c r="W1006" s="14"/>
      <c r="X1006" t="s" s="15">
        <v>69</v>
      </c>
      <c r="Y1006" t="s" s="15">
        <v>69</v>
      </c>
      <c r="Z1006" t="s" s="15">
        <v>552</v>
      </c>
      <c r="AA1006" s="14"/>
      <c r="AB1006" t="s" s="15">
        <v>520</v>
      </c>
      <c r="AC1006" t="s" s="24">
        <v>3979</v>
      </c>
      <c r="AD1006" t="s" s="15">
        <v>3981</v>
      </c>
      <c r="AE1006" s="14"/>
      <c r="AF1006" s="14"/>
      <c r="AG1006" t="s" s="15">
        <v>299</v>
      </c>
      <c r="AH1006" t="s" s="15">
        <v>114</v>
      </c>
      <c r="AI1006" t="s" s="15">
        <v>290</v>
      </c>
      <c r="AJ1006" t="s" s="15">
        <v>473</v>
      </c>
      <c r="AK1006" t="s" s="15">
        <v>1195</v>
      </c>
      <c r="AL1006" t="s" s="15">
        <v>293</v>
      </c>
      <c r="AM1006" t="s" s="15">
        <v>294</v>
      </c>
      <c r="AN1006" t="s" s="15">
        <v>187</v>
      </c>
      <c r="AO1006" s="17">
        <v>4</v>
      </c>
      <c r="AP1006" s="17">
        <v>12288</v>
      </c>
      <c r="AQ1006" s="17">
        <v>217227</v>
      </c>
      <c r="AR1006" s="17">
        <v>50709</v>
      </c>
      <c r="AS1006" t="s" s="15">
        <v>3982</v>
      </c>
      <c r="AT1006" t="s" s="15">
        <v>301</v>
      </c>
      <c r="AU1006" s="14"/>
      <c r="AV1006" s="14"/>
      <c r="AW1006" t="s" s="15">
        <v>83</v>
      </c>
      <c r="AX1006" t="s" s="15">
        <v>83</v>
      </c>
      <c r="AY1006" t="s" s="15">
        <v>309</v>
      </c>
      <c r="AZ1006" t="s" s="15">
        <v>83</v>
      </c>
      <c r="BA1006" t="s" s="15">
        <v>76</v>
      </c>
      <c r="BB1006" t="s" s="15">
        <v>76</v>
      </c>
      <c r="BC1006" t="s" s="15">
        <v>76</v>
      </c>
      <c r="BD1006" t="s" s="15">
        <v>310</v>
      </c>
      <c r="BE1006" t="s" s="15">
        <v>394</v>
      </c>
      <c r="BF1006" s="17">
        <v>4</v>
      </c>
      <c r="BG1006" s="17">
        <v>16</v>
      </c>
      <c r="BH1006" t="s" s="15">
        <v>83</v>
      </c>
      <c r="BI1006" t="s" s="15">
        <v>83</v>
      </c>
      <c r="BJ1006" t="s" s="15">
        <v>83</v>
      </c>
      <c r="BK1006" t="s" s="15">
        <v>83</v>
      </c>
      <c r="BL1006" t="s" s="15">
        <v>83</v>
      </c>
      <c r="BM1006" t="s" s="15">
        <v>312</v>
      </c>
      <c r="BN1006" t="s" s="15">
        <v>78</v>
      </c>
      <c r="BO1006" t="s" s="21">
        <v>76</v>
      </c>
      <c r="BP1006" s="8"/>
    </row>
    <row r="1007" ht="9" customHeight="1" hidden="1">
      <c r="A1007" t="s" s="9">
        <v>3983</v>
      </c>
      <c r="B1007" s="11"/>
      <c r="C1007" t="str" s="11" cm="1">
        <f t="array" ref="C1007">_xlfn.IFERROR((VLOOKUP(A1007,#REF!,2,FALSE)),"")</f>
      </c>
      <c r="D1007" s="11"/>
      <c r="E1007" t="s" s="10">
        <v>3970</v>
      </c>
      <c r="F1007" t="s" s="10">
        <v>76</v>
      </c>
      <c r="G1007" t="s" s="10">
        <v>3980</v>
      </c>
      <c r="H1007" t="s" s="10">
        <v>3972</v>
      </c>
      <c r="I1007" t="s" s="10">
        <v>111</v>
      </c>
      <c r="J1007" t="s" s="10">
        <v>517</v>
      </c>
      <c r="K1007" t="s" s="10">
        <v>113</v>
      </c>
      <c r="L1007" t="s" s="10">
        <v>518</v>
      </c>
      <c r="M1007" t="s" s="10">
        <v>3980</v>
      </c>
      <c r="N1007" t="s" s="10">
        <v>3980</v>
      </c>
      <c r="O1007" s="11"/>
      <c r="P1007" t="s" s="10">
        <v>517</v>
      </c>
      <c r="Q1007" t="s" s="10">
        <v>69</v>
      </c>
      <c r="R1007" t="s" s="10">
        <v>83</v>
      </c>
      <c r="S1007" s="11"/>
      <c r="T1007" s="11"/>
      <c r="U1007" s="11"/>
      <c r="V1007" t="s" s="10">
        <v>69</v>
      </c>
      <c r="W1007" s="11"/>
      <c r="X1007" t="s" s="10">
        <v>69</v>
      </c>
      <c r="Y1007" t="s" s="10">
        <v>69</v>
      </c>
      <c r="Z1007" t="s" s="10">
        <v>552</v>
      </c>
      <c r="AA1007" s="11"/>
      <c r="AB1007" t="s" s="10">
        <v>520</v>
      </c>
      <c r="AC1007" t="s" s="25">
        <v>3983</v>
      </c>
      <c r="AD1007" t="s" s="10">
        <v>3984</v>
      </c>
      <c r="AE1007" s="11"/>
      <c r="AF1007" s="11"/>
      <c r="AG1007" t="s" s="10">
        <v>299</v>
      </c>
      <c r="AH1007" t="s" s="10">
        <v>114</v>
      </c>
      <c r="AI1007" t="s" s="10">
        <v>290</v>
      </c>
      <c r="AJ1007" t="s" s="10">
        <v>473</v>
      </c>
      <c r="AK1007" t="s" s="10">
        <v>1195</v>
      </c>
      <c r="AL1007" t="s" s="10">
        <v>293</v>
      </c>
      <c r="AM1007" t="s" s="10">
        <v>294</v>
      </c>
      <c r="AN1007" t="s" s="10">
        <v>187</v>
      </c>
      <c r="AO1007" s="18">
        <v>4</v>
      </c>
      <c r="AP1007" s="18">
        <v>12288</v>
      </c>
      <c r="AQ1007" s="18">
        <v>217241</v>
      </c>
      <c r="AR1007" s="18">
        <v>48328</v>
      </c>
      <c r="AS1007" t="s" s="10">
        <v>1765</v>
      </c>
      <c r="AT1007" t="s" s="10">
        <v>301</v>
      </c>
      <c r="AU1007" s="11"/>
      <c r="AV1007" s="11"/>
      <c r="AW1007" t="s" s="10">
        <v>83</v>
      </c>
      <c r="AX1007" t="s" s="10">
        <v>83</v>
      </c>
      <c r="AY1007" t="s" s="10">
        <v>309</v>
      </c>
      <c r="AZ1007" t="s" s="10">
        <v>83</v>
      </c>
      <c r="BA1007" t="s" s="10">
        <v>76</v>
      </c>
      <c r="BB1007" t="s" s="10">
        <v>76</v>
      </c>
      <c r="BC1007" t="s" s="10">
        <v>76</v>
      </c>
      <c r="BD1007" t="s" s="10">
        <v>366</v>
      </c>
      <c r="BE1007" t="s" s="10">
        <v>394</v>
      </c>
      <c r="BF1007" s="18">
        <v>4</v>
      </c>
      <c r="BG1007" s="18">
        <v>16</v>
      </c>
      <c r="BH1007" t="s" s="10">
        <v>83</v>
      </c>
      <c r="BI1007" t="s" s="10">
        <v>83</v>
      </c>
      <c r="BJ1007" t="s" s="10">
        <v>83</v>
      </c>
      <c r="BK1007" t="s" s="10">
        <v>83</v>
      </c>
      <c r="BL1007" t="s" s="10">
        <v>83</v>
      </c>
      <c r="BM1007" t="s" s="10">
        <v>312</v>
      </c>
      <c r="BN1007" t="s" s="10">
        <v>78</v>
      </c>
      <c r="BO1007" t="s" s="19">
        <v>76</v>
      </c>
      <c r="BP1007" s="8"/>
    </row>
    <row r="1008" ht="15" customHeight="1">
      <c r="A1008" t="s" s="13">
        <v>3985</v>
      </c>
      <c r="B1008" s="14"/>
      <c r="C1008" t="str" s="14" cm="1">
        <f t="array" ref="C1008">_xlfn.IFERROR((VLOOKUP(A1008,#REF!,2,FALSE)),"")</f>
      </c>
      <c r="D1008" t="s" s="15">
        <v>70</v>
      </c>
      <c r="E1008" t="s" s="15">
        <v>1181</v>
      </c>
      <c r="F1008" s="14"/>
      <c r="G1008" t="s" s="15">
        <v>3986</v>
      </c>
      <c r="H1008" t="s" s="15">
        <v>3972</v>
      </c>
      <c r="I1008" t="s" s="15">
        <v>111</v>
      </c>
      <c r="J1008" t="s" s="15">
        <v>122</v>
      </c>
      <c r="K1008" t="s" s="15">
        <v>113</v>
      </c>
      <c r="L1008" t="s" s="15">
        <v>518</v>
      </c>
      <c r="M1008" t="s" s="15">
        <v>3987</v>
      </c>
      <c r="N1008" t="s" s="15">
        <v>3986</v>
      </c>
      <c r="O1008" s="14"/>
      <c r="P1008" t="s" s="15">
        <v>122</v>
      </c>
      <c r="Q1008" t="s" s="15">
        <v>78</v>
      </c>
      <c r="R1008" t="s" s="15">
        <v>83</v>
      </c>
      <c r="S1008" s="14"/>
      <c r="T1008" s="14"/>
      <c r="U1008" s="14"/>
      <c r="V1008" t="s" s="15">
        <v>69</v>
      </c>
      <c r="W1008" s="14"/>
      <c r="X1008" t="s" s="15">
        <v>78</v>
      </c>
      <c r="Y1008" t="s" s="15">
        <v>69</v>
      </c>
      <c r="Z1008" t="s" s="15">
        <v>3988</v>
      </c>
      <c r="AA1008" s="14"/>
      <c r="AB1008" t="s" s="15">
        <v>3988</v>
      </c>
      <c r="AC1008" s="14"/>
      <c r="AD1008" s="14"/>
      <c r="AE1008" s="14"/>
      <c r="AF1008" t="s" s="15">
        <v>3972</v>
      </c>
      <c r="AG1008" t="s" s="15">
        <v>299</v>
      </c>
      <c r="AH1008" t="s" s="15">
        <v>114</v>
      </c>
      <c r="AI1008" t="s" s="15">
        <v>332</v>
      </c>
      <c r="AJ1008" t="s" s="15">
        <v>523</v>
      </c>
      <c r="AK1008" t="s" s="15">
        <v>83</v>
      </c>
      <c r="AL1008" t="s" s="15">
        <v>293</v>
      </c>
      <c r="AM1008" t="s" s="15">
        <v>294</v>
      </c>
      <c r="AN1008" t="s" s="15">
        <v>3549</v>
      </c>
      <c r="AO1008" s="17">
        <v>4</v>
      </c>
      <c r="AP1008" s="17">
        <v>8192</v>
      </c>
      <c r="AQ1008" s="17">
        <v>213123</v>
      </c>
      <c r="AR1008" s="17">
        <v>45457</v>
      </c>
      <c r="AS1008" t="s" s="15">
        <v>3989</v>
      </c>
      <c r="AT1008" s="14"/>
      <c r="AU1008" s="14"/>
      <c r="AV1008" s="14"/>
      <c r="AW1008" s="14"/>
      <c r="AX1008" s="14"/>
      <c r="AY1008" s="14"/>
      <c r="AZ1008" s="14"/>
      <c r="BA1008" s="14"/>
      <c r="BB1008" s="14"/>
      <c r="BC1008" s="14"/>
      <c r="BD1008" t="s" s="15">
        <v>310</v>
      </c>
      <c r="BE1008" t="s" s="15">
        <v>356</v>
      </c>
      <c r="BF1008" s="17">
        <v>4</v>
      </c>
      <c r="BG1008" s="17">
        <v>8</v>
      </c>
      <c r="BH1008" s="14"/>
      <c r="BI1008" s="14"/>
      <c r="BJ1008" s="14"/>
      <c r="BK1008" s="14"/>
      <c r="BL1008" s="14"/>
      <c r="BM1008" s="14"/>
      <c r="BN1008" t="s" s="15">
        <v>69</v>
      </c>
      <c r="BO1008" s="16"/>
      <c r="BP1008" s="8"/>
    </row>
    <row r="1009" ht="15" customHeight="1">
      <c r="A1009" t="s" s="9">
        <v>3990</v>
      </c>
      <c r="B1009" s="11"/>
      <c r="C1009" t="str" s="11" cm="1">
        <f t="array" ref="C1009">_xlfn.IFERROR((VLOOKUP(A1009,#REF!,2,FALSE)),"")</f>
      </c>
      <c r="D1009" t="s" s="10">
        <v>70</v>
      </c>
      <c r="E1009" t="s" s="10">
        <v>1181</v>
      </c>
      <c r="F1009" s="11"/>
      <c r="G1009" t="s" s="10">
        <v>3986</v>
      </c>
      <c r="H1009" t="s" s="10">
        <v>3972</v>
      </c>
      <c r="I1009" t="s" s="10">
        <v>111</v>
      </c>
      <c r="J1009" t="s" s="10">
        <v>122</v>
      </c>
      <c r="K1009" t="s" s="10">
        <v>113</v>
      </c>
      <c r="L1009" t="s" s="10">
        <v>518</v>
      </c>
      <c r="M1009" t="s" s="10">
        <v>3991</v>
      </c>
      <c r="N1009" t="s" s="10">
        <v>3986</v>
      </c>
      <c r="O1009" s="11"/>
      <c r="P1009" t="s" s="10">
        <v>122</v>
      </c>
      <c r="Q1009" t="s" s="10">
        <v>78</v>
      </c>
      <c r="R1009" t="s" s="10">
        <v>83</v>
      </c>
      <c r="S1009" s="11"/>
      <c r="T1009" s="11"/>
      <c r="U1009" s="11"/>
      <c r="V1009" t="s" s="10">
        <v>69</v>
      </c>
      <c r="W1009" s="11"/>
      <c r="X1009" t="s" s="10">
        <v>78</v>
      </c>
      <c r="Y1009" t="s" s="10">
        <v>69</v>
      </c>
      <c r="Z1009" t="s" s="10">
        <v>3988</v>
      </c>
      <c r="AA1009" s="11"/>
      <c r="AB1009" t="s" s="10">
        <v>3988</v>
      </c>
      <c r="AC1009" s="11"/>
      <c r="AD1009" s="11"/>
      <c r="AE1009" s="11"/>
      <c r="AF1009" t="s" s="10">
        <v>3972</v>
      </c>
      <c r="AG1009" t="s" s="10">
        <v>299</v>
      </c>
      <c r="AH1009" t="s" s="10">
        <v>114</v>
      </c>
      <c r="AI1009" t="s" s="10">
        <v>332</v>
      </c>
      <c r="AJ1009" t="s" s="10">
        <v>523</v>
      </c>
      <c r="AK1009" t="s" s="10">
        <v>83</v>
      </c>
      <c r="AL1009" t="s" s="10">
        <v>293</v>
      </c>
      <c r="AM1009" t="s" s="10">
        <v>294</v>
      </c>
      <c r="AN1009" t="s" s="10">
        <v>3549</v>
      </c>
      <c r="AO1009" s="18">
        <v>4</v>
      </c>
      <c r="AP1009" s="18">
        <v>8192</v>
      </c>
      <c r="AQ1009" s="18">
        <v>213110</v>
      </c>
      <c r="AR1009" s="18">
        <v>44375</v>
      </c>
      <c r="AS1009" t="s" s="10">
        <v>3992</v>
      </c>
      <c r="AT1009" s="11"/>
      <c r="AU1009" s="11"/>
      <c r="AV1009" s="11"/>
      <c r="AW1009" s="11"/>
      <c r="AX1009" s="11"/>
      <c r="AY1009" s="11"/>
      <c r="AZ1009" s="11"/>
      <c r="BA1009" s="11"/>
      <c r="BB1009" s="11"/>
      <c r="BC1009" s="11"/>
      <c r="BD1009" t="s" s="10">
        <v>310</v>
      </c>
      <c r="BE1009" t="s" s="10">
        <v>356</v>
      </c>
      <c r="BF1009" s="18">
        <v>4</v>
      </c>
      <c r="BG1009" s="18">
        <v>8</v>
      </c>
      <c r="BH1009" s="11"/>
      <c r="BI1009" s="11"/>
      <c r="BJ1009" s="11"/>
      <c r="BK1009" s="11"/>
      <c r="BL1009" s="11"/>
      <c r="BM1009" s="11"/>
      <c r="BN1009" t="s" s="10">
        <v>69</v>
      </c>
      <c r="BO1009" s="12"/>
      <c r="BP1009" s="8"/>
    </row>
    <row r="1010" ht="9" customHeight="1" hidden="1">
      <c r="A1010" t="s" s="13">
        <v>3993</v>
      </c>
      <c r="B1010" s="14"/>
      <c r="C1010" t="str" s="14" cm="1">
        <f t="array" ref="C1010">_xlfn.IFERROR((VLOOKUP(A1010,#REF!,2,FALSE)),"")</f>
      </c>
      <c r="D1010" s="14"/>
      <c r="E1010" s="14"/>
      <c r="F1010" s="14"/>
      <c r="G1010" t="s" s="15">
        <v>3994</v>
      </c>
      <c r="H1010" t="s" s="15">
        <v>3994</v>
      </c>
      <c r="I1010" t="s" s="15">
        <v>111</v>
      </c>
      <c r="J1010" t="s" s="15">
        <v>122</v>
      </c>
      <c r="K1010" t="s" s="15">
        <v>351</v>
      </c>
      <c r="L1010" t="s" s="15">
        <v>76</v>
      </c>
      <c r="M1010" t="s" s="15">
        <v>3994</v>
      </c>
      <c r="N1010" t="s" s="15">
        <v>3994</v>
      </c>
      <c r="O1010" s="14"/>
      <c r="P1010" t="s" s="15">
        <v>122</v>
      </c>
      <c r="Q1010" t="s" s="15">
        <v>69</v>
      </c>
      <c r="R1010" t="s" s="15">
        <v>83</v>
      </c>
      <c r="S1010" s="14"/>
      <c r="T1010" s="14"/>
      <c r="U1010" s="14"/>
      <c r="V1010" t="s" s="15">
        <v>69</v>
      </c>
      <c r="W1010" s="14"/>
      <c r="X1010" t="s" s="15">
        <v>69</v>
      </c>
      <c r="Y1010" s="14"/>
      <c r="Z1010" t="s" s="15">
        <v>76</v>
      </c>
      <c r="AA1010" s="14"/>
      <c r="AB1010" t="s" s="15">
        <v>76</v>
      </c>
      <c r="AC1010" t="s" s="15">
        <v>3993</v>
      </c>
      <c r="AD1010" t="s" s="15">
        <v>3995</v>
      </c>
      <c r="AE1010" s="14"/>
      <c r="AF1010" s="14"/>
      <c r="AG1010" t="s" s="15">
        <v>299</v>
      </c>
      <c r="AH1010" t="s" s="15">
        <v>106</v>
      </c>
      <c r="AI1010" t="s" s="15">
        <v>76</v>
      </c>
      <c r="AJ1010" t="s" s="15">
        <v>76</v>
      </c>
      <c r="AK1010" t="s" s="15">
        <v>79</v>
      </c>
      <c r="AL1010" t="s" s="15">
        <v>293</v>
      </c>
      <c r="AM1010" t="s" s="15">
        <v>294</v>
      </c>
      <c r="AN1010" t="s" s="15">
        <v>187</v>
      </c>
      <c r="AO1010" s="17">
        <v>4</v>
      </c>
      <c r="AP1010" s="17">
        <v>8192</v>
      </c>
      <c r="AQ1010" s="17">
        <v>213101</v>
      </c>
      <c r="AR1010" s="17">
        <v>213101</v>
      </c>
      <c r="AS1010" t="s" s="15">
        <v>3996</v>
      </c>
      <c r="AT1010" t="s" s="15">
        <v>301</v>
      </c>
      <c r="AU1010" s="14"/>
      <c r="AV1010" s="14"/>
      <c r="AW1010" s="14"/>
      <c r="AX1010" s="14"/>
      <c r="AY1010" s="14"/>
      <c r="AZ1010" s="14"/>
      <c r="BA1010" s="14"/>
      <c r="BB1010" s="14"/>
      <c r="BC1010" s="14"/>
      <c r="BD1010" s="14"/>
      <c r="BE1010" s="14"/>
      <c r="BF1010" s="14"/>
      <c r="BG1010" s="14"/>
      <c r="BH1010" s="14"/>
      <c r="BI1010" s="14"/>
      <c r="BJ1010" s="14"/>
      <c r="BK1010" s="14"/>
      <c r="BL1010" s="14"/>
      <c r="BM1010" s="14"/>
      <c r="BN1010" t="s" s="15">
        <v>78</v>
      </c>
      <c r="BO1010" s="16"/>
      <c r="BP1010" s="8"/>
    </row>
    <row r="1011" ht="15" customHeight="1">
      <c r="A1011" t="s" s="9">
        <v>3997</v>
      </c>
      <c r="B1011" s="11"/>
      <c r="C1011" t="str" s="11" cm="1">
        <f t="array" ref="C1011">_xlfn.IFERROR((VLOOKUP(A1011,#REF!,2,FALSE)),"")</f>
      </c>
      <c r="D1011" s="11"/>
      <c r="E1011" t="s" s="10">
        <v>3998</v>
      </c>
      <c r="F1011" s="11"/>
      <c r="G1011" t="s" s="10">
        <v>3999</v>
      </c>
      <c r="H1011" t="s" s="10">
        <v>4000</v>
      </c>
      <c r="I1011" t="s" s="10">
        <v>111</v>
      </c>
      <c r="J1011" t="s" s="10">
        <v>122</v>
      </c>
      <c r="K1011" t="s" s="10">
        <v>113</v>
      </c>
      <c r="L1011" t="s" s="10">
        <v>4001</v>
      </c>
      <c r="M1011" t="s" s="10">
        <v>3999</v>
      </c>
      <c r="N1011" t="s" s="10">
        <v>3999</v>
      </c>
      <c r="O1011" s="11"/>
      <c r="P1011" t="s" s="10">
        <v>122</v>
      </c>
      <c r="Q1011" t="s" s="10">
        <v>69</v>
      </c>
      <c r="R1011" t="s" s="10">
        <v>83</v>
      </c>
      <c r="S1011" s="11"/>
      <c r="T1011" s="11"/>
      <c r="U1011" s="11"/>
      <c r="V1011" t="s" s="10">
        <v>69</v>
      </c>
      <c r="W1011" s="11"/>
      <c r="X1011" t="s" s="10">
        <v>69</v>
      </c>
      <c r="Y1011" s="11"/>
      <c r="Z1011" t="s" s="10">
        <v>2866</v>
      </c>
      <c r="AA1011" s="11"/>
      <c r="AB1011" t="s" s="10">
        <v>4002</v>
      </c>
      <c r="AC1011" t="s" s="10">
        <v>3997</v>
      </c>
      <c r="AD1011" t="s" s="10">
        <v>4003</v>
      </c>
      <c r="AE1011" s="11"/>
      <c r="AF1011" t="s" s="10">
        <v>4000</v>
      </c>
      <c r="AG1011" t="s" s="10">
        <v>299</v>
      </c>
      <c r="AH1011" t="s" s="10">
        <v>114</v>
      </c>
      <c r="AI1011" t="s" s="10">
        <v>332</v>
      </c>
      <c r="AJ1011" t="s" s="10">
        <v>523</v>
      </c>
      <c r="AK1011" t="s" s="10">
        <v>83</v>
      </c>
      <c r="AL1011" t="s" s="10">
        <v>293</v>
      </c>
      <c r="AM1011" t="s" s="10">
        <v>294</v>
      </c>
      <c r="AN1011" t="s" s="10">
        <v>187</v>
      </c>
      <c r="AO1011" s="18">
        <v>4</v>
      </c>
      <c r="AP1011" s="18">
        <v>32768</v>
      </c>
      <c r="AQ1011" s="18">
        <v>237832</v>
      </c>
      <c r="AR1011" s="18">
        <v>98872</v>
      </c>
      <c r="AS1011" t="s" s="10">
        <v>4004</v>
      </c>
      <c r="AT1011" t="s" s="10">
        <v>301</v>
      </c>
      <c r="AU1011" s="11"/>
      <c r="AV1011" s="11"/>
      <c r="AW1011" s="11"/>
      <c r="AX1011" s="11"/>
      <c r="AY1011" s="11"/>
      <c r="AZ1011" s="11"/>
      <c r="BA1011" s="11"/>
      <c r="BB1011" s="11"/>
      <c r="BC1011" s="11"/>
      <c r="BD1011" t="s" s="10">
        <v>428</v>
      </c>
      <c r="BE1011" t="s" s="10">
        <v>1482</v>
      </c>
      <c r="BF1011" s="18">
        <v>4</v>
      </c>
      <c r="BG1011" s="18">
        <v>32</v>
      </c>
      <c r="BH1011" s="11"/>
      <c r="BI1011" s="11"/>
      <c r="BJ1011" s="11"/>
      <c r="BK1011" s="11"/>
      <c r="BL1011" s="11"/>
      <c r="BM1011" s="11"/>
      <c r="BN1011" t="s" s="10">
        <v>69</v>
      </c>
      <c r="BO1011" s="12"/>
      <c r="BP1011" s="8"/>
    </row>
    <row r="1012" ht="9" customHeight="1" hidden="1">
      <c r="A1012" t="s" s="13">
        <v>4005</v>
      </c>
      <c r="B1012" s="14"/>
      <c r="C1012" t="str" s="14" cm="1">
        <f t="array" ref="C1012">_xlfn.IFERROR((VLOOKUP(A1012,#REF!,2,FALSE)),"")</f>
      </c>
      <c r="D1012" s="14"/>
      <c r="E1012" t="s" s="15">
        <v>4006</v>
      </c>
      <c r="F1012" s="14"/>
      <c r="G1012" t="s" s="15">
        <v>4007</v>
      </c>
      <c r="H1012" t="s" s="15">
        <v>4008</v>
      </c>
      <c r="I1012" t="s" s="15">
        <v>111</v>
      </c>
      <c r="J1012" t="s" s="15">
        <v>322</v>
      </c>
      <c r="K1012" t="s" s="15">
        <v>113</v>
      </c>
      <c r="L1012" t="s" s="15">
        <v>76</v>
      </c>
      <c r="M1012" t="s" s="15">
        <v>4007</v>
      </c>
      <c r="N1012" t="s" s="15">
        <v>4007</v>
      </c>
      <c r="O1012" s="14"/>
      <c r="P1012" t="s" s="15">
        <v>322</v>
      </c>
      <c r="Q1012" t="s" s="15">
        <v>69</v>
      </c>
      <c r="R1012" t="s" s="15">
        <v>83</v>
      </c>
      <c r="S1012" s="14"/>
      <c r="T1012" s="14"/>
      <c r="U1012" s="14"/>
      <c r="V1012" t="s" s="15">
        <v>69</v>
      </c>
      <c r="W1012" s="14"/>
      <c r="X1012" t="s" s="15">
        <v>69</v>
      </c>
      <c r="Y1012" s="14"/>
      <c r="Z1012" t="s" s="15">
        <v>76</v>
      </c>
      <c r="AA1012" s="14"/>
      <c r="AB1012" t="s" s="15">
        <v>76</v>
      </c>
      <c r="AC1012" t="s" s="24">
        <v>4005</v>
      </c>
      <c r="AD1012" t="s" s="15">
        <v>4009</v>
      </c>
      <c r="AE1012" s="14"/>
      <c r="AF1012" s="14"/>
      <c r="AG1012" t="s" s="15">
        <v>299</v>
      </c>
      <c r="AH1012" t="s" s="15">
        <v>106</v>
      </c>
      <c r="AI1012" t="s" s="15">
        <v>76</v>
      </c>
      <c r="AJ1012" t="s" s="15">
        <v>76</v>
      </c>
      <c r="AK1012" t="s" s="15">
        <v>79</v>
      </c>
      <c r="AL1012" t="s" s="15">
        <v>293</v>
      </c>
      <c r="AM1012" t="s" s="15">
        <v>294</v>
      </c>
      <c r="AN1012" t="s" s="15">
        <v>187</v>
      </c>
      <c r="AO1012" s="17">
        <v>4</v>
      </c>
      <c r="AP1012" s="17">
        <v>32768</v>
      </c>
      <c r="AQ1012" s="17">
        <v>237812</v>
      </c>
      <c r="AR1012" s="17">
        <v>71717</v>
      </c>
      <c r="AS1012" t="s" s="15">
        <v>4010</v>
      </c>
      <c r="AT1012" t="s" s="15">
        <v>301</v>
      </c>
      <c r="AU1012" s="14"/>
      <c r="AV1012" s="14"/>
      <c r="AW1012" s="14"/>
      <c r="AX1012" s="14"/>
      <c r="AY1012" s="14"/>
      <c r="AZ1012" s="14"/>
      <c r="BA1012" s="14"/>
      <c r="BB1012" s="14"/>
      <c r="BC1012" s="14"/>
      <c r="BD1012" s="14"/>
      <c r="BE1012" s="14"/>
      <c r="BF1012" s="14"/>
      <c r="BG1012" s="14"/>
      <c r="BH1012" s="14"/>
      <c r="BI1012" s="14"/>
      <c r="BJ1012" s="14"/>
      <c r="BK1012" s="14"/>
      <c r="BL1012" s="14"/>
      <c r="BM1012" s="14"/>
      <c r="BN1012" t="s" s="15">
        <v>78</v>
      </c>
      <c r="BO1012" s="16"/>
      <c r="BP1012" s="8"/>
    </row>
    <row r="1013" ht="9" customHeight="1" hidden="1">
      <c r="A1013" t="s" s="9">
        <v>4011</v>
      </c>
      <c r="B1013" s="11"/>
      <c r="C1013" t="str" s="11" cm="1">
        <f t="array" ref="C1013">_xlfn.IFERROR((VLOOKUP(A1013,#REF!,2,FALSE)),"")</f>
      </c>
      <c r="D1013" s="11"/>
      <c r="E1013" t="s" s="10">
        <v>4012</v>
      </c>
      <c r="F1013" s="11"/>
      <c r="G1013" t="s" s="10">
        <v>4013</v>
      </c>
      <c r="H1013" t="s" s="10">
        <v>4013</v>
      </c>
      <c r="I1013" t="s" s="10">
        <v>73</v>
      </c>
      <c r="J1013" t="s" s="10">
        <v>74</v>
      </c>
      <c r="K1013" t="s" s="10">
        <v>113</v>
      </c>
      <c r="L1013" t="s" s="10">
        <v>76</v>
      </c>
      <c r="M1013" t="s" s="10">
        <v>4013</v>
      </c>
      <c r="N1013" t="s" s="10">
        <v>4013</v>
      </c>
      <c r="O1013" t="s" s="10">
        <v>71</v>
      </c>
      <c r="P1013" t="s" s="10">
        <v>74</v>
      </c>
      <c r="Q1013" t="s" s="10">
        <v>78</v>
      </c>
      <c r="R1013" t="s" s="10">
        <v>71</v>
      </c>
      <c r="S1013" s="11"/>
      <c r="T1013" s="11"/>
      <c r="U1013" s="11"/>
      <c r="V1013" t="s" s="10">
        <v>69</v>
      </c>
      <c r="W1013" t="s" s="10">
        <v>4011</v>
      </c>
      <c r="X1013" t="s" s="10">
        <v>69</v>
      </c>
      <c r="Y1013" s="11"/>
      <c r="Z1013" t="s" s="10">
        <v>76</v>
      </c>
      <c r="AA1013" s="11"/>
      <c r="AB1013" t="s" s="10">
        <v>76</v>
      </c>
      <c r="AC1013" s="11"/>
      <c r="AD1013" t="s" s="10">
        <v>2683</v>
      </c>
      <c r="AE1013" s="11"/>
      <c r="AF1013" s="11"/>
      <c r="AG1013" t="s" s="10">
        <v>299</v>
      </c>
      <c r="AH1013" t="s" s="10">
        <v>114</v>
      </c>
      <c r="AI1013" t="s" s="10">
        <v>76</v>
      </c>
      <c r="AJ1013" t="s" s="10">
        <v>76</v>
      </c>
      <c r="AK1013" t="s" s="10">
        <v>79</v>
      </c>
      <c r="AL1013" s="11"/>
      <c r="AM1013" s="11"/>
      <c r="AN1013" t="s" s="10">
        <v>187</v>
      </c>
      <c r="AO1013" s="11"/>
      <c r="AP1013" s="11"/>
      <c r="AQ1013" s="11"/>
      <c r="AR1013" s="11"/>
      <c r="AS1013" t="s" s="10">
        <v>2684</v>
      </c>
      <c r="AT1013" t="s" s="10">
        <v>301</v>
      </c>
      <c r="AU1013" s="11"/>
      <c r="AV1013" s="11"/>
      <c r="AW1013" s="11"/>
      <c r="AX1013" s="11"/>
      <c r="AY1013" s="11"/>
      <c r="AZ1013" s="11"/>
      <c r="BA1013" s="11"/>
      <c r="BB1013" s="11"/>
      <c r="BC1013" s="11"/>
      <c r="BD1013" t="s" s="10">
        <v>118</v>
      </c>
      <c r="BE1013" s="11"/>
      <c r="BF1013" s="11"/>
      <c r="BG1013" s="11"/>
      <c r="BH1013" s="11"/>
      <c r="BI1013" s="11"/>
      <c r="BJ1013" s="11"/>
      <c r="BK1013" s="11"/>
      <c r="BL1013" s="11"/>
      <c r="BM1013" s="11"/>
      <c r="BN1013" s="11"/>
      <c r="BO1013" s="12"/>
      <c r="BP1013" s="8"/>
    </row>
    <row r="1014" ht="9" customHeight="1" hidden="1">
      <c r="A1014" t="s" s="13">
        <v>4014</v>
      </c>
      <c r="B1014" s="14"/>
      <c r="C1014" t="str" s="14" cm="1">
        <f t="array" ref="C1014">_xlfn.IFERROR((VLOOKUP(A1014,#REF!,2,FALSE)),"")</f>
      </c>
      <c r="D1014" s="14"/>
      <c r="E1014" t="s" s="15">
        <v>4015</v>
      </c>
      <c r="F1014" s="14"/>
      <c r="G1014" t="s" s="15">
        <v>4016</v>
      </c>
      <c r="H1014" t="s" s="15">
        <v>4017</v>
      </c>
      <c r="I1014" t="s" s="15">
        <v>111</v>
      </c>
      <c r="J1014" t="s" s="15">
        <v>112</v>
      </c>
      <c r="K1014" t="s" s="15">
        <v>825</v>
      </c>
      <c r="L1014" t="s" s="15">
        <v>76</v>
      </c>
      <c r="M1014" t="s" s="15">
        <v>4016</v>
      </c>
      <c r="N1014" s="14"/>
      <c r="O1014" s="14"/>
      <c r="P1014" t="s" s="15">
        <v>469</v>
      </c>
      <c r="Q1014" t="s" s="15">
        <v>69</v>
      </c>
      <c r="R1014" t="s" s="15">
        <v>83</v>
      </c>
      <c r="S1014" s="14"/>
      <c r="T1014" s="14"/>
      <c r="U1014" s="14"/>
      <c r="V1014" t="s" s="15">
        <v>69</v>
      </c>
      <c r="W1014" s="14"/>
      <c r="X1014" t="s" s="15">
        <v>78</v>
      </c>
      <c r="Y1014" s="14"/>
      <c r="Z1014" t="s" s="15">
        <v>76</v>
      </c>
      <c r="AA1014" s="14"/>
      <c r="AB1014" t="s" s="15">
        <v>76</v>
      </c>
      <c r="AC1014" t="s" s="24">
        <v>4014</v>
      </c>
      <c r="AD1014" t="s" s="15">
        <v>4018</v>
      </c>
      <c r="AE1014" s="14"/>
      <c r="AF1014" s="14"/>
      <c r="AG1014" t="s" s="15">
        <v>299</v>
      </c>
      <c r="AH1014" t="s" s="15">
        <v>114</v>
      </c>
      <c r="AI1014" t="s" s="15">
        <v>76</v>
      </c>
      <c r="AJ1014" t="s" s="15">
        <v>76</v>
      </c>
      <c r="AK1014" t="s" s="15">
        <v>79</v>
      </c>
      <c r="AL1014" t="s" s="15">
        <v>293</v>
      </c>
      <c r="AM1014" t="s" s="15">
        <v>294</v>
      </c>
      <c r="AN1014" t="s" s="15">
        <v>1418</v>
      </c>
      <c r="AO1014" s="17">
        <v>4</v>
      </c>
      <c r="AP1014" s="17">
        <v>8192</v>
      </c>
      <c r="AQ1014" s="17">
        <v>213111</v>
      </c>
      <c r="AR1014" s="17">
        <v>213111</v>
      </c>
      <c r="AS1014" t="s" s="15">
        <v>4019</v>
      </c>
      <c r="AT1014" t="s" s="15">
        <v>301</v>
      </c>
      <c r="AU1014" s="14"/>
      <c r="AV1014" s="14"/>
      <c r="AW1014" s="14"/>
      <c r="AX1014" s="14"/>
      <c r="AY1014" s="14"/>
      <c r="AZ1014" s="14"/>
      <c r="BA1014" s="14"/>
      <c r="BB1014" s="14"/>
      <c r="BC1014" s="14"/>
      <c r="BD1014" t="s" s="15">
        <v>310</v>
      </c>
      <c r="BE1014" t="s" s="15">
        <v>356</v>
      </c>
      <c r="BF1014" s="17">
        <v>4</v>
      </c>
      <c r="BG1014" s="17">
        <v>8</v>
      </c>
      <c r="BH1014" s="14"/>
      <c r="BI1014" s="14"/>
      <c r="BJ1014" s="14"/>
      <c r="BK1014" s="14"/>
      <c r="BL1014" s="14"/>
      <c r="BM1014" s="14"/>
      <c r="BN1014" t="s" s="15">
        <v>78</v>
      </c>
      <c r="BO1014" s="16"/>
      <c r="BP1014" s="8"/>
    </row>
    <row r="1015" ht="9" customHeight="1" hidden="1">
      <c r="A1015" t="s" s="9">
        <v>4020</v>
      </c>
      <c r="B1015" s="11"/>
      <c r="C1015" t="str" s="11" cm="1">
        <f t="array" ref="C1015">_xlfn.IFERROR((VLOOKUP(A1015,#REF!,2,FALSE)),"")</f>
      </c>
      <c r="D1015" s="11"/>
      <c r="E1015" s="11"/>
      <c r="F1015" s="11"/>
      <c r="G1015" t="s" s="10">
        <v>4021</v>
      </c>
      <c r="H1015" t="s" s="10">
        <v>4021</v>
      </c>
      <c r="I1015" t="s" s="10">
        <v>111</v>
      </c>
      <c r="J1015" t="s" s="10">
        <v>122</v>
      </c>
      <c r="K1015" t="s" s="10">
        <v>825</v>
      </c>
      <c r="L1015" t="s" s="10">
        <v>76</v>
      </c>
      <c r="M1015" t="s" s="10">
        <v>4022</v>
      </c>
      <c r="N1015" s="11"/>
      <c r="O1015" s="11"/>
      <c r="P1015" t="s" s="10">
        <v>122</v>
      </c>
      <c r="Q1015" t="s" s="10">
        <v>69</v>
      </c>
      <c r="R1015" t="s" s="10">
        <v>83</v>
      </c>
      <c r="S1015" s="11"/>
      <c r="T1015" s="11"/>
      <c r="U1015" s="11"/>
      <c r="V1015" t="s" s="10">
        <v>69</v>
      </c>
      <c r="W1015" s="11"/>
      <c r="X1015" t="s" s="10">
        <v>78</v>
      </c>
      <c r="Y1015" s="11"/>
      <c r="Z1015" t="s" s="10">
        <v>76</v>
      </c>
      <c r="AA1015" s="11"/>
      <c r="AB1015" t="s" s="10">
        <v>76</v>
      </c>
      <c r="AC1015" t="s" s="10">
        <v>4020</v>
      </c>
      <c r="AD1015" t="s" s="10">
        <v>4023</v>
      </c>
      <c r="AE1015" s="11"/>
      <c r="AF1015" s="11"/>
      <c r="AG1015" t="s" s="10">
        <v>299</v>
      </c>
      <c r="AH1015" t="s" s="10">
        <v>114</v>
      </c>
      <c r="AI1015" t="s" s="10">
        <v>76</v>
      </c>
      <c r="AJ1015" t="s" s="10">
        <v>76</v>
      </c>
      <c r="AK1015" t="s" s="10">
        <v>79</v>
      </c>
      <c r="AL1015" t="s" s="10">
        <v>293</v>
      </c>
      <c r="AM1015" t="s" s="10">
        <v>294</v>
      </c>
      <c r="AN1015" t="s" s="10">
        <v>187</v>
      </c>
      <c r="AO1015" s="18">
        <v>4</v>
      </c>
      <c r="AP1015" s="18">
        <v>8192</v>
      </c>
      <c r="AQ1015" s="18">
        <v>213122</v>
      </c>
      <c r="AR1015" s="18">
        <v>38368</v>
      </c>
      <c r="AS1015" t="s" s="10">
        <v>4024</v>
      </c>
      <c r="AT1015" t="s" s="10">
        <v>301</v>
      </c>
      <c r="AU1015" s="11"/>
      <c r="AV1015" s="11"/>
      <c r="AW1015" s="11"/>
      <c r="AX1015" s="11"/>
      <c r="AY1015" s="11"/>
      <c r="AZ1015" s="11"/>
      <c r="BA1015" s="11"/>
      <c r="BB1015" s="11"/>
      <c r="BC1015" s="11"/>
      <c r="BD1015" t="s" s="10">
        <v>310</v>
      </c>
      <c r="BE1015" t="s" s="10">
        <v>356</v>
      </c>
      <c r="BF1015" s="18">
        <v>4</v>
      </c>
      <c r="BG1015" s="18">
        <v>8</v>
      </c>
      <c r="BH1015" s="11"/>
      <c r="BI1015" s="11"/>
      <c r="BJ1015" s="11"/>
      <c r="BK1015" s="11"/>
      <c r="BL1015" s="11"/>
      <c r="BM1015" s="11"/>
      <c r="BN1015" t="s" s="10">
        <v>78</v>
      </c>
      <c r="BO1015" s="12"/>
      <c r="BP1015" s="8"/>
    </row>
    <row r="1016" ht="9" customHeight="1" hidden="1">
      <c r="A1016" t="s" s="13">
        <v>4025</v>
      </c>
      <c r="B1016" s="14"/>
      <c r="C1016" t="str" s="14" cm="1">
        <f t="array" ref="C1016">_xlfn.IFERROR((VLOOKUP(A1016,#REF!,2,FALSE)),"")</f>
      </c>
      <c r="D1016" t="s" s="15">
        <v>70</v>
      </c>
      <c r="E1016" t="s" s="15">
        <v>71</v>
      </c>
      <c r="F1016" s="14"/>
      <c r="G1016" s="14"/>
      <c r="H1016" s="14"/>
      <c r="I1016" t="s" s="15">
        <v>82</v>
      </c>
      <c r="J1016" t="s" s="15">
        <v>82</v>
      </c>
      <c r="K1016" t="s" s="15">
        <v>82</v>
      </c>
      <c r="L1016" t="s" s="15">
        <v>76</v>
      </c>
      <c r="M1016" t="s" s="15">
        <v>77</v>
      </c>
      <c r="N1016" s="14"/>
      <c r="O1016" t="s" s="15">
        <v>71</v>
      </c>
      <c r="P1016" s="14"/>
      <c r="Q1016" t="s" s="15">
        <v>78</v>
      </c>
      <c r="R1016" t="s" s="15">
        <v>83</v>
      </c>
      <c r="S1016" s="14"/>
      <c r="T1016" s="14"/>
      <c r="U1016" s="14"/>
      <c r="V1016" t="s" s="15">
        <v>78</v>
      </c>
      <c r="W1016" s="14"/>
      <c r="X1016" t="s" s="15">
        <v>78</v>
      </c>
      <c r="Y1016" s="14"/>
      <c r="Z1016" t="s" s="15">
        <v>76</v>
      </c>
      <c r="AA1016" s="14"/>
      <c r="AB1016" t="s" s="15">
        <v>76</v>
      </c>
      <c r="AC1016" s="14"/>
      <c r="AD1016" s="14"/>
      <c r="AE1016" s="14"/>
      <c r="AF1016" s="14"/>
      <c r="AG1016" s="14"/>
      <c r="AH1016" s="14"/>
      <c r="AI1016" t="s" s="15">
        <v>76</v>
      </c>
      <c r="AJ1016" t="s" s="15">
        <v>76</v>
      </c>
      <c r="AK1016" t="s" s="15">
        <v>79</v>
      </c>
      <c r="AL1016" t="s" s="15">
        <v>293</v>
      </c>
      <c r="AM1016" t="s" s="15">
        <v>294</v>
      </c>
      <c r="AN1016" s="14"/>
      <c r="AO1016" s="17">
        <v>6</v>
      </c>
      <c r="AP1016" s="17">
        <v>16384</v>
      </c>
      <c r="AQ1016" s="17">
        <v>170069</v>
      </c>
      <c r="AR1016" s="17">
        <v>170069</v>
      </c>
      <c r="AS1016" s="14"/>
      <c r="AT1016" s="14"/>
      <c r="AU1016" s="14"/>
      <c r="AV1016" s="14"/>
      <c r="AW1016" s="14"/>
      <c r="AX1016" s="14"/>
      <c r="AY1016" s="14"/>
      <c r="AZ1016" s="14"/>
      <c r="BA1016" s="14"/>
      <c r="BB1016" s="14"/>
      <c r="BC1016" s="14"/>
      <c r="BD1016" s="14"/>
      <c r="BE1016" s="14"/>
      <c r="BF1016" s="14"/>
      <c r="BG1016" s="14"/>
      <c r="BH1016" s="14"/>
      <c r="BI1016" s="14"/>
      <c r="BJ1016" s="14"/>
      <c r="BK1016" s="14"/>
      <c r="BL1016" s="14"/>
      <c r="BM1016" s="14"/>
      <c r="BN1016" s="14"/>
      <c r="BO1016" s="16"/>
      <c r="BP1016" s="8"/>
    </row>
    <row r="1017" ht="9" customHeight="1" hidden="1">
      <c r="A1017" t="s" s="9">
        <v>4026</v>
      </c>
      <c r="B1017" s="11"/>
      <c r="C1017" t="str" s="11" cm="1">
        <f t="array" ref="C1017">_xlfn.IFERROR((VLOOKUP(A1017,#REF!,2,FALSE)),"")</f>
      </c>
      <c r="D1017" s="11"/>
      <c r="E1017" t="s" s="10">
        <v>2398</v>
      </c>
      <c r="F1017" s="11"/>
      <c r="G1017" t="s" s="10">
        <v>4027</v>
      </c>
      <c r="H1017" t="s" s="10">
        <v>550</v>
      </c>
      <c r="I1017" t="s" s="10">
        <v>111</v>
      </c>
      <c r="J1017" t="s" s="10">
        <v>322</v>
      </c>
      <c r="K1017" t="s" s="10">
        <v>113</v>
      </c>
      <c r="L1017" t="s" s="10">
        <v>76</v>
      </c>
      <c r="M1017" s="11"/>
      <c r="N1017" s="11"/>
      <c r="O1017" t="s" s="10">
        <v>322</v>
      </c>
      <c r="P1017" s="11"/>
      <c r="Q1017" s="11"/>
      <c r="R1017" t="s" s="10">
        <v>83</v>
      </c>
      <c r="S1017" s="11"/>
      <c r="T1017" s="11"/>
      <c r="U1017" s="11"/>
      <c r="V1017" s="11"/>
      <c r="W1017" s="11"/>
      <c r="X1017" s="11"/>
      <c r="Y1017" s="11"/>
      <c r="Z1017" t="s" s="10">
        <v>552</v>
      </c>
      <c r="AA1017" s="11"/>
      <c r="AB1017" t="s" s="10">
        <v>553</v>
      </c>
      <c r="AC1017" s="11"/>
      <c r="AD1017" s="11"/>
      <c r="AE1017" s="11"/>
      <c r="AF1017" s="11"/>
      <c r="AG1017" t="s" s="10">
        <v>299</v>
      </c>
      <c r="AH1017" t="s" s="10">
        <v>83</v>
      </c>
      <c r="AI1017" t="s" s="10">
        <v>83</v>
      </c>
      <c r="AJ1017" t="s" s="10">
        <v>83</v>
      </c>
      <c r="AK1017" t="s" s="10">
        <v>83</v>
      </c>
      <c r="AL1017" t="s" s="10">
        <v>293</v>
      </c>
      <c r="AM1017" t="s" s="10">
        <v>294</v>
      </c>
      <c r="AN1017" t="s" s="10">
        <v>2704</v>
      </c>
      <c r="AO1017" s="11"/>
      <c r="AP1017" s="11"/>
      <c r="AQ1017" s="11"/>
      <c r="AR1017" s="11"/>
      <c r="AS1017" t="s" s="10">
        <v>4028</v>
      </c>
      <c r="AT1017" s="11"/>
      <c r="AU1017" s="11"/>
      <c r="AV1017" s="11"/>
      <c r="AW1017" s="11"/>
      <c r="AX1017" s="11"/>
      <c r="AY1017" s="11"/>
      <c r="AZ1017" s="11"/>
      <c r="BA1017" s="11"/>
      <c r="BB1017" s="11"/>
      <c r="BC1017" s="11"/>
      <c r="BD1017" s="11"/>
      <c r="BE1017" s="11"/>
      <c r="BF1017" s="11"/>
      <c r="BG1017" s="11"/>
      <c r="BH1017" s="11"/>
      <c r="BI1017" s="11"/>
      <c r="BJ1017" s="11"/>
      <c r="BK1017" s="11"/>
      <c r="BL1017" s="11"/>
      <c r="BM1017" s="11"/>
      <c r="BN1017" t="s" s="10">
        <v>78</v>
      </c>
      <c r="BO1017" s="12"/>
      <c r="BP1017" s="8"/>
    </row>
    <row r="1018" ht="9" customHeight="1" hidden="1">
      <c r="A1018" t="s" s="13">
        <v>4029</v>
      </c>
      <c r="B1018" s="14"/>
      <c r="C1018" t="str" s="14" cm="1">
        <f t="array" ref="C1018">_xlfn.IFERROR((VLOOKUP(A1018,#REF!,2,FALSE)),"")</f>
      </c>
      <c r="D1018" s="14"/>
      <c r="E1018" t="s" s="15">
        <v>2258</v>
      </c>
      <c r="F1018" s="14"/>
      <c r="G1018" t="s" s="15">
        <v>4030</v>
      </c>
      <c r="H1018" t="s" s="15">
        <v>714</v>
      </c>
      <c r="I1018" t="s" s="15">
        <v>111</v>
      </c>
      <c r="J1018" t="s" s="15">
        <v>469</v>
      </c>
      <c r="K1018" s="14"/>
      <c r="L1018" t="s" s="15">
        <v>83</v>
      </c>
      <c r="M1018" s="14"/>
      <c r="N1018" s="14"/>
      <c r="O1018" t="s" s="15">
        <v>1162</v>
      </c>
      <c r="P1018" s="14"/>
      <c r="Q1018" s="14"/>
      <c r="R1018" t="s" s="15">
        <v>76</v>
      </c>
      <c r="S1018" s="14"/>
      <c r="T1018" s="14"/>
      <c r="U1018" s="14"/>
      <c r="V1018" s="14"/>
      <c r="W1018" s="14"/>
      <c r="X1018" s="14"/>
      <c r="Y1018" s="14"/>
      <c r="Z1018" t="s" s="15">
        <v>83</v>
      </c>
      <c r="AA1018" s="14"/>
      <c r="AB1018" t="s" s="15">
        <v>83</v>
      </c>
      <c r="AC1018" s="14"/>
      <c r="AD1018" s="14"/>
      <c r="AE1018" s="14"/>
      <c r="AF1018" s="14"/>
      <c r="AG1018" t="s" s="15">
        <v>299</v>
      </c>
      <c r="AH1018" t="s" s="15">
        <v>83</v>
      </c>
      <c r="AI1018" t="s" s="15">
        <v>83</v>
      </c>
      <c r="AJ1018" t="s" s="15">
        <v>83</v>
      </c>
      <c r="AK1018" t="s" s="15">
        <v>83</v>
      </c>
      <c r="AL1018" t="s" s="15">
        <v>293</v>
      </c>
      <c r="AM1018" t="s" s="15">
        <v>294</v>
      </c>
      <c r="AN1018" t="s" s="15">
        <v>4031</v>
      </c>
      <c r="AO1018" s="14"/>
      <c r="AP1018" s="14"/>
      <c r="AQ1018" s="14"/>
      <c r="AR1018" s="14"/>
      <c r="AS1018" t="s" s="15">
        <v>4032</v>
      </c>
      <c r="AT1018" s="14"/>
      <c r="AU1018" s="14"/>
      <c r="AV1018" s="14"/>
      <c r="AW1018" s="14"/>
      <c r="AX1018" s="14"/>
      <c r="AY1018" s="14"/>
      <c r="AZ1018" s="14"/>
      <c r="BA1018" s="14"/>
      <c r="BB1018" s="14"/>
      <c r="BC1018" s="14"/>
      <c r="BD1018" s="14"/>
      <c r="BE1018" s="14"/>
      <c r="BF1018" s="14"/>
      <c r="BG1018" s="14"/>
      <c r="BH1018" s="14"/>
      <c r="BI1018" s="14"/>
      <c r="BJ1018" s="14"/>
      <c r="BK1018" s="14"/>
      <c r="BL1018" s="14"/>
      <c r="BM1018" s="14"/>
      <c r="BN1018" t="s" s="15">
        <v>78</v>
      </c>
      <c r="BO1018" s="16"/>
      <c r="BP1018" s="8"/>
    </row>
    <row r="1019" ht="9" customHeight="1" hidden="1">
      <c r="A1019" t="s" s="9">
        <v>4033</v>
      </c>
      <c r="B1019" s="11"/>
      <c r="C1019" t="str" s="11" cm="1">
        <f t="array" ref="C1019">_xlfn.IFERROR((VLOOKUP(A1019,#REF!,2,FALSE)),"")</f>
      </c>
      <c r="D1019" s="11"/>
      <c r="E1019" t="s" s="10">
        <v>4034</v>
      </c>
      <c r="F1019" s="11"/>
      <c r="G1019" t="s" s="10">
        <v>4035</v>
      </c>
      <c r="H1019" t="s" s="10">
        <v>4036</v>
      </c>
      <c r="I1019" t="s" s="10">
        <v>82</v>
      </c>
      <c r="J1019" t="s" s="10">
        <v>82</v>
      </c>
      <c r="K1019" t="s" s="10">
        <v>82</v>
      </c>
      <c r="L1019" t="s" s="10">
        <v>76</v>
      </c>
      <c r="M1019" s="11"/>
      <c r="N1019" s="11"/>
      <c r="O1019" t="s" s="10">
        <v>322</v>
      </c>
      <c r="P1019" s="11"/>
      <c r="Q1019" s="11"/>
      <c r="R1019" t="s" s="10">
        <v>83</v>
      </c>
      <c r="S1019" s="11"/>
      <c r="T1019" s="11"/>
      <c r="U1019" s="11"/>
      <c r="V1019" s="11"/>
      <c r="W1019" s="11"/>
      <c r="X1019" s="11"/>
      <c r="Y1019" s="11"/>
      <c r="Z1019" t="s" s="10">
        <v>76</v>
      </c>
      <c r="AA1019" s="11"/>
      <c r="AB1019" t="s" s="10">
        <v>76</v>
      </c>
      <c r="AC1019" s="11"/>
      <c r="AD1019" s="11"/>
      <c r="AE1019" s="11"/>
      <c r="AF1019" s="11"/>
      <c r="AG1019" t="s" s="10">
        <v>299</v>
      </c>
      <c r="AH1019" t="s" s="10">
        <v>83</v>
      </c>
      <c r="AI1019" t="s" s="10">
        <v>83</v>
      </c>
      <c r="AJ1019" t="s" s="10">
        <v>83</v>
      </c>
      <c r="AK1019" t="s" s="10">
        <v>83</v>
      </c>
      <c r="AL1019" t="s" s="10">
        <v>293</v>
      </c>
      <c r="AM1019" t="s" s="10">
        <v>294</v>
      </c>
      <c r="AN1019" s="11"/>
      <c r="AO1019" s="11"/>
      <c r="AP1019" s="11"/>
      <c r="AQ1019" s="11"/>
      <c r="AR1019" s="11"/>
      <c r="AS1019" t="s" s="10">
        <v>4032</v>
      </c>
      <c r="AT1019" s="11"/>
      <c r="AU1019" s="11"/>
      <c r="AV1019" s="11"/>
      <c r="AW1019" s="11"/>
      <c r="AX1019" s="11"/>
      <c r="AY1019" s="11"/>
      <c r="AZ1019" s="11"/>
      <c r="BA1019" s="11"/>
      <c r="BB1019" s="11"/>
      <c r="BC1019" s="11"/>
      <c r="BD1019" s="11"/>
      <c r="BE1019" s="11"/>
      <c r="BF1019" s="11"/>
      <c r="BG1019" s="11"/>
      <c r="BH1019" s="11"/>
      <c r="BI1019" s="11"/>
      <c r="BJ1019" s="11"/>
      <c r="BK1019" s="11"/>
      <c r="BL1019" s="11"/>
      <c r="BM1019" s="11"/>
      <c r="BN1019" s="11"/>
      <c r="BO1019" s="12"/>
      <c r="BP1019" s="8"/>
    </row>
    <row r="1020" ht="9" customHeight="1" hidden="1">
      <c r="A1020" t="s" s="13">
        <v>4037</v>
      </c>
      <c r="B1020" s="14"/>
      <c r="C1020" t="str" s="14" cm="1">
        <f t="array" ref="C1020">_xlfn.IFERROR((VLOOKUP(A1020,#REF!,2,FALSE)),"")</f>
      </c>
      <c r="D1020" s="14"/>
      <c r="E1020" t="s" s="15">
        <v>4038</v>
      </c>
      <c r="F1020" s="14"/>
      <c r="G1020" t="s" s="15">
        <v>4039</v>
      </c>
      <c r="H1020" t="s" s="15">
        <v>4040</v>
      </c>
      <c r="I1020" t="s" s="15">
        <v>111</v>
      </c>
      <c r="J1020" t="s" s="15">
        <v>122</v>
      </c>
      <c r="K1020" t="s" s="15">
        <v>113</v>
      </c>
      <c r="L1020" t="s" s="15">
        <v>76</v>
      </c>
      <c r="M1020" t="s" s="15">
        <v>4039</v>
      </c>
      <c r="N1020" t="s" s="15">
        <v>4039</v>
      </c>
      <c r="O1020" s="14"/>
      <c r="P1020" t="s" s="15">
        <v>122</v>
      </c>
      <c r="Q1020" t="s" s="15">
        <v>69</v>
      </c>
      <c r="R1020" t="s" s="15">
        <v>83</v>
      </c>
      <c r="S1020" s="14"/>
      <c r="T1020" s="14"/>
      <c r="U1020" s="14"/>
      <c r="V1020" t="s" s="15">
        <v>69</v>
      </c>
      <c r="W1020" s="14"/>
      <c r="X1020" t="s" s="15">
        <v>69</v>
      </c>
      <c r="Y1020" s="14"/>
      <c r="Z1020" t="s" s="15">
        <v>76</v>
      </c>
      <c r="AA1020" s="14"/>
      <c r="AB1020" t="s" s="15">
        <v>76</v>
      </c>
      <c r="AC1020" t="s" s="15">
        <v>4037</v>
      </c>
      <c r="AD1020" t="s" s="15">
        <v>4041</v>
      </c>
      <c r="AE1020" s="14"/>
      <c r="AF1020" s="14"/>
      <c r="AG1020" t="s" s="15">
        <v>299</v>
      </c>
      <c r="AH1020" t="s" s="15">
        <v>114</v>
      </c>
      <c r="AI1020" t="s" s="15">
        <v>76</v>
      </c>
      <c r="AJ1020" t="s" s="15">
        <v>76</v>
      </c>
      <c r="AK1020" t="s" s="15">
        <v>79</v>
      </c>
      <c r="AL1020" t="s" s="15">
        <v>293</v>
      </c>
      <c r="AM1020" t="s" s="15">
        <v>294</v>
      </c>
      <c r="AN1020" t="s" s="15">
        <v>128</v>
      </c>
      <c r="AO1020" s="17">
        <v>4</v>
      </c>
      <c r="AP1020" s="17">
        <v>12288</v>
      </c>
      <c r="AQ1020" s="17">
        <v>114806</v>
      </c>
      <c r="AR1020" s="17">
        <v>114806</v>
      </c>
      <c r="AS1020" t="s" s="15">
        <v>4042</v>
      </c>
      <c r="AT1020" t="s" s="15">
        <v>301</v>
      </c>
      <c r="AU1020" s="14"/>
      <c r="AV1020" s="14"/>
      <c r="AW1020" s="14"/>
      <c r="AX1020" s="14"/>
      <c r="AY1020" s="14"/>
      <c r="AZ1020" s="14"/>
      <c r="BA1020" s="14"/>
      <c r="BB1020" s="14"/>
      <c r="BC1020" s="14"/>
      <c r="BD1020" t="s" s="15">
        <v>310</v>
      </c>
      <c r="BE1020" t="s" s="15">
        <v>394</v>
      </c>
      <c r="BF1020" s="17">
        <v>4</v>
      </c>
      <c r="BG1020" s="17">
        <v>16</v>
      </c>
      <c r="BH1020" s="14"/>
      <c r="BI1020" s="14"/>
      <c r="BJ1020" s="14"/>
      <c r="BK1020" s="14"/>
      <c r="BL1020" s="14"/>
      <c r="BM1020" s="14"/>
      <c r="BN1020" t="s" s="15">
        <v>69</v>
      </c>
      <c r="BO1020" s="16"/>
      <c r="BP1020" s="8"/>
    </row>
    <row r="1021" ht="13.55" customHeight="1">
      <c r="A1021" t="s" s="9">
        <v>4043</v>
      </c>
      <c r="B1021" s="11"/>
      <c r="C1021" t="str" s="11" cm="1">
        <f t="array" ref="C1021">_xlfn.IFERROR((VLOOKUP(A1021,#REF!,2,FALSE)),"")</f>
      </c>
      <c r="D1021" s="11"/>
      <c r="E1021" t="s" s="10">
        <v>4044</v>
      </c>
      <c r="F1021" s="11"/>
      <c r="G1021" t="s" s="10">
        <v>4045</v>
      </c>
      <c r="H1021" t="s" s="10">
        <v>4045</v>
      </c>
      <c r="I1021" t="s" s="10">
        <v>111</v>
      </c>
      <c r="J1021" t="s" s="10">
        <v>122</v>
      </c>
      <c r="K1021" t="s" s="10">
        <v>113</v>
      </c>
      <c r="L1021" t="s" s="10">
        <v>4046</v>
      </c>
      <c r="M1021" t="s" s="10">
        <v>4047</v>
      </c>
      <c r="N1021" t="s" s="10">
        <v>4047</v>
      </c>
      <c r="O1021" s="11"/>
      <c r="P1021" t="s" s="10">
        <v>122</v>
      </c>
      <c r="Q1021" t="s" s="10">
        <v>69</v>
      </c>
      <c r="R1021" t="s" s="10">
        <v>83</v>
      </c>
      <c r="S1021" s="11"/>
      <c r="T1021" s="11"/>
      <c r="U1021" s="11"/>
      <c r="V1021" t="s" s="10">
        <v>69</v>
      </c>
      <c r="W1021" s="11"/>
      <c r="X1021" t="s" s="10">
        <v>69</v>
      </c>
      <c r="Y1021" s="11"/>
      <c r="Z1021" t="s" s="10">
        <v>3988</v>
      </c>
      <c r="AA1021" s="11"/>
      <c r="AB1021" t="s" s="10">
        <v>4048</v>
      </c>
      <c r="AC1021" t="s" s="10">
        <v>4043</v>
      </c>
      <c r="AD1021" t="s" s="10">
        <v>4049</v>
      </c>
      <c r="AE1021" s="11"/>
      <c r="AF1021" t="s" s="10">
        <v>4050</v>
      </c>
      <c r="AG1021" t="s" s="10">
        <v>299</v>
      </c>
      <c r="AH1021" t="s" s="10">
        <v>114</v>
      </c>
      <c r="AI1021" t="s" s="10">
        <v>332</v>
      </c>
      <c r="AJ1021" t="s" s="10">
        <v>827</v>
      </c>
      <c r="AK1021" t="s" s="10">
        <v>83</v>
      </c>
      <c r="AL1021" t="s" s="10">
        <v>293</v>
      </c>
      <c r="AM1021" t="s" s="10">
        <v>294</v>
      </c>
      <c r="AN1021" t="s" s="10">
        <v>128</v>
      </c>
      <c r="AO1021" s="18">
        <v>4</v>
      </c>
      <c r="AP1021" s="18">
        <v>8192</v>
      </c>
      <c r="AQ1021" s="18">
        <v>469083</v>
      </c>
      <c r="AR1021" s="18">
        <v>469083</v>
      </c>
      <c r="AS1021" t="s" s="10">
        <v>4051</v>
      </c>
      <c r="AT1021" t="s" s="10">
        <v>301</v>
      </c>
      <c r="AU1021" s="11"/>
      <c r="AV1021" s="11"/>
      <c r="AW1021" s="11"/>
      <c r="AX1021" s="11"/>
      <c r="AY1021" s="11"/>
      <c r="AZ1021" s="11"/>
      <c r="BA1021" s="11"/>
      <c r="BB1021" s="11"/>
      <c r="BC1021" s="11"/>
      <c r="BD1021" t="s" s="10">
        <v>310</v>
      </c>
      <c r="BE1021" t="s" s="10">
        <v>356</v>
      </c>
      <c r="BF1021" s="18">
        <v>4</v>
      </c>
      <c r="BG1021" s="18">
        <v>8</v>
      </c>
      <c r="BH1021" s="11"/>
      <c r="BI1021" s="11"/>
      <c r="BJ1021" s="11"/>
      <c r="BK1021" s="11"/>
      <c r="BL1021" s="11"/>
      <c r="BM1021" s="11"/>
      <c r="BN1021" t="s" s="10">
        <v>69</v>
      </c>
      <c r="BO1021" s="12"/>
      <c r="BP1021" s="8"/>
    </row>
    <row r="1022" ht="9" customHeight="1" hidden="1">
      <c r="A1022" t="s" s="13">
        <v>4052</v>
      </c>
      <c r="B1022" s="14"/>
      <c r="C1022" t="str" s="14" cm="1">
        <f t="array" ref="C1022">_xlfn.IFERROR((VLOOKUP(A1022,#REF!,2,FALSE)),"")</f>
      </c>
      <c r="D1022" s="14"/>
      <c r="E1022" s="14"/>
      <c r="F1022" s="14"/>
      <c r="G1022" t="s" s="15">
        <v>4053</v>
      </c>
      <c r="H1022" t="s" s="15">
        <v>4054</v>
      </c>
      <c r="I1022" t="s" s="15">
        <v>271</v>
      </c>
      <c r="J1022" t="s" s="15">
        <v>74</v>
      </c>
      <c r="K1022" t="s" s="15">
        <v>113</v>
      </c>
      <c r="L1022" t="s" s="15">
        <v>76</v>
      </c>
      <c r="M1022" t="s" s="15">
        <v>4053</v>
      </c>
      <c r="N1022" t="s" s="15">
        <v>4053</v>
      </c>
      <c r="O1022" s="14"/>
      <c r="P1022" t="s" s="15">
        <v>74</v>
      </c>
      <c r="Q1022" t="s" s="15">
        <v>78</v>
      </c>
      <c r="R1022" t="s" s="15">
        <v>83</v>
      </c>
      <c r="S1022" s="14"/>
      <c r="T1022" s="14"/>
      <c r="U1022" s="14"/>
      <c r="V1022" t="s" s="15">
        <v>78</v>
      </c>
      <c r="W1022" s="14"/>
      <c r="X1022" t="s" s="15">
        <v>69</v>
      </c>
      <c r="Y1022" s="14"/>
      <c r="Z1022" t="s" s="15">
        <v>76</v>
      </c>
      <c r="AA1022" s="14"/>
      <c r="AB1022" t="s" s="15">
        <v>76</v>
      </c>
      <c r="AC1022" s="14"/>
      <c r="AD1022" s="14"/>
      <c r="AE1022" s="14"/>
      <c r="AF1022" s="14"/>
      <c r="AG1022" s="14"/>
      <c r="AH1022" t="s" s="15">
        <v>106</v>
      </c>
      <c r="AI1022" t="s" s="15">
        <v>76</v>
      </c>
      <c r="AJ1022" t="s" s="15">
        <v>76</v>
      </c>
      <c r="AK1022" t="s" s="15">
        <v>79</v>
      </c>
      <c r="AL1022" s="14"/>
      <c r="AM1022" s="14"/>
      <c r="AN1022" s="14"/>
      <c r="AO1022" s="14"/>
      <c r="AP1022" s="14"/>
      <c r="AQ1022" s="14"/>
      <c r="AR1022" s="14"/>
      <c r="AS1022" s="14"/>
      <c r="AT1022" s="14"/>
      <c r="AU1022" s="14"/>
      <c r="AV1022" s="14"/>
      <c r="AW1022" s="14"/>
      <c r="AX1022" s="14"/>
      <c r="AY1022" s="14"/>
      <c r="AZ1022" s="14"/>
      <c r="BA1022" s="14"/>
      <c r="BB1022" s="14"/>
      <c r="BC1022" s="14"/>
      <c r="BD1022" s="14"/>
      <c r="BE1022" s="14"/>
      <c r="BF1022" s="14"/>
      <c r="BG1022" s="14"/>
      <c r="BH1022" s="14"/>
      <c r="BI1022" s="14"/>
      <c r="BJ1022" s="14"/>
      <c r="BK1022" s="14"/>
      <c r="BL1022" s="14"/>
      <c r="BM1022" s="14"/>
      <c r="BN1022" t="s" s="15">
        <v>78</v>
      </c>
      <c r="BO1022" s="16"/>
      <c r="BP1022" s="8"/>
    </row>
    <row r="1023" ht="9" customHeight="1" hidden="1">
      <c r="A1023" t="s" s="9">
        <v>4055</v>
      </c>
      <c r="B1023" s="11"/>
      <c r="C1023" t="str" s="11" cm="1">
        <f t="array" ref="C1023">_xlfn.IFERROR((VLOOKUP(A1023,#REF!,2,FALSE)),"")</f>
      </c>
      <c r="D1023" s="11"/>
      <c r="E1023" t="s" s="10">
        <v>4056</v>
      </c>
      <c r="F1023" s="11"/>
      <c r="G1023" t="s" s="10">
        <v>4057</v>
      </c>
      <c r="H1023" t="s" s="10">
        <v>4058</v>
      </c>
      <c r="I1023" t="s" s="10">
        <v>111</v>
      </c>
      <c r="J1023" t="s" s="10">
        <v>122</v>
      </c>
      <c r="K1023" t="s" s="10">
        <v>140</v>
      </c>
      <c r="L1023" t="s" s="10">
        <v>76</v>
      </c>
      <c r="M1023" t="s" s="10">
        <v>4059</v>
      </c>
      <c r="N1023" t="s" s="10">
        <v>4059</v>
      </c>
      <c r="O1023" s="11"/>
      <c r="P1023" t="s" s="10">
        <v>122</v>
      </c>
      <c r="Q1023" t="s" s="10">
        <v>69</v>
      </c>
      <c r="R1023" t="s" s="10">
        <v>83</v>
      </c>
      <c r="S1023" s="11"/>
      <c r="T1023" s="11"/>
      <c r="U1023" s="11"/>
      <c r="V1023" t="s" s="10">
        <v>69</v>
      </c>
      <c r="W1023" s="11"/>
      <c r="X1023" t="s" s="10">
        <v>69</v>
      </c>
      <c r="Y1023" s="11"/>
      <c r="Z1023" t="s" s="10">
        <v>76</v>
      </c>
      <c r="AA1023" s="11"/>
      <c r="AB1023" t="s" s="10">
        <v>76</v>
      </c>
      <c r="AC1023" t="s" s="10">
        <v>4055</v>
      </c>
      <c r="AD1023" t="s" s="10">
        <v>4060</v>
      </c>
      <c r="AE1023" s="11"/>
      <c r="AF1023" t="s" s="10">
        <v>4059</v>
      </c>
      <c r="AG1023" t="s" s="10">
        <v>299</v>
      </c>
      <c r="AH1023" t="s" s="10">
        <v>114</v>
      </c>
      <c r="AI1023" t="s" s="10">
        <v>332</v>
      </c>
      <c r="AJ1023" t="s" s="10">
        <v>798</v>
      </c>
      <c r="AK1023" t="s" s="10">
        <v>83</v>
      </c>
      <c r="AL1023" t="s" s="10">
        <v>293</v>
      </c>
      <c r="AM1023" t="s" s="10">
        <v>294</v>
      </c>
      <c r="AN1023" t="s" s="10">
        <v>128</v>
      </c>
      <c r="AO1023" s="18">
        <v>4</v>
      </c>
      <c r="AP1023" s="18">
        <v>8192</v>
      </c>
      <c r="AQ1023" s="18">
        <v>796763</v>
      </c>
      <c r="AR1023" s="18">
        <v>796763</v>
      </c>
      <c r="AS1023" t="s" s="10">
        <v>4061</v>
      </c>
      <c r="AT1023" t="s" s="10">
        <v>301</v>
      </c>
      <c r="AU1023" s="11"/>
      <c r="AV1023" s="11"/>
      <c r="AW1023" s="11"/>
      <c r="AX1023" s="11"/>
      <c r="AY1023" s="11"/>
      <c r="AZ1023" s="11"/>
      <c r="BA1023" s="11"/>
      <c r="BB1023" s="11"/>
      <c r="BC1023" s="11"/>
      <c r="BD1023" t="s" s="10">
        <v>310</v>
      </c>
      <c r="BE1023" t="s" s="10">
        <v>356</v>
      </c>
      <c r="BF1023" s="18">
        <v>4</v>
      </c>
      <c r="BG1023" s="18">
        <v>8</v>
      </c>
      <c r="BH1023" s="11"/>
      <c r="BI1023" s="11"/>
      <c r="BJ1023" s="11"/>
      <c r="BK1023" s="11"/>
      <c r="BL1023" s="11"/>
      <c r="BM1023" s="11"/>
      <c r="BN1023" t="s" s="10">
        <v>78</v>
      </c>
      <c r="BO1023" s="12"/>
      <c r="BP1023" s="8"/>
    </row>
    <row r="1024" ht="15" customHeight="1">
      <c r="A1024" t="s" s="13">
        <v>4062</v>
      </c>
      <c r="B1024" s="14"/>
      <c r="C1024" t="str" s="14" cm="1">
        <f t="array" ref="C1024">_xlfn.IFERROR((VLOOKUP(A1024,#REF!,2,FALSE)),"")</f>
      </c>
      <c r="D1024" s="14"/>
      <c r="E1024" s="14"/>
      <c r="F1024" s="14"/>
      <c r="G1024" t="s" s="15">
        <v>4063</v>
      </c>
      <c r="H1024" t="s" s="15">
        <v>423</v>
      </c>
      <c r="I1024" t="s" s="15">
        <v>111</v>
      </c>
      <c r="J1024" t="s" s="15">
        <v>122</v>
      </c>
      <c r="K1024" t="s" s="15">
        <v>351</v>
      </c>
      <c r="L1024" t="s" s="15">
        <v>76</v>
      </c>
      <c r="M1024" t="s" s="15">
        <v>4063</v>
      </c>
      <c r="N1024" t="s" s="15">
        <v>4063</v>
      </c>
      <c r="O1024" s="14"/>
      <c r="P1024" t="s" s="15">
        <v>122</v>
      </c>
      <c r="Q1024" t="s" s="15">
        <v>69</v>
      </c>
      <c r="R1024" t="s" s="15">
        <v>83</v>
      </c>
      <c r="S1024" s="14"/>
      <c r="T1024" s="14"/>
      <c r="U1024" s="14"/>
      <c r="V1024" t="s" s="15">
        <v>69</v>
      </c>
      <c r="W1024" s="14"/>
      <c r="X1024" t="s" s="15">
        <v>69</v>
      </c>
      <c r="Y1024" s="14"/>
      <c r="Z1024" t="s" s="15">
        <v>289</v>
      </c>
      <c r="AA1024" s="14"/>
      <c r="AB1024" t="s" s="15">
        <v>425</v>
      </c>
      <c r="AC1024" t="s" s="15">
        <v>4062</v>
      </c>
      <c r="AD1024" t="s" s="15">
        <v>4064</v>
      </c>
      <c r="AE1024" s="14"/>
      <c r="AF1024" t="s" s="15">
        <v>423</v>
      </c>
      <c r="AG1024" t="s" s="15">
        <v>299</v>
      </c>
      <c r="AH1024" t="s" s="15">
        <v>114</v>
      </c>
      <c r="AI1024" t="s" s="15">
        <v>332</v>
      </c>
      <c r="AJ1024" t="s" s="15">
        <v>798</v>
      </c>
      <c r="AK1024" t="s" s="15">
        <v>292</v>
      </c>
      <c r="AL1024" t="s" s="15">
        <v>293</v>
      </c>
      <c r="AM1024" t="s" s="15">
        <v>294</v>
      </c>
      <c r="AN1024" t="s" s="15">
        <v>128</v>
      </c>
      <c r="AO1024" s="17">
        <v>2</v>
      </c>
      <c r="AP1024" s="17">
        <v>4096</v>
      </c>
      <c r="AQ1024" s="17">
        <v>208978</v>
      </c>
      <c r="AR1024" s="17">
        <v>208978</v>
      </c>
      <c r="AS1024" t="s" s="15">
        <v>4065</v>
      </c>
      <c r="AT1024" t="s" s="15">
        <v>301</v>
      </c>
      <c r="AU1024" s="14"/>
      <c r="AV1024" s="14"/>
      <c r="AW1024" s="14"/>
      <c r="AX1024" s="14"/>
      <c r="AY1024" s="14"/>
      <c r="AZ1024" s="14"/>
      <c r="BA1024" s="14"/>
      <c r="BB1024" s="14"/>
      <c r="BC1024" s="14"/>
      <c r="BD1024" t="s" s="15">
        <v>310</v>
      </c>
      <c r="BE1024" t="s" s="15">
        <v>419</v>
      </c>
      <c r="BF1024" s="17">
        <v>2</v>
      </c>
      <c r="BG1024" s="17">
        <v>4</v>
      </c>
      <c r="BH1024" s="14"/>
      <c r="BI1024" s="14"/>
      <c r="BJ1024" s="14"/>
      <c r="BK1024" s="14"/>
      <c r="BL1024" s="14"/>
      <c r="BM1024" s="14"/>
      <c r="BN1024" t="s" s="15">
        <v>69</v>
      </c>
      <c r="BO1024" s="16"/>
      <c r="BP1024" s="8"/>
    </row>
    <row r="1025" ht="15" customHeight="1">
      <c r="A1025" t="s" s="9">
        <v>4066</v>
      </c>
      <c r="B1025" s="11"/>
      <c r="C1025" t="str" s="11" cm="1">
        <f t="array" ref="C1025">_xlfn.IFERROR((VLOOKUP(A1025,#REF!,2,FALSE)),"")</f>
      </c>
      <c r="D1025" s="11"/>
      <c r="E1025" s="11"/>
      <c r="F1025" s="11"/>
      <c r="G1025" t="s" s="10">
        <v>4067</v>
      </c>
      <c r="H1025" t="s" s="10">
        <v>423</v>
      </c>
      <c r="I1025" t="s" s="10">
        <v>111</v>
      </c>
      <c r="J1025" t="s" s="10">
        <v>122</v>
      </c>
      <c r="K1025" t="s" s="10">
        <v>210</v>
      </c>
      <c r="L1025" t="s" s="10">
        <v>76</v>
      </c>
      <c r="M1025" t="s" s="10">
        <v>4067</v>
      </c>
      <c r="N1025" t="s" s="10">
        <v>4067</v>
      </c>
      <c r="O1025" s="11"/>
      <c r="P1025" t="s" s="10">
        <v>122</v>
      </c>
      <c r="Q1025" t="s" s="10">
        <v>69</v>
      </c>
      <c r="R1025" t="s" s="10">
        <v>83</v>
      </c>
      <c r="S1025" s="11"/>
      <c r="T1025" s="11"/>
      <c r="U1025" s="11"/>
      <c r="V1025" t="s" s="10">
        <v>69</v>
      </c>
      <c r="W1025" s="11"/>
      <c r="X1025" t="s" s="10">
        <v>69</v>
      </c>
      <c r="Y1025" s="11"/>
      <c r="Z1025" t="s" s="10">
        <v>289</v>
      </c>
      <c r="AA1025" s="11"/>
      <c r="AB1025" t="s" s="10">
        <v>425</v>
      </c>
      <c r="AC1025" t="s" s="10">
        <v>4066</v>
      </c>
      <c r="AD1025" t="s" s="10">
        <v>4068</v>
      </c>
      <c r="AE1025" s="11"/>
      <c r="AF1025" t="s" s="10">
        <v>423</v>
      </c>
      <c r="AG1025" t="s" s="10">
        <v>299</v>
      </c>
      <c r="AH1025" t="s" s="10">
        <v>114</v>
      </c>
      <c r="AI1025" t="s" s="10">
        <v>332</v>
      </c>
      <c r="AJ1025" t="s" s="10">
        <v>798</v>
      </c>
      <c r="AK1025" t="s" s="10">
        <v>292</v>
      </c>
      <c r="AL1025" t="s" s="10">
        <v>293</v>
      </c>
      <c r="AM1025" t="s" s="10">
        <v>294</v>
      </c>
      <c r="AN1025" t="s" s="10">
        <v>128</v>
      </c>
      <c r="AO1025" s="18">
        <v>4</v>
      </c>
      <c r="AP1025" s="18">
        <v>4096</v>
      </c>
      <c r="AQ1025" s="18">
        <v>208980</v>
      </c>
      <c r="AR1025" s="18">
        <v>208980</v>
      </c>
      <c r="AS1025" t="s" s="10">
        <v>4069</v>
      </c>
      <c r="AT1025" t="s" s="10">
        <v>301</v>
      </c>
      <c r="AU1025" s="11"/>
      <c r="AV1025" s="11"/>
      <c r="AW1025" s="11"/>
      <c r="AX1025" s="11"/>
      <c r="AY1025" s="11"/>
      <c r="AZ1025" s="11"/>
      <c r="BA1025" s="11"/>
      <c r="BB1025" s="11"/>
      <c r="BC1025" s="11"/>
      <c r="BD1025" t="s" s="10">
        <v>310</v>
      </c>
      <c r="BE1025" t="s" s="10">
        <v>356</v>
      </c>
      <c r="BF1025" s="18">
        <v>4</v>
      </c>
      <c r="BG1025" s="18">
        <v>8</v>
      </c>
      <c r="BH1025" s="11"/>
      <c r="BI1025" s="11"/>
      <c r="BJ1025" s="11"/>
      <c r="BK1025" s="11"/>
      <c r="BL1025" s="11"/>
      <c r="BM1025" s="11"/>
      <c r="BN1025" t="s" s="10">
        <v>69</v>
      </c>
      <c r="BO1025" s="12"/>
      <c r="BP1025" s="8"/>
    </row>
    <row r="1026" ht="15" customHeight="1">
      <c r="A1026" t="s" s="13">
        <v>4070</v>
      </c>
      <c r="B1026" s="14"/>
      <c r="C1026" t="str" s="14" cm="1">
        <f t="array" ref="C1026">_xlfn.IFERROR((VLOOKUP(A1026,#REF!,2,FALSE)),"")</f>
      </c>
      <c r="D1026" s="14"/>
      <c r="E1026" s="14"/>
      <c r="F1026" s="14"/>
      <c r="G1026" t="s" s="15">
        <v>4071</v>
      </c>
      <c r="H1026" t="s" s="15">
        <v>423</v>
      </c>
      <c r="I1026" t="s" s="15">
        <v>111</v>
      </c>
      <c r="J1026" t="s" s="15">
        <v>122</v>
      </c>
      <c r="K1026" t="s" s="15">
        <v>210</v>
      </c>
      <c r="L1026" t="s" s="15">
        <v>76</v>
      </c>
      <c r="M1026" t="s" s="15">
        <v>4071</v>
      </c>
      <c r="N1026" t="s" s="15">
        <v>4071</v>
      </c>
      <c r="O1026" s="14"/>
      <c r="P1026" t="s" s="15">
        <v>122</v>
      </c>
      <c r="Q1026" t="s" s="15">
        <v>69</v>
      </c>
      <c r="R1026" t="s" s="15">
        <v>83</v>
      </c>
      <c r="S1026" s="14"/>
      <c r="T1026" s="14"/>
      <c r="U1026" s="14"/>
      <c r="V1026" t="s" s="15">
        <v>69</v>
      </c>
      <c r="W1026" s="14"/>
      <c r="X1026" t="s" s="15">
        <v>69</v>
      </c>
      <c r="Y1026" s="14"/>
      <c r="Z1026" t="s" s="15">
        <v>289</v>
      </c>
      <c r="AA1026" s="14"/>
      <c r="AB1026" t="s" s="15">
        <v>425</v>
      </c>
      <c r="AC1026" t="s" s="15">
        <v>4070</v>
      </c>
      <c r="AD1026" t="s" s="15">
        <v>4072</v>
      </c>
      <c r="AE1026" s="14"/>
      <c r="AF1026" t="s" s="15">
        <v>423</v>
      </c>
      <c r="AG1026" t="s" s="15">
        <v>299</v>
      </c>
      <c r="AH1026" t="s" s="15">
        <v>114</v>
      </c>
      <c r="AI1026" t="s" s="15">
        <v>332</v>
      </c>
      <c r="AJ1026" t="s" s="15">
        <v>798</v>
      </c>
      <c r="AK1026" t="s" s="15">
        <v>292</v>
      </c>
      <c r="AL1026" t="s" s="15">
        <v>293</v>
      </c>
      <c r="AM1026" t="s" s="15">
        <v>294</v>
      </c>
      <c r="AN1026" t="s" s="15">
        <v>128</v>
      </c>
      <c r="AO1026" s="17">
        <v>2</v>
      </c>
      <c r="AP1026" s="17">
        <v>4096</v>
      </c>
      <c r="AQ1026" s="17">
        <v>157778</v>
      </c>
      <c r="AR1026" s="17">
        <v>157778</v>
      </c>
      <c r="AS1026" t="s" s="15">
        <v>4073</v>
      </c>
      <c r="AT1026" t="s" s="15">
        <v>301</v>
      </c>
      <c r="AU1026" s="14"/>
      <c r="AV1026" s="14"/>
      <c r="AW1026" s="14"/>
      <c r="AX1026" s="14"/>
      <c r="AY1026" s="14"/>
      <c r="AZ1026" s="14"/>
      <c r="BA1026" s="14"/>
      <c r="BB1026" s="14"/>
      <c r="BC1026" s="14"/>
      <c r="BD1026" t="s" s="15">
        <v>310</v>
      </c>
      <c r="BE1026" t="s" s="15">
        <v>419</v>
      </c>
      <c r="BF1026" s="17">
        <v>2</v>
      </c>
      <c r="BG1026" s="17">
        <v>4</v>
      </c>
      <c r="BH1026" s="14"/>
      <c r="BI1026" s="14"/>
      <c r="BJ1026" s="14"/>
      <c r="BK1026" s="14"/>
      <c r="BL1026" s="14"/>
      <c r="BM1026" s="14"/>
      <c r="BN1026" t="s" s="15">
        <v>69</v>
      </c>
      <c r="BO1026" s="16"/>
      <c r="BP1026" s="8"/>
    </row>
    <row r="1027" ht="15" customHeight="1">
      <c r="A1027" t="s" s="9">
        <v>4074</v>
      </c>
      <c r="B1027" s="11"/>
      <c r="C1027" t="str" s="11" cm="1">
        <f t="array" ref="C1027">_xlfn.IFERROR((VLOOKUP(A1027,#REF!,2,FALSE)),"")</f>
      </c>
      <c r="D1027" s="11"/>
      <c r="E1027" s="11"/>
      <c r="F1027" s="11"/>
      <c r="G1027" t="s" s="10">
        <v>4075</v>
      </c>
      <c r="H1027" t="s" s="10">
        <v>423</v>
      </c>
      <c r="I1027" t="s" s="10">
        <v>111</v>
      </c>
      <c r="J1027" t="s" s="10">
        <v>122</v>
      </c>
      <c r="K1027" t="s" s="10">
        <v>351</v>
      </c>
      <c r="L1027" t="s" s="10">
        <v>76</v>
      </c>
      <c r="M1027" t="s" s="10">
        <v>4075</v>
      </c>
      <c r="N1027" t="s" s="10">
        <v>4075</v>
      </c>
      <c r="O1027" s="11"/>
      <c r="P1027" t="s" s="10">
        <v>122</v>
      </c>
      <c r="Q1027" t="s" s="10">
        <v>69</v>
      </c>
      <c r="R1027" t="s" s="10">
        <v>83</v>
      </c>
      <c r="S1027" s="11"/>
      <c r="T1027" s="11"/>
      <c r="U1027" s="11"/>
      <c r="V1027" t="s" s="10">
        <v>69</v>
      </c>
      <c r="W1027" s="11"/>
      <c r="X1027" t="s" s="10">
        <v>69</v>
      </c>
      <c r="Y1027" s="11"/>
      <c r="Z1027" t="s" s="10">
        <v>289</v>
      </c>
      <c r="AA1027" s="11"/>
      <c r="AB1027" t="s" s="10">
        <v>425</v>
      </c>
      <c r="AC1027" t="s" s="10">
        <v>4074</v>
      </c>
      <c r="AD1027" t="s" s="10">
        <v>4076</v>
      </c>
      <c r="AE1027" s="11"/>
      <c r="AF1027" t="s" s="10">
        <v>423</v>
      </c>
      <c r="AG1027" t="s" s="10">
        <v>299</v>
      </c>
      <c r="AH1027" t="s" s="10">
        <v>114</v>
      </c>
      <c r="AI1027" t="s" s="10">
        <v>332</v>
      </c>
      <c r="AJ1027" t="s" s="10">
        <v>798</v>
      </c>
      <c r="AK1027" t="s" s="10">
        <v>292</v>
      </c>
      <c r="AL1027" t="s" s="10">
        <v>293</v>
      </c>
      <c r="AM1027" t="s" s="10">
        <v>294</v>
      </c>
      <c r="AN1027" t="s" s="10">
        <v>128</v>
      </c>
      <c r="AO1027" s="18">
        <v>2</v>
      </c>
      <c r="AP1027" s="18">
        <v>4096</v>
      </c>
      <c r="AQ1027" s="18">
        <v>208978</v>
      </c>
      <c r="AR1027" s="18">
        <v>208978</v>
      </c>
      <c r="AS1027" t="s" s="10">
        <v>4077</v>
      </c>
      <c r="AT1027" t="s" s="10">
        <v>301</v>
      </c>
      <c r="AU1027" s="11"/>
      <c r="AV1027" s="11"/>
      <c r="AW1027" s="11"/>
      <c r="AX1027" s="11"/>
      <c r="AY1027" s="11"/>
      <c r="AZ1027" s="11"/>
      <c r="BA1027" s="11"/>
      <c r="BB1027" s="11"/>
      <c r="BC1027" s="11"/>
      <c r="BD1027" t="s" s="10">
        <v>310</v>
      </c>
      <c r="BE1027" t="s" s="10">
        <v>419</v>
      </c>
      <c r="BF1027" s="18">
        <v>2</v>
      </c>
      <c r="BG1027" s="18">
        <v>4</v>
      </c>
      <c r="BH1027" s="11"/>
      <c r="BI1027" s="11"/>
      <c r="BJ1027" s="11"/>
      <c r="BK1027" s="11"/>
      <c r="BL1027" s="11"/>
      <c r="BM1027" s="11"/>
      <c r="BN1027" t="s" s="10">
        <v>69</v>
      </c>
      <c r="BO1027" s="12"/>
      <c r="BP1027" s="8"/>
    </row>
    <row r="1028" ht="15" customHeight="1">
      <c r="A1028" t="s" s="13">
        <v>4078</v>
      </c>
      <c r="B1028" s="14"/>
      <c r="C1028" t="str" s="14" cm="1">
        <f t="array" ref="C1028">_xlfn.IFERROR((VLOOKUP(A1028,#REF!,2,FALSE)),"")</f>
      </c>
      <c r="D1028" s="14"/>
      <c r="E1028" s="14"/>
      <c r="F1028" s="14"/>
      <c r="G1028" t="s" s="15">
        <v>4079</v>
      </c>
      <c r="H1028" t="s" s="15">
        <v>423</v>
      </c>
      <c r="I1028" t="s" s="15">
        <v>111</v>
      </c>
      <c r="J1028" t="s" s="15">
        <v>122</v>
      </c>
      <c r="K1028" t="s" s="15">
        <v>351</v>
      </c>
      <c r="L1028" t="s" s="15">
        <v>76</v>
      </c>
      <c r="M1028" t="s" s="15">
        <v>4079</v>
      </c>
      <c r="N1028" t="s" s="15">
        <v>4079</v>
      </c>
      <c r="O1028" s="14"/>
      <c r="P1028" t="s" s="15">
        <v>122</v>
      </c>
      <c r="Q1028" t="s" s="15">
        <v>78</v>
      </c>
      <c r="R1028" t="s" s="15">
        <v>83</v>
      </c>
      <c r="S1028" s="14"/>
      <c r="T1028" s="14"/>
      <c r="U1028" s="14"/>
      <c r="V1028" t="s" s="15">
        <v>69</v>
      </c>
      <c r="W1028" s="14"/>
      <c r="X1028" t="s" s="15">
        <v>69</v>
      </c>
      <c r="Y1028" s="14"/>
      <c r="Z1028" t="s" s="15">
        <v>289</v>
      </c>
      <c r="AA1028" s="14"/>
      <c r="AB1028" t="s" s="15">
        <v>425</v>
      </c>
      <c r="AC1028" s="14"/>
      <c r="AD1028" s="14"/>
      <c r="AE1028" s="14"/>
      <c r="AF1028" t="s" s="15">
        <v>423</v>
      </c>
      <c r="AG1028" t="s" s="15">
        <v>299</v>
      </c>
      <c r="AH1028" t="s" s="15">
        <v>114</v>
      </c>
      <c r="AI1028" t="s" s="15">
        <v>332</v>
      </c>
      <c r="AJ1028" t="s" s="15">
        <v>798</v>
      </c>
      <c r="AK1028" t="s" s="15">
        <v>292</v>
      </c>
      <c r="AL1028" t="s" s="15">
        <v>293</v>
      </c>
      <c r="AM1028" t="s" s="15">
        <v>294</v>
      </c>
      <c r="AN1028" t="s" s="15">
        <v>128</v>
      </c>
      <c r="AO1028" s="17">
        <v>2</v>
      </c>
      <c r="AP1028" s="17">
        <v>4096</v>
      </c>
      <c r="AQ1028" s="17">
        <v>239698</v>
      </c>
      <c r="AR1028" s="17">
        <v>239698</v>
      </c>
      <c r="AS1028" t="s" s="15">
        <v>4080</v>
      </c>
      <c r="AT1028" s="14"/>
      <c r="AU1028" s="14"/>
      <c r="AV1028" s="14"/>
      <c r="AW1028" s="14"/>
      <c r="AX1028" s="14"/>
      <c r="AY1028" s="14"/>
      <c r="AZ1028" s="14"/>
      <c r="BA1028" s="14"/>
      <c r="BB1028" s="14"/>
      <c r="BC1028" s="14"/>
      <c r="BD1028" t="s" s="15">
        <v>310</v>
      </c>
      <c r="BE1028" t="s" s="15">
        <v>419</v>
      </c>
      <c r="BF1028" s="17">
        <v>2</v>
      </c>
      <c r="BG1028" s="17">
        <v>4</v>
      </c>
      <c r="BH1028" s="14"/>
      <c r="BI1028" s="14"/>
      <c r="BJ1028" s="14"/>
      <c r="BK1028" s="14"/>
      <c r="BL1028" s="14"/>
      <c r="BM1028" s="14"/>
      <c r="BN1028" t="s" s="15">
        <v>69</v>
      </c>
      <c r="BO1028" s="16"/>
      <c r="BP1028" s="8"/>
    </row>
    <row r="1029" ht="9" customHeight="1" hidden="1">
      <c r="A1029" t="s" s="9">
        <v>4081</v>
      </c>
      <c r="B1029" s="11"/>
      <c r="C1029" t="str" s="11" cm="1">
        <f t="array" ref="C1029">_xlfn.IFERROR((VLOOKUP(A1029,#REF!,2,FALSE)),"")</f>
      </c>
      <c r="D1029" s="11"/>
      <c r="E1029" t="s" s="10">
        <v>303</v>
      </c>
      <c r="F1029" s="11"/>
      <c r="G1029" t="s" s="10">
        <v>4082</v>
      </c>
      <c r="H1029" t="s" s="10">
        <v>4082</v>
      </c>
      <c r="I1029" t="s" s="10">
        <v>73</v>
      </c>
      <c r="J1029" t="s" s="10">
        <v>74</v>
      </c>
      <c r="K1029" t="s" s="10">
        <v>113</v>
      </c>
      <c r="L1029" t="s" s="10">
        <v>76</v>
      </c>
      <c r="M1029" t="s" s="10">
        <v>4082</v>
      </c>
      <c r="N1029" t="s" s="10">
        <v>4082</v>
      </c>
      <c r="O1029" t="s" s="10">
        <v>71</v>
      </c>
      <c r="P1029" t="s" s="10">
        <v>74</v>
      </c>
      <c r="Q1029" t="s" s="10">
        <v>78</v>
      </c>
      <c r="R1029" t="s" s="10">
        <v>71</v>
      </c>
      <c r="S1029" s="11"/>
      <c r="T1029" s="11"/>
      <c r="U1029" s="11"/>
      <c r="V1029" t="s" s="10">
        <v>78</v>
      </c>
      <c r="W1029" t="s" s="10">
        <v>4081</v>
      </c>
      <c r="X1029" t="s" s="10">
        <v>69</v>
      </c>
      <c r="Y1029" s="11"/>
      <c r="Z1029" t="s" s="10">
        <v>76</v>
      </c>
      <c r="AA1029" s="11"/>
      <c r="AB1029" t="s" s="10">
        <v>76</v>
      </c>
      <c r="AC1029" s="11"/>
      <c r="AD1029" s="11"/>
      <c r="AE1029" s="11"/>
      <c r="AF1029" s="11"/>
      <c r="AG1029" s="11"/>
      <c r="AH1029" t="s" s="10">
        <v>106</v>
      </c>
      <c r="AI1029" t="s" s="10">
        <v>76</v>
      </c>
      <c r="AJ1029" t="s" s="10">
        <v>76</v>
      </c>
      <c r="AK1029" t="s" s="10">
        <v>79</v>
      </c>
      <c r="AL1029" s="11"/>
      <c r="AM1029" s="11"/>
      <c r="AN1029" s="11"/>
      <c r="AO1029" s="11"/>
      <c r="AP1029" s="11"/>
      <c r="AQ1029" s="11"/>
      <c r="AR1029" s="11"/>
      <c r="AS1029" s="11"/>
      <c r="AT1029" s="11"/>
      <c r="AU1029" s="11"/>
      <c r="AV1029" s="11"/>
      <c r="AW1029" s="11"/>
      <c r="AX1029" s="11"/>
      <c r="AY1029" s="11"/>
      <c r="AZ1029" s="11"/>
      <c r="BA1029" s="11"/>
      <c r="BB1029" s="11"/>
      <c r="BC1029" s="11"/>
      <c r="BD1029" s="11"/>
      <c r="BE1029" s="11"/>
      <c r="BF1029" s="11"/>
      <c r="BG1029" s="11"/>
      <c r="BH1029" s="11"/>
      <c r="BI1029" s="11"/>
      <c r="BJ1029" s="11"/>
      <c r="BK1029" s="11"/>
      <c r="BL1029" s="11"/>
      <c r="BM1029" s="11"/>
      <c r="BN1029" s="11"/>
      <c r="BO1029" s="12"/>
      <c r="BP1029" s="8"/>
    </row>
    <row r="1030" ht="9" customHeight="1" hidden="1">
      <c r="A1030" t="s" s="13">
        <v>4083</v>
      </c>
      <c r="B1030" s="14"/>
      <c r="C1030" t="str" s="14" cm="1">
        <f t="array" ref="C1030">_xlfn.IFERROR((VLOOKUP(A1030,#REF!,2,FALSE)),"")</f>
      </c>
      <c r="D1030" s="14"/>
      <c r="E1030" s="14"/>
      <c r="F1030" s="14"/>
      <c r="G1030" t="s" s="15">
        <v>4084</v>
      </c>
      <c r="H1030" t="s" s="15">
        <v>4085</v>
      </c>
      <c r="I1030" t="s" s="15">
        <v>111</v>
      </c>
      <c r="J1030" t="s" s="15">
        <v>122</v>
      </c>
      <c r="K1030" t="s" s="15">
        <v>113</v>
      </c>
      <c r="L1030" t="s" s="15">
        <v>76</v>
      </c>
      <c r="M1030" t="s" s="15">
        <v>4084</v>
      </c>
      <c r="N1030" t="s" s="15">
        <v>4084</v>
      </c>
      <c r="O1030" s="14"/>
      <c r="P1030" t="s" s="15">
        <v>122</v>
      </c>
      <c r="Q1030" t="s" s="15">
        <v>78</v>
      </c>
      <c r="R1030" t="s" s="15">
        <v>83</v>
      </c>
      <c r="S1030" s="14"/>
      <c r="T1030" s="14"/>
      <c r="U1030" s="14"/>
      <c r="V1030" t="s" s="15">
        <v>69</v>
      </c>
      <c r="W1030" s="14"/>
      <c r="X1030" t="s" s="15">
        <v>69</v>
      </c>
      <c r="Y1030" s="14"/>
      <c r="Z1030" t="s" s="15">
        <v>76</v>
      </c>
      <c r="AA1030" s="14"/>
      <c r="AB1030" t="s" s="15">
        <v>76</v>
      </c>
      <c r="AC1030" s="14"/>
      <c r="AD1030" s="14"/>
      <c r="AE1030" s="14"/>
      <c r="AF1030" s="14"/>
      <c r="AG1030" t="s" s="15">
        <v>299</v>
      </c>
      <c r="AH1030" t="s" s="15">
        <v>106</v>
      </c>
      <c r="AI1030" t="s" s="15">
        <v>76</v>
      </c>
      <c r="AJ1030" t="s" s="15">
        <v>76</v>
      </c>
      <c r="AK1030" t="s" s="15">
        <v>79</v>
      </c>
      <c r="AL1030" t="s" s="15">
        <v>293</v>
      </c>
      <c r="AM1030" t="s" s="15">
        <v>294</v>
      </c>
      <c r="AN1030" t="s" s="15">
        <v>128</v>
      </c>
      <c r="AO1030" s="17">
        <v>4</v>
      </c>
      <c r="AP1030" s="17">
        <v>4096</v>
      </c>
      <c r="AQ1030" s="17">
        <v>208987</v>
      </c>
      <c r="AR1030" s="17">
        <v>131392</v>
      </c>
      <c r="AS1030" t="s" s="15">
        <v>4086</v>
      </c>
      <c r="AT1030" s="14"/>
      <c r="AU1030" s="14"/>
      <c r="AV1030" s="14"/>
      <c r="AW1030" s="14"/>
      <c r="AX1030" s="14"/>
      <c r="AY1030" s="14"/>
      <c r="AZ1030" s="14"/>
      <c r="BA1030" s="14"/>
      <c r="BB1030" s="14"/>
      <c r="BC1030" s="14"/>
      <c r="BD1030" s="14"/>
      <c r="BE1030" s="14"/>
      <c r="BF1030" s="14"/>
      <c r="BG1030" s="14"/>
      <c r="BH1030" s="14"/>
      <c r="BI1030" s="14"/>
      <c r="BJ1030" s="14"/>
      <c r="BK1030" s="14"/>
      <c r="BL1030" s="14"/>
      <c r="BM1030" s="14"/>
      <c r="BN1030" t="s" s="15">
        <v>78</v>
      </c>
      <c r="BO1030" s="16"/>
      <c r="BP1030" s="8"/>
    </row>
    <row r="1031" ht="9" customHeight="1" hidden="1">
      <c r="A1031" t="s" s="9">
        <v>4087</v>
      </c>
      <c r="B1031" s="11"/>
      <c r="C1031" t="str" s="11" cm="1">
        <f t="array" ref="C1031">_xlfn.IFERROR((VLOOKUP(A1031,#REF!,2,FALSE)),"")</f>
      </c>
      <c r="D1031" s="11"/>
      <c r="E1031" t="s" s="10">
        <v>4038</v>
      </c>
      <c r="F1031" s="11"/>
      <c r="G1031" t="s" s="10">
        <v>4088</v>
      </c>
      <c r="H1031" t="s" s="10">
        <v>4088</v>
      </c>
      <c r="I1031" t="s" s="10">
        <v>111</v>
      </c>
      <c r="J1031" t="s" s="10">
        <v>322</v>
      </c>
      <c r="K1031" t="s" s="10">
        <v>210</v>
      </c>
      <c r="L1031" t="s" s="10">
        <v>76</v>
      </c>
      <c r="M1031" t="s" s="10">
        <v>4088</v>
      </c>
      <c r="N1031" t="s" s="10">
        <v>4088</v>
      </c>
      <c r="O1031" s="11"/>
      <c r="P1031" t="s" s="10">
        <v>322</v>
      </c>
      <c r="Q1031" t="s" s="10">
        <v>69</v>
      </c>
      <c r="R1031" t="s" s="10">
        <v>83</v>
      </c>
      <c r="S1031" s="11"/>
      <c r="T1031" s="11"/>
      <c r="U1031" s="11"/>
      <c r="V1031" t="s" s="10">
        <v>69</v>
      </c>
      <c r="W1031" s="11"/>
      <c r="X1031" t="s" s="10">
        <v>69</v>
      </c>
      <c r="Y1031" s="11"/>
      <c r="Z1031" t="s" s="10">
        <v>76</v>
      </c>
      <c r="AA1031" s="11"/>
      <c r="AB1031" t="s" s="10">
        <v>76</v>
      </c>
      <c r="AC1031" t="s" s="10">
        <v>4087</v>
      </c>
      <c r="AD1031" t="s" s="10">
        <v>4089</v>
      </c>
      <c r="AE1031" s="11"/>
      <c r="AF1031" s="11"/>
      <c r="AG1031" t="s" s="10">
        <v>299</v>
      </c>
      <c r="AH1031" t="s" s="10">
        <v>114</v>
      </c>
      <c r="AI1031" t="s" s="10">
        <v>76</v>
      </c>
      <c r="AJ1031" t="s" s="10">
        <v>76</v>
      </c>
      <c r="AK1031" t="s" s="10">
        <v>79</v>
      </c>
      <c r="AL1031" t="s" s="10">
        <v>293</v>
      </c>
      <c r="AM1031" t="s" s="10">
        <v>294</v>
      </c>
      <c r="AN1031" t="s" s="10">
        <v>128</v>
      </c>
      <c r="AO1031" s="18">
        <v>4</v>
      </c>
      <c r="AP1031" s="18">
        <v>8192</v>
      </c>
      <c r="AQ1031" s="18">
        <v>110708</v>
      </c>
      <c r="AR1031" s="18">
        <v>99835</v>
      </c>
      <c r="AS1031" t="s" s="10">
        <v>4090</v>
      </c>
      <c r="AT1031" t="s" s="10">
        <v>301</v>
      </c>
      <c r="AU1031" s="11"/>
      <c r="AV1031" s="11"/>
      <c r="AW1031" s="11"/>
      <c r="AX1031" s="11"/>
      <c r="AY1031" s="11"/>
      <c r="AZ1031" s="11"/>
      <c r="BA1031" s="11"/>
      <c r="BB1031" s="11"/>
      <c r="BC1031" s="11"/>
      <c r="BD1031" t="s" s="10">
        <v>310</v>
      </c>
      <c r="BE1031" t="s" s="10">
        <v>356</v>
      </c>
      <c r="BF1031" s="18">
        <v>4</v>
      </c>
      <c r="BG1031" s="18">
        <v>8</v>
      </c>
      <c r="BH1031" s="11"/>
      <c r="BI1031" s="11"/>
      <c r="BJ1031" s="11"/>
      <c r="BK1031" s="11"/>
      <c r="BL1031" s="11"/>
      <c r="BM1031" s="11"/>
      <c r="BN1031" t="s" s="10">
        <v>69</v>
      </c>
      <c r="BO1031" s="12"/>
      <c r="BP1031" s="8"/>
    </row>
    <row r="1032" ht="9" customHeight="1" hidden="1">
      <c r="A1032" t="s" s="13">
        <v>4091</v>
      </c>
      <c r="B1032" s="14"/>
      <c r="C1032" t="str" s="14" cm="1">
        <f t="array" ref="C1032">_xlfn.IFERROR((VLOOKUP(A1032,#REF!,2,FALSE)),"")</f>
      </c>
      <c r="D1032" s="14"/>
      <c r="E1032" s="14"/>
      <c r="F1032" s="14"/>
      <c r="G1032" t="s" s="15">
        <v>4092</v>
      </c>
      <c r="H1032" t="s" s="15">
        <v>4093</v>
      </c>
      <c r="I1032" t="s" s="15">
        <v>111</v>
      </c>
      <c r="J1032" t="s" s="15">
        <v>122</v>
      </c>
      <c r="K1032" t="s" s="15">
        <v>210</v>
      </c>
      <c r="L1032" t="s" s="15">
        <v>76</v>
      </c>
      <c r="M1032" t="s" s="15">
        <v>4092</v>
      </c>
      <c r="N1032" t="s" s="15">
        <v>4092</v>
      </c>
      <c r="O1032" s="14"/>
      <c r="P1032" t="s" s="15">
        <v>122</v>
      </c>
      <c r="Q1032" t="s" s="15">
        <v>78</v>
      </c>
      <c r="R1032" t="s" s="15">
        <v>83</v>
      </c>
      <c r="S1032" t="s" s="15">
        <v>69</v>
      </c>
      <c r="T1032" s="14"/>
      <c r="U1032" s="14"/>
      <c r="V1032" t="s" s="15">
        <v>78</v>
      </c>
      <c r="W1032" s="14"/>
      <c r="X1032" t="s" s="15">
        <v>69</v>
      </c>
      <c r="Y1032" s="14"/>
      <c r="Z1032" t="s" s="15">
        <v>76</v>
      </c>
      <c r="AA1032" s="14"/>
      <c r="AB1032" t="s" s="15">
        <v>76</v>
      </c>
      <c r="AC1032" s="14"/>
      <c r="AD1032" s="14"/>
      <c r="AE1032" s="14"/>
      <c r="AF1032" s="14"/>
      <c r="AG1032" t="s" s="15">
        <v>299</v>
      </c>
      <c r="AH1032" t="s" s="15">
        <v>106</v>
      </c>
      <c r="AI1032" t="s" s="15">
        <v>76</v>
      </c>
      <c r="AJ1032" t="s" s="15">
        <v>76</v>
      </c>
      <c r="AK1032" t="s" s="15">
        <v>79</v>
      </c>
      <c r="AL1032" t="s" s="15">
        <v>293</v>
      </c>
      <c r="AM1032" t="s" s="15">
        <v>294</v>
      </c>
      <c r="AN1032" s="14"/>
      <c r="AO1032" s="17">
        <v>4</v>
      </c>
      <c r="AP1032" s="17">
        <v>19456</v>
      </c>
      <c r="AQ1032" s="17">
        <v>2119360</v>
      </c>
      <c r="AR1032" s="17">
        <v>2119360</v>
      </c>
      <c r="AS1032" t="s" s="15">
        <v>4094</v>
      </c>
      <c r="AT1032" s="14"/>
      <c r="AU1032" s="14"/>
      <c r="AV1032" s="14"/>
      <c r="AW1032" s="14"/>
      <c r="AX1032" s="14"/>
      <c r="AY1032" s="14"/>
      <c r="AZ1032" s="14"/>
      <c r="BA1032" s="14"/>
      <c r="BB1032" s="14"/>
      <c r="BC1032" s="14"/>
      <c r="BD1032" s="14"/>
      <c r="BE1032" s="14"/>
      <c r="BF1032" s="14"/>
      <c r="BG1032" s="14"/>
      <c r="BH1032" s="14"/>
      <c r="BI1032" s="14"/>
      <c r="BJ1032" s="14"/>
      <c r="BK1032" s="14"/>
      <c r="BL1032" s="14"/>
      <c r="BM1032" s="14"/>
      <c r="BN1032" t="s" s="15">
        <v>69</v>
      </c>
      <c r="BO1032" s="16"/>
      <c r="BP1032" s="8"/>
    </row>
    <row r="1033" ht="9" customHeight="1" hidden="1">
      <c r="A1033" t="s" s="9">
        <v>4095</v>
      </c>
      <c r="B1033" s="11"/>
      <c r="C1033" t="str" s="11" cm="1">
        <f t="array" ref="C1033">_xlfn.IFERROR((VLOOKUP(A1033,#REF!,2,FALSE)),"")</f>
      </c>
      <c r="D1033" t="s" s="10">
        <v>70</v>
      </c>
      <c r="E1033" t="s" s="10">
        <v>450</v>
      </c>
      <c r="F1033" s="11"/>
      <c r="G1033" t="s" s="10">
        <v>4096</v>
      </c>
      <c r="H1033" t="s" s="10">
        <v>4097</v>
      </c>
      <c r="I1033" t="s" s="10">
        <v>111</v>
      </c>
      <c r="J1033" t="s" s="10">
        <v>452</v>
      </c>
      <c r="K1033" t="s" s="10">
        <v>210</v>
      </c>
      <c r="L1033" t="s" s="10">
        <v>76</v>
      </c>
      <c r="M1033" t="s" s="10">
        <v>4096</v>
      </c>
      <c r="N1033" t="s" s="10">
        <v>4096</v>
      </c>
      <c r="O1033" s="11"/>
      <c r="P1033" t="s" s="10">
        <v>452</v>
      </c>
      <c r="Q1033" t="s" s="10">
        <v>78</v>
      </c>
      <c r="R1033" t="s" s="10">
        <v>83</v>
      </c>
      <c r="S1033" t="s" s="10">
        <v>69</v>
      </c>
      <c r="T1033" s="11"/>
      <c r="U1033" s="11"/>
      <c r="V1033" t="s" s="10">
        <v>78</v>
      </c>
      <c r="W1033" s="11"/>
      <c r="X1033" t="s" s="10">
        <v>69</v>
      </c>
      <c r="Y1033" s="11"/>
      <c r="Z1033" t="s" s="10">
        <v>76</v>
      </c>
      <c r="AA1033" s="11"/>
      <c r="AB1033" t="s" s="10">
        <v>76</v>
      </c>
      <c r="AC1033" s="11"/>
      <c r="AD1033" s="11"/>
      <c r="AE1033" s="11"/>
      <c r="AF1033" s="11"/>
      <c r="AG1033" t="s" s="10">
        <v>288</v>
      </c>
      <c r="AH1033" t="s" s="10">
        <v>106</v>
      </c>
      <c r="AI1033" t="s" s="10">
        <v>76</v>
      </c>
      <c r="AJ1033" t="s" s="10">
        <v>76</v>
      </c>
      <c r="AK1033" t="s" s="10">
        <v>79</v>
      </c>
      <c r="AL1033" t="s" s="10">
        <v>293</v>
      </c>
      <c r="AM1033" t="s" s="10">
        <v>294</v>
      </c>
      <c r="AN1033" s="11"/>
      <c r="AO1033" s="18">
        <v>4</v>
      </c>
      <c r="AP1033" s="18">
        <v>19456</v>
      </c>
      <c r="AQ1033" s="18">
        <v>4237882</v>
      </c>
      <c r="AR1033" s="18">
        <v>2171431</v>
      </c>
      <c r="AS1033" t="s" s="10">
        <v>4098</v>
      </c>
      <c r="AT1033" s="11"/>
      <c r="AU1033" s="11"/>
      <c r="AV1033" s="11"/>
      <c r="AW1033" s="11"/>
      <c r="AX1033" s="11"/>
      <c r="AY1033" s="11"/>
      <c r="AZ1033" s="11"/>
      <c r="BA1033" s="11"/>
      <c r="BB1033" s="11"/>
      <c r="BC1033" s="11"/>
      <c r="BD1033" s="11"/>
      <c r="BE1033" s="11"/>
      <c r="BF1033" s="11"/>
      <c r="BG1033" s="11"/>
      <c r="BH1033" s="11"/>
      <c r="BI1033" s="11"/>
      <c r="BJ1033" s="11"/>
      <c r="BK1033" s="11"/>
      <c r="BL1033" s="11"/>
      <c r="BM1033" s="11"/>
      <c r="BN1033" t="s" s="10">
        <v>78</v>
      </c>
      <c r="BO1033" s="12"/>
      <c r="BP1033" s="8"/>
    </row>
    <row r="1034" ht="9" customHeight="1" hidden="1">
      <c r="A1034" t="s" s="13">
        <v>4099</v>
      </c>
      <c r="B1034" s="14"/>
      <c r="C1034" t="str" s="14" cm="1">
        <f t="array" ref="C1034">_xlfn.IFERROR((VLOOKUP(A1034,#REF!,2,FALSE)),"")</f>
      </c>
      <c r="D1034" s="14"/>
      <c r="E1034" s="14"/>
      <c r="F1034" s="14"/>
      <c r="G1034" t="s" s="15">
        <v>4100</v>
      </c>
      <c r="H1034" t="s" s="15">
        <v>4100</v>
      </c>
      <c r="I1034" t="s" s="15">
        <v>111</v>
      </c>
      <c r="J1034" t="s" s="15">
        <v>122</v>
      </c>
      <c r="K1034" t="s" s="15">
        <v>210</v>
      </c>
      <c r="L1034" t="s" s="15">
        <v>76</v>
      </c>
      <c r="M1034" t="s" s="15">
        <v>4100</v>
      </c>
      <c r="N1034" t="s" s="15">
        <v>4100</v>
      </c>
      <c r="O1034" s="14"/>
      <c r="P1034" t="s" s="15">
        <v>122</v>
      </c>
      <c r="Q1034" t="s" s="15">
        <v>78</v>
      </c>
      <c r="R1034" t="s" s="15">
        <v>83</v>
      </c>
      <c r="S1034" s="14"/>
      <c r="T1034" s="14"/>
      <c r="U1034" s="14"/>
      <c r="V1034" t="s" s="15">
        <v>78</v>
      </c>
      <c r="W1034" s="14"/>
      <c r="X1034" t="s" s="15">
        <v>69</v>
      </c>
      <c r="Y1034" s="14"/>
      <c r="Z1034" t="s" s="15">
        <v>76</v>
      </c>
      <c r="AA1034" s="14"/>
      <c r="AB1034" t="s" s="15">
        <v>76</v>
      </c>
      <c r="AC1034" s="14"/>
      <c r="AD1034" s="14"/>
      <c r="AE1034" s="14"/>
      <c r="AF1034" s="14"/>
      <c r="AG1034" t="s" s="15">
        <v>299</v>
      </c>
      <c r="AH1034" t="s" s="15">
        <v>106</v>
      </c>
      <c r="AI1034" t="s" s="15">
        <v>76</v>
      </c>
      <c r="AJ1034" t="s" s="15">
        <v>76</v>
      </c>
      <c r="AK1034" t="s" s="15">
        <v>79</v>
      </c>
      <c r="AL1034" t="s" s="15">
        <v>293</v>
      </c>
      <c r="AM1034" t="s" s="15">
        <v>294</v>
      </c>
      <c r="AN1034" s="14"/>
      <c r="AO1034" s="17">
        <v>8</v>
      </c>
      <c r="AP1034" s="17">
        <v>28672</v>
      </c>
      <c r="AQ1034" s="17">
        <v>2296325</v>
      </c>
      <c r="AR1034" s="17">
        <v>2296325</v>
      </c>
      <c r="AS1034" t="s" s="15">
        <v>4101</v>
      </c>
      <c r="AT1034" t="s" s="15">
        <v>301</v>
      </c>
      <c r="AU1034" s="14"/>
      <c r="AV1034" s="14"/>
      <c r="AW1034" s="14"/>
      <c r="AX1034" s="14"/>
      <c r="AY1034" s="14"/>
      <c r="AZ1034" s="14"/>
      <c r="BA1034" s="14"/>
      <c r="BB1034" s="14"/>
      <c r="BC1034" s="14"/>
      <c r="BD1034" s="14"/>
      <c r="BE1034" s="14"/>
      <c r="BF1034" s="14"/>
      <c r="BG1034" s="14"/>
      <c r="BH1034" s="14"/>
      <c r="BI1034" s="14"/>
      <c r="BJ1034" s="14"/>
      <c r="BK1034" s="14"/>
      <c r="BL1034" s="14"/>
      <c r="BM1034" s="14"/>
      <c r="BN1034" t="s" s="15">
        <v>69</v>
      </c>
      <c r="BO1034" s="16"/>
      <c r="BP1034" s="8"/>
    </row>
    <row r="1035" ht="9" customHeight="1" hidden="1">
      <c r="A1035" t="s" s="9">
        <v>4102</v>
      </c>
      <c r="B1035" s="11"/>
      <c r="C1035" t="str" s="11" cm="1">
        <f t="array" ref="C1035">_xlfn.IFERROR((VLOOKUP(A1035,#REF!,2,FALSE)),"")</f>
      </c>
      <c r="D1035" t="s" s="10">
        <v>70</v>
      </c>
      <c r="E1035" t="s" s="10">
        <v>450</v>
      </c>
      <c r="F1035" s="11"/>
      <c r="G1035" t="s" s="10">
        <v>4103</v>
      </c>
      <c r="H1035" t="s" s="10">
        <v>4103</v>
      </c>
      <c r="I1035" t="s" s="10">
        <v>111</v>
      </c>
      <c r="J1035" t="s" s="10">
        <v>452</v>
      </c>
      <c r="K1035" t="s" s="10">
        <v>351</v>
      </c>
      <c r="L1035" t="s" s="10">
        <v>76</v>
      </c>
      <c r="M1035" t="s" s="10">
        <v>4103</v>
      </c>
      <c r="N1035" t="s" s="10">
        <v>4103</v>
      </c>
      <c r="O1035" s="11"/>
      <c r="P1035" t="s" s="10">
        <v>452</v>
      </c>
      <c r="Q1035" t="s" s="10">
        <v>78</v>
      </c>
      <c r="R1035" t="s" s="10">
        <v>83</v>
      </c>
      <c r="S1035" s="11"/>
      <c r="T1035" s="11"/>
      <c r="U1035" s="11"/>
      <c r="V1035" t="s" s="10">
        <v>78</v>
      </c>
      <c r="W1035" s="11"/>
      <c r="X1035" t="s" s="10">
        <v>69</v>
      </c>
      <c r="Y1035" s="11"/>
      <c r="Z1035" t="s" s="10">
        <v>76</v>
      </c>
      <c r="AA1035" s="11"/>
      <c r="AB1035" t="s" s="10">
        <v>76</v>
      </c>
      <c r="AC1035" s="11"/>
      <c r="AD1035" s="11"/>
      <c r="AE1035" s="11"/>
      <c r="AF1035" s="11"/>
      <c r="AG1035" t="s" s="10">
        <v>288</v>
      </c>
      <c r="AH1035" t="s" s="10">
        <v>106</v>
      </c>
      <c r="AI1035" t="s" s="10">
        <v>76</v>
      </c>
      <c r="AJ1035" t="s" s="10">
        <v>76</v>
      </c>
      <c r="AK1035" t="s" s="10">
        <v>79</v>
      </c>
      <c r="AL1035" t="s" s="10">
        <v>293</v>
      </c>
      <c r="AM1035" t="s" s="10">
        <v>294</v>
      </c>
      <c r="AN1035" s="11"/>
      <c r="AO1035" s="18">
        <v>4</v>
      </c>
      <c r="AP1035" s="18">
        <v>19456</v>
      </c>
      <c r="AQ1035" s="18">
        <v>4238008</v>
      </c>
      <c r="AR1035" s="18">
        <v>2159705</v>
      </c>
      <c r="AS1035" t="s" s="10">
        <v>4104</v>
      </c>
      <c r="AT1035" s="11"/>
      <c r="AU1035" s="11"/>
      <c r="AV1035" s="11"/>
      <c r="AW1035" s="11"/>
      <c r="AX1035" s="11"/>
      <c r="AY1035" s="11"/>
      <c r="AZ1035" s="11"/>
      <c r="BA1035" s="11"/>
      <c r="BB1035" s="11"/>
      <c r="BC1035" s="11"/>
      <c r="BD1035" s="11"/>
      <c r="BE1035" s="11"/>
      <c r="BF1035" s="11"/>
      <c r="BG1035" s="11"/>
      <c r="BH1035" s="11"/>
      <c r="BI1035" s="11"/>
      <c r="BJ1035" s="11"/>
      <c r="BK1035" s="11"/>
      <c r="BL1035" s="11"/>
      <c r="BM1035" s="11"/>
      <c r="BN1035" t="s" s="10">
        <v>69</v>
      </c>
      <c r="BO1035" s="12"/>
      <c r="BP1035" s="8"/>
    </row>
    <row r="1036" ht="9" customHeight="1" hidden="1">
      <c r="A1036" t="s" s="13">
        <v>4105</v>
      </c>
      <c r="B1036" s="14"/>
      <c r="C1036" t="str" s="14" cm="1">
        <f t="array" ref="C1036">_xlfn.IFERROR((VLOOKUP(A1036,#REF!,2,FALSE)),"")</f>
      </c>
      <c r="D1036" s="14"/>
      <c r="E1036" s="14"/>
      <c r="F1036" s="14"/>
      <c r="G1036" t="s" s="15">
        <v>4106</v>
      </c>
      <c r="H1036" t="s" s="15">
        <v>4107</v>
      </c>
      <c r="I1036" t="s" s="15">
        <v>271</v>
      </c>
      <c r="J1036" t="s" s="15">
        <v>74</v>
      </c>
      <c r="K1036" t="s" s="15">
        <v>113</v>
      </c>
      <c r="L1036" t="s" s="15">
        <v>76</v>
      </c>
      <c r="M1036" t="s" s="15">
        <v>4106</v>
      </c>
      <c r="N1036" t="s" s="15">
        <v>4106</v>
      </c>
      <c r="O1036" s="14"/>
      <c r="P1036" t="s" s="15">
        <v>74</v>
      </c>
      <c r="Q1036" t="s" s="15">
        <v>78</v>
      </c>
      <c r="R1036" t="s" s="15">
        <v>83</v>
      </c>
      <c r="S1036" s="14"/>
      <c r="T1036" s="14"/>
      <c r="U1036" s="14"/>
      <c r="V1036" t="s" s="15">
        <v>78</v>
      </c>
      <c r="W1036" s="14"/>
      <c r="X1036" t="s" s="15">
        <v>69</v>
      </c>
      <c r="Y1036" s="14"/>
      <c r="Z1036" t="s" s="15">
        <v>76</v>
      </c>
      <c r="AA1036" s="14"/>
      <c r="AB1036" t="s" s="15">
        <v>76</v>
      </c>
      <c r="AC1036" s="14"/>
      <c r="AD1036" s="14"/>
      <c r="AE1036" s="14"/>
      <c r="AF1036" s="14"/>
      <c r="AG1036" s="14"/>
      <c r="AH1036" t="s" s="15">
        <v>106</v>
      </c>
      <c r="AI1036" t="s" s="15">
        <v>76</v>
      </c>
      <c r="AJ1036" t="s" s="15">
        <v>76</v>
      </c>
      <c r="AK1036" t="s" s="15">
        <v>79</v>
      </c>
      <c r="AL1036" s="14"/>
      <c r="AM1036" s="14"/>
      <c r="AN1036" s="14"/>
      <c r="AO1036" s="14"/>
      <c r="AP1036" s="14"/>
      <c r="AQ1036" s="14"/>
      <c r="AR1036" s="14"/>
      <c r="AS1036" s="14"/>
      <c r="AT1036" s="14"/>
      <c r="AU1036" s="14"/>
      <c r="AV1036" s="14"/>
      <c r="AW1036" s="14"/>
      <c r="AX1036" s="14"/>
      <c r="AY1036" s="14"/>
      <c r="AZ1036" s="14"/>
      <c r="BA1036" s="14"/>
      <c r="BB1036" s="14"/>
      <c r="BC1036" s="14"/>
      <c r="BD1036" s="14"/>
      <c r="BE1036" s="14"/>
      <c r="BF1036" s="14"/>
      <c r="BG1036" s="14"/>
      <c r="BH1036" s="14"/>
      <c r="BI1036" s="14"/>
      <c r="BJ1036" s="14"/>
      <c r="BK1036" s="14"/>
      <c r="BL1036" s="14"/>
      <c r="BM1036" s="14"/>
      <c r="BN1036" t="s" s="15">
        <v>78</v>
      </c>
      <c r="BO1036" s="16"/>
      <c r="BP1036" s="8"/>
    </row>
    <row r="1037" ht="9" customHeight="1" hidden="1">
      <c r="A1037" t="s" s="9">
        <v>4108</v>
      </c>
      <c r="B1037" s="11"/>
      <c r="C1037" t="str" s="11" cm="1">
        <f t="array" ref="C1037">_xlfn.IFERROR((VLOOKUP(A1037,#REF!,2,FALSE)),"")</f>
      </c>
      <c r="D1037" t="s" s="10">
        <v>70</v>
      </c>
      <c r="E1037" t="s" s="10">
        <v>392</v>
      </c>
      <c r="F1037" s="11"/>
      <c r="G1037" t="s" s="10">
        <v>4109</v>
      </c>
      <c r="H1037" t="s" s="10">
        <v>4109</v>
      </c>
      <c r="I1037" t="s" s="10">
        <v>111</v>
      </c>
      <c r="J1037" t="s" s="10">
        <v>469</v>
      </c>
      <c r="K1037" t="s" s="10">
        <v>210</v>
      </c>
      <c r="L1037" t="s" s="10">
        <v>76</v>
      </c>
      <c r="M1037" t="s" s="10">
        <v>4109</v>
      </c>
      <c r="N1037" t="s" s="10">
        <v>4109</v>
      </c>
      <c r="O1037" s="11"/>
      <c r="P1037" t="s" s="10">
        <v>469</v>
      </c>
      <c r="Q1037" t="s" s="10">
        <v>78</v>
      </c>
      <c r="R1037" t="s" s="10">
        <v>83</v>
      </c>
      <c r="S1037" s="11"/>
      <c r="T1037" s="11"/>
      <c r="U1037" s="11"/>
      <c r="V1037" t="s" s="10">
        <v>78</v>
      </c>
      <c r="W1037" s="11"/>
      <c r="X1037" t="s" s="10">
        <v>69</v>
      </c>
      <c r="Y1037" s="11"/>
      <c r="Z1037" t="s" s="10">
        <v>76</v>
      </c>
      <c r="AA1037" s="11"/>
      <c r="AB1037" t="s" s="10">
        <v>76</v>
      </c>
      <c r="AC1037" s="11"/>
      <c r="AD1037" s="11"/>
      <c r="AE1037" s="11"/>
      <c r="AF1037" s="11"/>
      <c r="AG1037" s="11"/>
      <c r="AH1037" s="11"/>
      <c r="AI1037" t="s" s="10">
        <v>76</v>
      </c>
      <c r="AJ1037" t="s" s="10">
        <v>76</v>
      </c>
      <c r="AK1037" t="s" s="10">
        <v>79</v>
      </c>
      <c r="AL1037" t="s" s="10">
        <v>293</v>
      </c>
      <c r="AM1037" t="s" s="10">
        <v>294</v>
      </c>
      <c r="AN1037" s="11"/>
      <c r="AO1037" s="18">
        <v>4</v>
      </c>
      <c r="AP1037" s="18">
        <v>19456</v>
      </c>
      <c r="AQ1037" s="18">
        <v>531472</v>
      </c>
      <c r="AR1037" s="18">
        <v>531472</v>
      </c>
      <c r="AS1037" t="s" s="10">
        <v>4110</v>
      </c>
      <c r="AT1037" s="11"/>
      <c r="AU1037" s="11"/>
      <c r="AV1037" s="11"/>
      <c r="AW1037" s="11"/>
      <c r="AX1037" s="11"/>
      <c r="AY1037" s="11"/>
      <c r="AZ1037" s="11"/>
      <c r="BA1037" s="11"/>
      <c r="BB1037" s="11"/>
      <c r="BC1037" s="11"/>
      <c r="BD1037" s="11"/>
      <c r="BE1037" s="11"/>
      <c r="BF1037" s="11"/>
      <c r="BG1037" s="11"/>
      <c r="BH1037" s="11"/>
      <c r="BI1037" s="11"/>
      <c r="BJ1037" s="11"/>
      <c r="BK1037" s="11"/>
      <c r="BL1037" s="11"/>
      <c r="BM1037" s="11"/>
      <c r="BN1037" t="s" s="10">
        <v>78</v>
      </c>
      <c r="BO1037" s="12"/>
      <c r="BP1037" s="8"/>
    </row>
    <row r="1038" ht="9" customHeight="1" hidden="1">
      <c r="A1038" t="s" s="13">
        <v>4111</v>
      </c>
      <c r="B1038" s="14"/>
      <c r="C1038" t="str" s="14" cm="1">
        <f t="array" ref="C1038">_xlfn.IFERROR((VLOOKUP(A1038,#REF!,2,FALSE)),"")</f>
      </c>
      <c r="D1038" t="s" s="15">
        <v>70</v>
      </c>
      <c r="E1038" t="s" s="15">
        <v>71</v>
      </c>
      <c r="F1038" s="14"/>
      <c r="G1038" s="14"/>
      <c r="H1038" s="14"/>
      <c r="I1038" t="s" s="15">
        <v>73</v>
      </c>
      <c r="J1038" t="s" s="15">
        <v>74</v>
      </c>
      <c r="K1038" t="s" s="15">
        <v>210</v>
      </c>
      <c r="L1038" t="s" s="15">
        <v>76</v>
      </c>
      <c r="M1038" t="s" s="15">
        <v>4112</v>
      </c>
      <c r="N1038" s="14"/>
      <c r="O1038" t="s" s="15">
        <v>71</v>
      </c>
      <c r="P1038" t="s" s="15">
        <v>74</v>
      </c>
      <c r="Q1038" t="s" s="15">
        <v>78</v>
      </c>
      <c r="R1038" t="s" s="15">
        <v>71</v>
      </c>
      <c r="S1038" s="14"/>
      <c r="T1038" s="14"/>
      <c r="U1038" s="14"/>
      <c r="V1038" t="s" s="15">
        <v>78</v>
      </c>
      <c r="W1038" t="s" s="15">
        <v>4113</v>
      </c>
      <c r="X1038" t="s" s="15">
        <v>78</v>
      </c>
      <c r="Y1038" s="14"/>
      <c r="Z1038" t="s" s="15">
        <v>76</v>
      </c>
      <c r="AA1038" s="14"/>
      <c r="AB1038" t="s" s="15">
        <v>76</v>
      </c>
      <c r="AC1038" s="14"/>
      <c r="AD1038" s="14"/>
      <c r="AE1038" s="14"/>
      <c r="AF1038" s="14"/>
      <c r="AG1038" s="14"/>
      <c r="AH1038" s="14"/>
      <c r="AI1038" t="s" s="15">
        <v>76</v>
      </c>
      <c r="AJ1038" t="s" s="15">
        <v>76</v>
      </c>
      <c r="AK1038" t="s" s="15">
        <v>79</v>
      </c>
      <c r="AL1038" t="s" s="15">
        <v>293</v>
      </c>
      <c r="AM1038" t="s" s="15">
        <v>294</v>
      </c>
      <c r="AN1038" s="14"/>
      <c r="AO1038" s="17">
        <v>4</v>
      </c>
      <c r="AP1038" s="17">
        <v>8192</v>
      </c>
      <c r="AQ1038" s="17">
        <v>30965</v>
      </c>
      <c r="AR1038" s="17">
        <v>30965</v>
      </c>
      <c r="AS1038" t="s" s="15">
        <v>4114</v>
      </c>
      <c r="AT1038" s="14"/>
      <c r="AU1038" s="14"/>
      <c r="AV1038" s="14"/>
      <c r="AW1038" s="14"/>
      <c r="AX1038" s="14"/>
      <c r="AY1038" s="14"/>
      <c r="AZ1038" s="14"/>
      <c r="BA1038" s="14"/>
      <c r="BB1038" s="14"/>
      <c r="BC1038" s="14"/>
      <c r="BD1038" s="14"/>
      <c r="BE1038" s="14"/>
      <c r="BF1038" s="14"/>
      <c r="BG1038" s="14"/>
      <c r="BH1038" s="14"/>
      <c r="BI1038" s="14"/>
      <c r="BJ1038" s="14"/>
      <c r="BK1038" s="14"/>
      <c r="BL1038" s="14"/>
      <c r="BM1038" s="14"/>
      <c r="BN1038" s="14"/>
      <c r="BO1038" s="16"/>
      <c r="BP1038" s="8"/>
    </row>
    <row r="1039" ht="9" customHeight="1" hidden="1">
      <c r="A1039" t="s" s="9">
        <v>4115</v>
      </c>
      <c r="B1039" s="11"/>
      <c r="C1039" t="str" s="11" cm="1">
        <f t="array" ref="C1039">_xlfn.IFERROR((VLOOKUP(A1039,#REF!,2,FALSE)),"")</f>
      </c>
      <c r="D1039" s="11"/>
      <c r="E1039" s="11"/>
      <c r="F1039" s="11"/>
      <c r="G1039" t="s" s="10">
        <v>4116</v>
      </c>
      <c r="H1039" t="s" s="10">
        <v>4116</v>
      </c>
      <c r="I1039" t="s" s="10">
        <v>111</v>
      </c>
      <c r="J1039" t="s" s="10">
        <v>122</v>
      </c>
      <c r="K1039" t="s" s="10">
        <v>113</v>
      </c>
      <c r="L1039" t="s" s="10">
        <v>2097</v>
      </c>
      <c r="M1039" t="s" s="10">
        <v>4116</v>
      </c>
      <c r="N1039" t="s" s="10">
        <v>4116</v>
      </c>
      <c r="O1039" s="11"/>
      <c r="P1039" t="s" s="10">
        <v>122</v>
      </c>
      <c r="Q1039" t="s" s="10">
        <v>78</v>
      </c>
      <c r="R1039" t="s" s="10">
        <v>83</v>
      </c>
      <c r="S1039" s="11"/>
      <c r="T1039" s="11"/>
      <c r="U1039" s="11"/>
      <c r="V1039" t="s" s="10">
        <v>78</v>
      </c>
      <c r="W1039" s="11"/>
      <c r="X1039" t="s" s="10">
        <v>69</v>
      </c>
      <c r="Y1039" s="11"/>
      <c r="Z1039" t="s" s="10">
        <v>205</v>
      </c>
      <c r="AA1039" s="11"/>
      <c r="AB1039" t="s" s="10">
        <v>2098</v>
      </c>
      <c r="AC1039" s="11"/>
      <c r="AD1039" s="11"/>
      <c r="AE1039" s="11"/>
      <c r="AF1039" s="11"/>
      <c r="AG1039" t="s" s="10">
        <v>299</v>
      </c>
      <c r="AH1039" t="s" s="10">
        <v>106</v>
      </c>
      <c r="AI1039" t="s" s="10">
        <v>76</v>
      </c>
      <c r="AJ1039" t="s" s="10">
        <v>76</v>
      </c>
      <c r="AK1039" t="s" s="10">
        <v>79</v>
      </c>
      <c r="AL1039" t="s" s="10">
        <v>293</v>
      </c>
      <c r="AM1039" t="s" s="10">
        <v>294</v>
      </c>
      <c r="AN1039" s="11"/>
      <c r="AO1039" s="18">
        <v>8</v>
      </c>
      <c r="AP1039" s="18">
        <v>28672</v>
      </c>
      <c r="AQ1039" s="18">
        <v>965768</v>
      </c>
      <c r="AR1039" s="18">
        <v>965768</v>
      </c>
      <c r="AS1039" t="s" s="10">
        <v>4117</v>
      </c>
      <c r="AT1039" t="s" s="10">
        <v>301</v>
      </c>
      <c r="AU1039" s="11"/>
      <c r="AV1039" s="11"/>
      <c r="AW1039" s="11"/>
      <c r="AX1039" s="11"/>
      <c r="AY1039" s="11"/>
      <c r="AZ1039" s="11"/>
      <c r="BA1039" s="11"/>
      <c r="BB1039" s="11"/>
      <c r="BC1039" s="11"/>
      <c r="BD1039" s="11"/>
      <c r="BE1039" s="11"/>
      <c r="BF1039" s="11"/>
      <c r="BG1039" s="11"/>
      <c r="BH1039" s="11"/>
      <c r="BI1039" s="11"/>
      <c r="BJ1039" s="11"/>
      <c r="BK1039" s="11"/>
      <c r="BL1039" s="11"/>
      <c r="BM1039" s="11"/>
      <c r="BN1039" t="s" s="10">
        <v>69</v>
      </c>
      <c r="BO1039" s="12"/>
      <c r="BP1039" s="8"/>
    </row>
    <row r="1040" ht="9" customHeight="1" hidden="1">
      <c r="A1040" t="s" s="13">
        <v>4118</v>
      </c>
      <c r="B1040" s="14"/>
      <c r="C1040" t="str" s="14" cm="1">
        <f t="array" ref="C1040">_xlfn.IFERROR((VLOOKUP(A1040,#REF!,2,FALSE)),"")</f>
      </c>
      <c r="D1040" s="14"/>
      <c r="E1040" s="14"/>
      <c r="F1040" s="14"/>
      <c r="G1040" t="s" s="15">
        <v>4119</v>
      </c>
      <c r="H1040" t="s" s="15">
        <v>4119</v>
      </c>
      <c r="I1040" t="s" s="15">
        <v>111</v>
      </c>
      <c r="J1040" t="s" s="15">
        <v>122</v>
      </c>
      <c r="K1040" t="s" s="15">
        <v>113</v>
      </c>
      <c r="L1040" t="s" s="15">
        <v>2097</v>
      </c>
      <c r="M1040" t="s" s="15">
        <v>4119</v>
      </c>
      <c r="N1040" t="s" s="15">
        <v>4119</v>
      </c>
      <c r="O1040" s="14"/>
      <c r="P1040" t="s" s="15">
        <v>122</v>
      </c>
      <c r="Q1040" t="s" s="15">
        <v>78</v>
      </c>
      <c r="R1040" t="s" s="15">
        <v>83</v>
      </c>
      <c r="S1040" s="14"/>
      <c r="T1040" s="14"/>
      <c r="U1040" s="14"/>
      <c r="V1040" t="s" s="15">
        <v>78</v>
      </c>
      <c r="W1040" s="14"/>
      <c r="X1040" t="s" s="15">
        <v>69</v>
      </c>
      <c r="Y1040" s="14"/>
      <c r="Z1040" t="s" s="15">
        <v>205</v>
      </c>
      <c r="AA1040" s="14"/>
      <c r="AB1040" t="s" s="15">
        <v>2098</v>
      </c>
      <c r="AC1040" s="14"/>
      <c r="AD1040" s="14"/>
      <c r="AE1040" s="14"/>
      <c r="AF1040" s="14"/>
      <c r="AG1040" t="s" s="15">
        <v>299</v>
      </c>
      <c r="AH1040" t="s" s="15">
        <v>106</v>
      </c>
      <c r="AI1040" t="s" s="15">
        <v>76</v>
      </c>
      <c r="AJ1040" t="s" s="15">
        <v>76</v>
      </c>
      <c r="AK1040" t="s" s="15">
        <v>79</v>
      </c>
      <c r="AL1040" t="s" s="15">
        <v>293</v>
      </c>
      <c r="AM1040" t="s" s="15">
        <v>294</v>
      </c>
      <c r="AN1040" s="14"/>
      <c r="AO1040" s="17">
        <v>4</v>
      </c>
      <c r="AP1040" s="17">
        <v>16384</v>
      </c>
      <c r="AQ1040" s="17">
        <v>61509</v>
      </c>
      <c r="AR1040" s="17">
        <v>18816</v>
      </c>
      <c r="AS1040" t="s" s="15">
        <v>4120</v>
      </c>
      <c r="AT1040" s="14"/>
      <c r="AU1040" s="14"/>
      <c r="AV1040" s="14"/>
      <c r="AW1040" s="14"/>
      <c r="AX1040" s="14"/>
      <c r="AY1040" s="14"/>
      <c r="AZ1040" s="14"/>
      <c r="BA1040" s="14"/>
      <c r="BB1040" s="14"/>
      <c r="BC1040" s="14"/>
      <c r="BD1040" s="14"/>
      <c r="BE1040" s="14"/>
      <c r="BF1040" s="14"/>
      <c r="BG1040" s="14"/>
      <c r="BH1040" s="14"/>
      <c r="BI1040" s="14"/>
      <c r="BJ1040" s="14"/>
      <c r="BK1040" s="14"/>
      <c r="BL1040" s="14"/>
      <c r="BM1040" s="14"/>
      <c r="BN1040" t="s" s="15">
        <v>78</v>
      </c>
      <c r="BO1040" s="16"/>
      <c r="BP1040" s="8"/>
    </row>
    <row r="1041" ht="9" customHeight="1" hidden="1">
      <c r="A1041" t="s" s="9">
        <v>4121</v>
      </c>
      <c r="B1041" s="11"/>
      <c r="C1041" t="str" s="11" cm="1">
        <f t="array" ref="C1041">_xlfn.IFERROR((VLOOKUP(A1041,#REF!,2,FALSE)),"")</f>
      </c>
      <c r="D1041" s="11"/>
      <c r="E1041" s="11"/>
      <c r="F1041" s="11"/>
      <c r="G1041" t="s" s="10">
        <v>4122</v>
      </c>
      <c r="H1041" t="s" s="10">
        <v>4122</v>
      </c>
      <c r="I1041" t="s" s="10">
        <v>111</v>
      </c>
      <c r="J1041" t="s" s="10">
        <v>122</v>
      </c>
      <c r="K1041" t="s" s="10">
        <v>113</v>
      </c>
      <c r="L1041" t="s" s="10">
        <v>2097</v>
      </c>
      <c r="M1041" t="s" s="10">
        <v>4123</v>
      </c>
      <c r="N1041" t="s" s="10">
        <v>4122</v>
      </c>
      <c r="O1041" s="11"/>
      <c r="P1041" t="s" s="10">
        <v>469</v>
      </c>
      <c r="Q1041" t="s" s="10">
        <v>78</v>
      </c>
      <c r="R1041" t="s" s="10">
        <v>83</v>
      </c>
      <c r="S1041" s="11"/>
      <c r="T1041" s="11"/>
      <c r="U1041" s="11"/>
      <c r="V1041" t="s" s="10">
        <v>78</v>
      </c>
      <c r="W1041" s="11"/>
      <c r="X1041" t="s" s="10">
        <v>69</v>
      </c>
      <c r="Y1041" s="11"/>
      <c r="Z1041" t="s" s="10">
        <v>205</v>
      </c>
      <c r="AA1041" s="11"/>
      <c r="AB1041" t="s" s="10">
        <v>2098</v>
      </c>
      <c r="AC1041" s="11"/>
      <c r="AD1041" s="11"/>
      <c r="AE1041" s="11"/>
      <c r="AF1041" s="11"/>
      <c r="AG1041" s="11"/>
      <c r="AH1041" t="s" s="10">
        <v>106</v>
      </c>
      <c r="AI1041" t="s" s="10">
        <v>76</v>
      </c>
      <c r="AJ1041" t="s" s="10">
        <v>76</v>
      </c>
      <c r="AK1041" t="s" s="10">
        <v>79</v>
      </c>
      <c r="AL1041" s="11"/>
      <c r="AM1041" s="11"/>
      <c r="AN1041" s="11"/>
      <c r="AO1041" s="11"/>
      <c r="AP1041" s="11"/>
      <c r="AQ1041" s="11"/>
      <c r="AR1041" s="11"/>
      <c r="AS1041" s="11"/>
      <c r="AT1041" s="11"/>
      <c r="AU1041" s="11"/>
      <c r="AV1041" s="11"/>
      <c r="AW1041" s="11"/>
      <c r="AX1041" s="11"/>
      <c r="AY1041" s="11"/>
      <c r="AZ1041" s="11"/>
      <c r="BA1041" s="11"/>
      <c r="BB1041" s="11"/>
      <c r="BC1041" s="11"/>
      <c r="BD1041" s="11"/>
      <c r="BE1041" s="11"/>
      <c r="BF1041" s="11"/>
      <c r="BG1041" s="11"/>
      <c r="BH1041" s="11"/>
      <c r="BI1041" s="11"/>
      <c r="BJ1041" s="11"/>
      <c r="BK1041" s="11"/>
      <c r="BL1041" s="11"/>
      <c r="BM1041" s="11"/>
      <c r="BN1041" t="s" s="10">
        <v>78</v>
      </c>
      <c r="BO1041" s="12"/>
      <c r="BP1041" s="8"/>
    </row>
    <row r="1042" ht="9" customHeight="1" hidden="1">
      <c r="A1042" t="s" s="13">
        <v>4124</v>
      </c>
      <c r="B1042" s="14"/>
      <c r="C1042" t="str" s="14" cm="1">
        <f t="array" ref="C1042">_xlfn.IFERROR((VLOOKUP(A1042,#REF!,2,FALSE)),"")</f>
      </c>
      <c r="D1042" s="14"/>
      <c r="E1042" t="s" s="15">
        <v>303</v>
      </c>
      <c r="F1042" s="14"/>
      <c r="G1042" t="s" s="15">
        <v>4125</v>
      </c>
      <c r="H1042" t="s" s="15">
        <v>4126</v>
      </c>
      <c r="I1042" t="s" s="15">
        <v>73</v>
      </c>
      <c r="J1042" t="s" s="15">
        <v>74</v>
      </c>
      <c r="K1042" t="s" s="15">
        <v>113</v>
      </c>
      <c r="L1042" t="s" s="15">
        <v>76</v>
      </c>
      <c r="M1042" t="s" s="15">
        <v>4125</v>
      </c>
      <c r="N1042" t="s" s="15">
        <v>4125</v>
      </c>
      <c r="O1042" t="s" s="15">
        <v>71</v>
      </c>
      <c r="P1042" t="s" s="15">
        <v>74</v>
      </c>
      <c r="Q1042" t="s" s="15">
        <v>78</v>
      </c>
      <c r="R1042" t="s" s="15">
        <v>71</v>
      </c>
      <c r="S1042" s="14"/>
      <c r="T1042" s="14"/>
      <c r="U1042" s="14"/>
      <c r="V1042" t="s" s="15">
        <v>78</v>
      </c>
      <c r="W1042" t="s" s="15">
        <v>4124</v>
      </c>
      <c r="X1042" t="s" s="15">
        <v>69</v>
      </c>
      <c r="Y1042" s="14"/>
      <c r="Z1042" t="s" s="15">
        <v>76</v>
      </c>
      <c r="AA1042" s="14"/>
      <c r="AB1042" t="s" s="15">
        <v>76</v>
      </c>
      <c r="AC1042" s="14"/>
      <c r="AD1042" s="14"/>
      <c r="AE1042" s="14"/>
      <c r="AF1042" s="14"/>
      <c r="AG1042" s="14"/>
      <c r="AH1042" t="s" s="15">
        <v>106</v>
      </c>
      <c r="AI1042" t="s" s="15">
        <v>76</v>
      </c>
      <c r="AJ1042" t="s" s="15">
        <v>76</v>
      </c>
      <c r="AK1042" t="s" s="15">
        <v>79</v>
      </c>
      <c r="AL1042" s="14"/>
      <c r="AM1042" s="14"/>
      <c r="AN1042" s="14"/>
      <c r="AO1042" s="14"/>
      <c r="AP1042" s="14"/>
      <c r="AQ1042" s="14"/>
      <c r="AR1042" s="14"/>
      <c r="AS1042" s="14"/>
      <c r="AT1042" s="14"/>
      <c r="AU1042" s="14"/>
      <c r="AV1042" s="14"/>
      <c r="AW1042" s="14"/>
      <c r="AX1042" s="14"/>
      <c r="AY1042" s="14"/>
      <c r="AZ1042" s="14"/>
      <c r="BA1042" s="14"/>
      <c r="BB1042" s="14"/>
      <c r="BC1042" s="14"/>
      <c r="BD1042" s="14"/>
      <c r="BE1042" s="14"/>
      <c r="BF1042" s="14"/>
      <c r="BG1042" s="14"/>
      <c r="BH1042" s="14"/>
      <c r="BI1042" s="14"/>
      <c r="BJ1042" s="14"/>
      <c r="BK1042" s="14"/>
      <c r="BL1042" s="14"/>
      <c r="BM1042" s="14"/>
      <c r="BN1042" s="14"/>
      <c r="BO1042" s="16"/>
      <c r="BP1042" s="8"/>
    </row>
    <row r="1043" ht="9" customHeight="1" hidden="1">
      <c r="A1043" t="s" s="9">
        <v>4127</v>
      </c>
      <c r="B1043" s="11"/>
      <c r="C1043" t="str" s="11" cm="1">
        <f t="array" ref="C1043">_xlfn.IFERROR((VLOOKUP(A1043,#REF!,2,FALSE)),"")</f>
      </c>
      <c r="D1043" t="s" s="10">
        <v>70</v>
      </c>
      <c r="E1043" t="s" s="10">
        <v>450</v>
      </c>
      <c r="F1043" s="11"/>
      <c r="G1043" t="s" s="10">
        <v>4128</v>
      </c>
      <c r="H1043" t="s" s="10">
        <v>4128</v>
      </c>
      <c r="I1043" t="s" s="10">
        <v>111</v>
      </c>
      <c r="J1043" t="s" s="10">
        <v>452</v>
      </c>
      <c r="K1043" t="s" s="10">
        <v>210</v>
      </c>
      <c r="L1043" t="s" s="10">
        <v>76</v>
      </c>
      <c r="M1043" t="s" s="10">
        <v>4128</v>
      </c>
      <c r="N1043" t="s" s="10">
        <v>4128</v>
      </c>
      <c r="O1043" s="11"/>
      <c r="P1043" t="s" s="10">
        <v>452</v>
      </c>
      <c r="Q1043" t="s" s="10">
        <v>78</v>
      </c>
      <c r="R1043" t="s" s="10">
        <v>83</v>
      </c>
      <c r="S1043" s="11"/>
      <c r="T1043" s="11"/>
      <c r="U1043" s="11"/>
      <c r="V1043" t="s" s="10">
        <v>78</v>
      </c>
      <c r="W1043" s="11"/>
      <c r="X1043" t="s" s="10">
        <v>69</v>
      </c>
      <c r="Y1043" s="11"/>
      <c r="Z1043" t="s" s="10">
        <v>76</v>
      </c>
      <c r="AA1043" s="11"/>
      <c r="AB1043" t="s" s="10">
        <v>76</v>
      </c>
      <c r="AC1043" s="11"/>
      <c r="AD1043" s="11"/>
      <c r="AE1043" s="11"/>
      <c r="AF1043" s="11"/>
      <c r="AG1043" t="s" s="10">
        <v>453</v>
      </c>
      <c r="AH1043" t="s" s="10">
        <v>106</v>
      </c>
      <c r="AI1043" t="s" s="10">
        <v>76</v>
      </c>
      <c r="AJ1043" t="s" s="10">
        <v>76</v>
      </c>
      <c r="AK1043" t="s" s="10">
        <v>79</v>
      </c>
      <c r="AL1043" t="s" s="10">
        <v>293</v>
      </c>
      <c r="AM1043" t="s" s="10">
        <v>294</v>
      </c>
      <c r="AN1043" s="11"/>
      <c r="AO1043" s="18">
        <v>4</v>
      </c>
      <c r="AP1043" s="18">
        <v>19456</v>
      </c>
      <c r="AQ1043" s="18">
        <v>1473137</v>
      </c>
      <c r="AR1043" s="18">
        <v>825105</v>
      </c>
      <c r="AS1043" t="s" s="10">
        <v>4129</v>
      </c>
      <c r="AT1043" s="11"/>
      <c r="AU1043" s="11"/>
      <c r="AV1043" s="11"/>
      <c r="AW1043" s="11"/>
      <c r="AX1043" s="11"/>
      <c r="AY1043" s="11"/>
      <c r="AZ1043" s="11"/>
      <c r="BA1043" s="11"/>
      <c r="BB1043" s="11"/>
      <c r="BC1043" s="11"/>
      <c r="BD1043" s="11"/>
      <c r="BE1043" s="11"/>
      <c r="BF1043" s="11"/>
      <c r="BG1043" s="11"/>
      <c r="BH1043" s="11"/>
      <c r="BI1043" s="11"/>
      <c r="BJ1043" s="11"/>
      <c r="BK1043" s="11"/>
      <c r="BL1043" s="11"/>
      <c r="BM1043" s="11"/>
      <c r="BN1043" t="s" s="10">
        <v>69</v>
      </c>
      <c r="BO1043" s="12"/>
      <c r="BP1043" s="8"/>
    </row>
    <row r="1044" ht="9" customHeight="1" hidden="1">
      <c r="A1044" t="s" s="13">
        <v>4130</v>
      </c>
      <c r="B1044" s="14"/>
      <c r="C1044" t="str" s="14" cm="1">
        <f t="array" ref="C1044">_xlfn.IFERROR((VLOOKUP(A1044,#REF!,2,FALSE)),"")</f>
      </c>
      <c r="D1044" s="14"/>
      <c r="E1044" s="14"/>
      <c r="F1044" s="14"/>
      <c r="G1044" t="s" s="15">
        <v>4131</v>
      </c>
      <c r="H1044" t="s" s="15">
        <v>4131</v>
      </c>
      <c r="I1044" t="s" s="15">
        <v>111</v>
      </c>
      <c r="J1044" t="s" s="15">
        <v>122</v>
      </c>
      <c r="K1044" t="s" s="15">
        <v>210</v>
      </c>
      <c r="L1044" t="s" s="15">
        <v>76</v>
      </c>
      <c r="M1044" t="s" s="15">
        <v>4131</v>
      </c>
      <c r="N1044" t="s" s="15">
        <v>4131</v>
      </c>
      <c r="O1044" s="14"/>
      <c r="P1044" t="s" s="15">
        <v>122</v>
      </c>
      <c r="Q1044" t="s" s="15">
        <v>69</v>
      </c>
      <c r="R1044" t="s" s="15">
        <v>83</v>
      </c>
      <c r="S1044" s="14"/>
      <c r="T1044" s="14"/>
      <c r="U1044" s="14"/>
      <c r="V1044" t="s" s="15">
        <v>69</v>
      </c>
      <c r="W1044" s="14"/>
      <c r="X1044" t="s" s="15">
        <v>69</v>
      </c>
      <c r="Y1044" s="14"/>
      <c r="Z1044" t="s" s="15">
        <v>76</v>
      </c>
      <c r="AA1044" s="14"/>
      <c r="AB1044" t="s" s="15">
        <v>76</v>
      </c>
      <c r="AC1044" t="s" s="15">
        <v>4130</v>
      </c>
      <c r="AD1044" t="s" s="15">
        <v>4132</v>
      </c>
      <c r="AE1044" s="14"/>
      <c r="AF1044" s="14"/>
      <c r="AG1044" t="s" s="15">
        <v>299</v>
      </c>
      <c r="AH1044" t="s" s="15">
        <v>106</v>
      </c>
      <c r="AI1044" t="s" s="15">
        <v>76</v>
      </c>
      <c r="AJ1044" t="s" s="15">
        <v>76</v>
      </c>
      <c r="AK1044" t="s" s="15">
        <v>79</v>
      </c>
      <c r="AL1044" t="s" s="15">
        <v>293</v>
      </c>
      <c r="AM1044" t="s" s="15">
        <v>294</v>
      </c>
      <c r="AN1044" t="s" s="15">
        <v>187</v>
      </c>
      <c r="AO1044" s="17">
        <v>3</v>
      </c>
      <c r="AP1044" s="17">
        <v>8192</v>
      </c>
      <c r="AQ1044" s="17">
        <v>417879</v>
      </c>
      <c r="AR1044" s="17">
        <v>45555</v>
      </c>
      <c r="AS1044" t="s" s="15">
        <v>4133</v>
      </c>
      <c r="AT1044" t="s" s="15">
        <v>301</v>
      </c>
      <c r="AU1044" s="14"/>
      <c r="AV1044" s="14"/>
      <c r="AW1044" s="14"/>
      <c r="AX1044" s="14"/>
      <c r="AY1044" s="14"/>
      <c r="AZ1044" s="14"/>
      <c r="BA1044" s="14"/>
      <c r="BB1044" s="14"/>
      <c r="BC1044" s="14"/>
      <c r="BD1044" s="14"/>
      <c r="BE1044" s="14"/>
      <c r="BF1044" s="14"/>
      <c r="BG1044" s="14"/>
      <c r="BH1044" s="14"/>
      <c r="BI1044" s="14"/>
      <c r="BJ1044" s="14"/>
      <c r="BK1044" s="14"/>
      <c r="BL1044" s="14"/>
      <c r="BM1044" s="14"/>
      <c r="BN1044" t="s" s="15">
        <v>78</v>
      </c>
      <c r="BO1044" s="16"/>
      <c r="BP1044" s="8"/>
    </row>
    <row r="1045" ht="9" customHeight="1" hidden="1">
      <c r="A1045" t="s" s="9">
        <v>4134</v>
      </c>
      <c r="B1045" s="11"/>
      <c r="C1045" t="str" s="11" cm="1">
        <f t="array" ref="C1045">_xlfn.IFERROR((VLOOKUP(A1045,#REF!,2,FALSE)),"")</f>
      </c>
      <c r="D1045" s="11"/>
      <c r="E1045" t="s" s="10">
        <v>2335</v>
      </c>
      <c r="F1045" s="11"/>
      <c r="G1045" t="s" s="10">
        <v>4135</v>
      </c>
      <c r="H1045" t="s" s="10">
        <v>3192</v>
      </c>
      <c r="I1045" t="s" s="10">
        <v>74</v>
      </c>
      <c r="J1045" t="s" s="10">
        <v>74</v>
      </c>
      <c r="K1045" t="s" s="10">
        <v>113</v>
      </c>
      <c r="L1045" t="s" s="10">
        <v>76</v>
      </c>
      <c r="M1045" t="s" s="10">
        <v>4135</v>
      </c>
      <c r="N1045" t="s" s="10">
        <v>4135</v>
      </c>
      <c r="O1045" s="11"/>
      <c r="P1045" t="s" s="10">
        <v>122</v>
      </c>
      <c r="Q1045" t="s" s="10">
        <v>78</v>
      </c>
      <c r="R1045" t="s" s="10">
        <v>83</v>
      </c>
      <c r="S1045" s="11"/>
      <c r="T1045" s="11"/>
      <c r="U1045" s="11"/>
      <c r="V1045" t="s" s="10">
        <v>69</v>
      </c>
      <c r="W1045" s="11"/>
      <c r="X1045" t="s" s="10">
        <v>69</v>
      </c>
      <c r="Y1045" s="11"/>
      <c r="Z1045" t="s" s="10">
        <v>1327</v>
      </c>
      <c r="AA1045" s="11"/>
      <c r="AB1045" t="s" s="10">
        <v>4136</v>
      </c>
      <c r="AC1045" s="11"/>
      <c r="AD1045" s="11"/>
      <c r="AE1045" s="11"/>
      <c r="AF1045" t="s" s="10">
        <v>4137</v>
      </c>
      <c r="AG1045" t="s" s="10">
        <v>299</v>
      </c>
      <c r="AH1045" t="s" s="10">
        <v>114</v>
      </c>
      <c r="AI1045" t="s" s="10">
        <v>76</v>
      </c>
      <c r="AJ1045" t="s" s="10">
        <v>76</v>
      </c>
      <c r="AK1045" t="s" s="10">
        <v>79</v>
      </c>
      <c r="AL1045" t="s" s="10">
        <v>293</v>
      </c>
      <c r="AM1045" t="s" s="10">
        <v>294</v>
      </c>
      <c r="AN1045" t="s" s="10">
        <v>4138</v>
      </c>
      <c r="AO1045" s="18">
        <v>2</v>
      </c>
      <c r="AP1045" s="18">
        <v>4096</v>
      </c>
      <c r="AQ1045" s="18">
        <v>274515</v>
      </c>
      <c r="AR1045" s="18">
        <v>173529</v>
      </c>
      <c r="AS1045" t="s" s="10">
        <v>4139</v>
      </c>
      <c r="AT1045" t="s" s="10">
        <v>301</v>
      </c>
      <c r="AU1045" s="11"/>
      <c r="AV1045" s="11"/>
      <c r="AW1045" s="11"/>
      <c r="AX1045" s="11"/>
      <c r="AY1045" s="11"/>
      <c r="AZ1045" s="11"/>
      <c r="BA1045" s="11"/>
      <c r="BB1045" s="11"/>
      <c r="BC1045" s="11"/>
      <c r="BD1045" t="s" s="10">
        <v>310</v>
      </c>
      <c r="BE1045" t="s" s="10">
        <v>419</v>
      </c>
      <c r="BF1045" s="18">
        <v>2</v>
      </c>
      <c r="BG1045" s="18">
        <v>4</v>
      </c>
      <c r="BH1045" s="11"/>
      <c r="BI1045" s="11"/>
      <c r="BJ1045" s="11"/>
      <c r="BK1045" s="11"/>
      <c r="BL1045" s="11"/>
      <c r="BM1045" s="11"/>
      <c r="BN1045" t="s" s="10">
        <v>69</v>
      </c>
      <c r="BO1045" s="12"/>
      <c r="BP1045" s="8"/>
    </row>
    <row r="1046" ht="9" customHeight="1" hidden="1">
      <c r="A1046" t="s" s="13">
        <v>4140</v>
      </c>
      <c r="B1046" s="14"/>
      <c r="C1046" t="str" s="14" cm="1">
        <f t="array" ref="C1046">_xlfn.IFERROR((VLOOKUP(A1046,#REF!,2,FALSE)),"")</f>
      </c>
      <c r="D1046" s="14"/>
      <c r="E1046" t="s" s="15">
        <v>2335</v>
      </c>
      <c r="F1046" s="14"/>
      <c r="G1046" t="s" s="15">
        <v>4141</v>
      </c>
      <c r="H1046" t="s" s="15">
        <v>1111</v>
      </c>
      <c r="I1046" t="s" s="15">
        <v>82</v>
      </c>
      <c r="J1046" t="s" s="15">
        <v>82</v>
      </c>
      <c r="K1046" t="s" s="15">
        <v>82</v>
      </c>
      <c r="L1046" t="s" s="15">
        <v>518</v>
      </c>
      <c r="M1046" t="s" s="15">
        <v>77</v>
      </c>
      <c r="N1046" s="14"/>
      <c r="O1046" s="14"/>
      <c r="P1046" s="14"/>
      <c r="Q1046" t="s" s="15">
        <v>78</v>
      </c>
      <c r="R1046" t="s" s="15">
        <v>83</v>
      </c>
      <c r="S1046" s="14"/>
      <c r="T1046" s="14"/>
      <c r="U1046" s="14"/>
      <c r="V1046" t="s" s="15">
        <v>69</v>
      </c>
      <c r="W1046" s="14"/>
      <c r="X1046" t="s" s="15">
        <v>78</v>
      </c>
      <c r="Y1046" s="14"/>
      <c r="Z1046" t="s" s="15">
        <v>76</v>
      </c>
      <c r="AA1046" s="14"/>
      <c r="AB1046" t="s" s="15">
        <v>1112</v>
      </c>
      <c r="AC1046" s="14"/>
      <c r="AD1046" s="14"/>
      <c r="AE1046" s="14"/>
      <c r="AF1046" s="14"/>
      <c r="AG1046" t="s" s="15">
        <v>299</v>
      </c>
      <c r="AH1046" t="s" s="15">
        <v>114</v>
      </c>
      <c r="AI1046" t="s" s="15">
        <v>76</v>
      </c>
      <c r="AJ1046" t="s" s="15">
        <v>76</v>
      </c>
      <c r="AK1046" t="s" s="15">
        <v>79</v>
      </c>
      <c r="AL1046" t="s" s="15">
        <v>293</v>
      </c>
      <c r="AM1046" t="s" s="15">
        <v>294</v>
      </c>
      <c r="AN1046" t="s" s="15">
        <v>4142</v>
      </c>
      <c r="AO1046" s="17">
        <v>8</v>
      </c>
      <c r="AP1046" s="17">
        <v>8192</v>
      </c>
      <c r="AQ1046" s="17">
        <v>161894</v>
      </c>
      <c r="AR1046" s="17">
        <v>161894</v>
      </c>
      <c r="AS1046" t="s" s="15">
        <v>4143</v>
      </c>
      <c r="AT1046" t="s" s="15">
        <v>301</v>
      </c>
      <c r="AU1046" s="14"/>
      <c r="AV1046" s="14"/>
      <c r="AW1046" s="14"/>
      <c r="AX1046" s="14"/>
      <c r="AY1046" s="14"/>
      <c r="AZ1046" s="14"/>
      <c r="BA1046" s="14"/>
      <c r="BB1046" s="14"/>
      <c r="BC1046" s="14"/>
      <c r="BD1046" t="s" s="15">
        <v>310</v>
      </c>
      <c r="BE1046" t="s" s="15">
        <v>311</v>
      </c>
      <c r="BF1046" s="17">
        <v>8</v>
      </c>
      <c r="BG1046" s="17">
        <v>16</v>
      </c>
      <c r="BH1046" s="14"/>
      <c r="BI1046" s="14"/>
      <c r="BJ1046" s="14"/>
      <c r="BK1046" s="14"/>
      <c r="BL1046" s="14"/>
      <c r="BM1046" s="14"/>
      <c r="BN1046" t="s" s="15">
        <v>69</v>
      </c>
      <c r="BO1046" s="16"/>
      <c r="BP1046" s="8"/>
    </row>
    <row r="1047" ht="9" customHeight="1" hidden="1">
      <c r="A1047" t="s" s="9">
        <v>4144</v>
      </c>
      <c r="B1047" s="11"/>
      <c r="C1047" t="str" s="11" cm="1">
        <f t="array" ref="C1047">_xlfn.IFERROR((VLOOKUP(A1047,#REF!,2,FALSE)),"")</f>
      </c>
      <c r="D1047" s="11"/>
      <c r="E1047" s="11"/>
      <c r="F1047" s="11"/>
      <c r="G1047" t="s" s="10">
        <v>4145</v>
      </c>
      <c r="H1047" t="s" s="10">
        <v>4145</v>
      </c>
      <c r="I1047" t="s" s="10">
        <v>271</v>
      </c>
      <c r="J1047" t="s" s="10">
        <v>74</v>
      </c>
      <c r="K1047" t="s" s="10">
        <v>113</v>
      </c>
      <c r="L1047" t="s" s="10">
        <v>76</v>
      </c>
      <c r="M1047" t="s" s="10">
        <v>4145</v>
      </c>
      <c r="N1047" t="s" s="10">
        <v>4145</v>
      </c>
      <c r="O1047" s="11"/>
      <c r="P1047" t="s" s="10">
        <v>74</v>
      </c>
      <c r="Q1047" t="s" s="10">
        <v>78</v>
      </c>
      <c r="R1047" t="s" s="10">
        <v>83</v>
      </c>
      <c r="S1047" s="11"/>
      <c r="T1047" s="11"/>
      <c r="U1047" s="11"/>
      <c r="V1047" t="s" s="10">
        <v>78</v>
      </c>
      <c r="W1047" s="11"/>
      <c r="X1047" t="s" s="10">
        <v>69</v>
      </c>
      <c r="Y1047" s="11"/>
      <c r="Z1047" t="s" s="10">
        <v>76</v>
      </c>
      <c r="AA1047" s="11"/>
      <c r="AB1047" t="s" s="10">
        <v>76</v>
      </c>
      <c r="AC1047" s="11"/>
      <c r="AD1047" s="11"/>
      <c r="AE1047" s="11"/>
      <c r="AF1047" s="11"/>
      <c r="AG1047" s="11"/>
      <c r="AH1047" s="11"/>
      <c r="AI1047" t="s" s="10">
        <v>76</v>
      </c>
      <c r="AJ1047" t="s" s="10">
        <v>76</v>
      </c>
      <c r="AK1047" t="s" s="10">
        <v>79</v>
      </c>
      <c r="AL1047" s="11"/>
      <c r="AM1047" t="s" s="10">
        <v>196</v>
      </c>
      <c r="AN1047" s="11"/>
      <c r="AO1047" s="18">
        <v>2</v>
      </c>
      <c r="AP1047" s="18">
        <v>4096</v>
      </c>
      <c r="AQ1047" s="18">
        <v>107082</v>
      </c>
      <c r="AR1047" s="18">
        <v>68662</v>
      </c>
      <c r="AS1047" t="s" s="10">
        <v>4146</v>
      </c>
      <c r="AT1047" s="11"/>
      <c r="AU1047" s="11"/>
      <c r="AV1047" s="11"/>
      <c r="AW1047" s="11"/>
      <c r="AX1047" s="11"/>
      <c r="AY1047" s="11"/>
      <c r="AZ1047" s="11"/>
      <c r="BA1047" s="11"/>
      <c r="BB1047" s="11"/>
      <c r="BC1047" s="11"/>
      <c r="BD1047" s="11"/>
      <c r="BE1047" s="11"/>
      <c r="BF1047" s="11"/>
      <c r="BG1047" s="11"/>
      <c r="BH1047" s="11"/>
      <c r="BI1047" s="11"/>
      <c r="BJ1047" s="11"/>
      <c r="BK1047" s="11"/>
      <c r="BL1047" s="11"/>
      <c r="BM1047" s="11"/>
      <c r="BN1047" t="s" s="10">
        <v>78</v>
      </c>
      <c r="BO1047" s="12"/>
      <c r="BP1047" s="8"/>
    </row>
    <row r="1048" ht="9" customHeight="1" hidden="1">
      <c r="A1048" t="s" s="13">
        <v>4147</v>
      </c>
      <c r="B1048" s="14"/>
      <c r="C1048" t="str" s="14" cm="1">
        <f t="array" ref="C1048">_xlfn.IFERROR((VLOOKUP(A1048,#REF!,2,FALSE)),"")</f>
      </c>
      <c r="D1048" s="14"/>
      <c r="E1048" s="14"/>
      <c r="F1048" s="14"/>
      <c r="G1048" t="s" s="15">
        <v>4148</v>
      </c>
      <c r="H1048" t="s" s="15">
        <v>4149</v>
      </c>
      <c r="I1048" t="s" s="15">
        <v>82</v>
      </c>
      <c r="J1048" t="s" s="15">
        <v>82</v>
      </c>
      <c r="K1048" t="s" s="15">
        <v>82</v>
      </c>
      <c r="L1048" t="s" s="15">
        <v>76</v>
      </c>
      <c r="M1048" t="s" s="15">
        <v>77</v>
      </c>
      <c r="N1048" s="14"/>
      <c r="O1048" s="14"/>
      <c r="P1048" s="14"/>
      <c r="Q1048" t="s" s="15">
        <v>78</v>
      </c>
      <c r="R1048" t="s" s="15">
        <v>83</v>
      </c>
      <c r="S1048" s="14"/>
      <c r="T1048" s="14"/>
      <c r="U1048" s="14"/>
      <c r="V1048" t="s" s="15">
        <v>69</v>
      </c>
      <c r="W1048" s="14"/>
      <c r="X1048" t="s" s="15">
        <v>78</v>
      </c>
      <c r="Y1048" s="14"/>
      <c r="Z1048" t="s" s="15">
        <v>76</v>
      </c>
      <c r="AA1048" s="14"/>
      <c r="AB1048" t="s" s="15">
        <v>76</v>
      </c>
      <c r="AC1048" s="14"/>
      <c r="AD1048" s="14"/>
      <c r="AE1048" s="14"/>
      <c r="AF1048" s="14"/>
      <c r="AG1048" t="s" s="15">
        <v>299</v>
      </c>
      <c r="AH1048" t="s" s="15">
        <v>106</v>
      </c>
      <c r="AI1048" t="s" s="15">
        <v>76</v>
      </c>
      <c r="AJ1048" t="s" s="15">
        <v>76</v>
      </c>
      <c r="AK1048" t="s" s="15">
        <v>79</v>
      </c>
      <c r="AL1048" t="s" s="15">
        <v>293</v>
      </c>
      <c r="AM1048" t="s" s="15">
        <v>294</v>
      </c>
      <c r="AN1048" t="s" s="15">
        <v>4150</v>
      </c>
      <c r="AO1048" s="17">
        <v>4</v>
      </c>
      <c r="AP1048" s="17">
        <v>16384</v>
      </c>
      <c r="AQ1048" s="17">
        <v>272497</v>
      </c>
      <c r="AR1048" s="17">
        <v>72193</v>
      </c>
      <c r="AS1048" t="s" s="15">
        <v>4151</v>
      </c>
      <c r="AT1048" t="s" s="15">
        <v>301</v>
      </c>
      <c r="AU1048" s="14"/>
      <c r="AV1048" s="14"/>
      <c r="AW1048" s="14"/>
      <c r="AX1048" s="14"/>
      <c r="AY1048" s="14"/>
      <c r="AZ1048" s="14"/>
      <c r="BA1048" s="14"/>
      <c r="BB1048" s="14"/>
      <c r="BC1048" s="14"/>
      <c r="BD1048" s="14"/>
      <c r="BE1048" s="14"/>
      <c r="BF1048" s="14"/>
      <c r="BG1048" s="14"/>
      <c r="BH1048" s="14"/>
      <c r="BI1048" s="14"/>
      <c r="BJ1048" s="14"/>
      <c r="BK1048" s="14"/>
      <c r="BL1048" s="14"/>
      <c r="BM1048" s="14"/>
      <c r="BN1048" s="14"/>
      <c r="BO1048" s="16"/>
      <c r="BP1048" s="8"/>
    </row>
    <row r="1049" ht="9" customHeight="1" hidden="1">
      <c r="A1049" t="s" s="9">
        <v>4152</v>
      </c>
      <c r="B1049" s="11"/>
      <c r="C1049" t="str" s="11" cm="1">
        <f t="array" ref="C1049">_xlfn.IFERROR((VLOOKUP(A1049,#REF!,2,FALSE)),"")</f>
      </c>
      <c r="D1049" s="11"/>
      <c r="E1049" s="11"/>
      <c r="F1049" s="11"/>
      <c r="G1049" t="s" s="10">
        <v>4148</v>
      </c>
      <c r="H1049" t="s" s="10">
        <v>4149</v>
      </c>
      <c r="I1049" t="s" s="10">
        <v>82</v>
      </c>
      <c r="J1049" t="s" s="10">
        <v>82</v>
      </c>
      <c r="K1049" t="s" s="10">
        <v>82</v>
      </c>
      <c r="L1049" t="s" s="10">
        <v>76</v>
      </c>
      <c r="M1049" t="s" s="10">
        <v>77</v>
      </c>
      <c r="N1049" s="11"/>
      <c r="O1049" s="11"/>
      <c r="P1049" s="11"/>
      <c r="Q1049" t="s" s="10">
        <v>78</v>
      </c>
      <c r="R1049" t="s" s="10">
        <v>83</v>
      </c>
      <c r="S1049" s="11"/>
      <c r="T1049" s="11"/>
      <c r="U1049" s="11"/>
      <c r="V1049" t="s" s="10">
        <v>69</v>
      </c>
      <c r="W1049" s="11"/>
      <c r="X1049" t="s" s="10">
        <v>78</v>
      </c>
      <c r="Y1049" s="11"/>
      <c r="Z1049" t="s" s="10">
        <v>76</v>
      </c>
      <c r="AA1049" s="11"/>
      <c r="AB1049" t="s" s="10">
        <v>76</v>
      </c>
      <c r="AC1049" s="11"/>
      <c r="AD1049" s="11"/>
      <c r="AE1049" s="11"/>
      <c r="AF1049" s="11"/>
      <c r="AG1049" t="s" s="10">
        <v>299</v>
      </c>
      <c r="AH1049" t="s" s="10">
        <v>106</v>
      </c>
      <c r="AI1049" t="s" s="10">
        <v>76</v>
      </c>
      <c r="AJ1049" t="s" s="10">
        <v>76</v>
      </c>
      <c r="AK1049" t="s" s="10">
        <v>79</v>
      </c>
      <c r="AL1049" t="s" s="10">
        <v>293</v>
      </c>
      <c r="AM1049" t="s" s="10">
        <v>294</v>
      </c>
      <c r="AN1049" t="s" s="10">
        <v>4150</v>
      </c>
      <c r="AO1049" s="18">
        <v>4</v>
      </c>
      <c r="AP1049" s="18">
        <v>8192</v>
      </c>
      <c r="AQ1049" s="18">
        <v>90228</v>
      </c>
      <c r="AR1049" s="18">
        <v>79213</v>
      </c>
      <c r="AS1049" t="s" s="10">
        <v>4153</v>
      </c>
      <c r="AT1049" t="s" s="10">
        <v>301</v>
      </c>
      <c r="AU1049" s="11"/>
      <c r="AV1049" s="11"/>
      <c r="AW1049" s="11"/>
      <c r="AX1049" s="11"/>
      <c r="AY1049" s="11"/>
      <c r="AZ1049" s="11"/>
      <c r="BA1049" s="11"/>
      <c r="BB1049" s="11"/>
      <c r="BC1049" s="11"/>
      <c r="BD1049" s="11"/>
      <c r="BE1049" s="11"/>
      <c r="BF1049" s="11"/>
      <c r="BG1049" s="11"/>
      <c r="BH1049" s="11"/>
      <c r="BI1049" s="11"/>
      <c r="BJ1049" s="11"/>
      <c r="BK1049" s="11"/>
      <c r="BL1049" s="11"/>
      <c r="BM1049" s="11"/>
      <c r="BN1049" s="11"/>
      <c r="BO1049" s="12"/>
      <c r="BP1049" s="8"/>
    </row>
    <row r="1050" ht="9" customHeight="1" hidden="1">
      <c r="A1050" t="s" s="13">
        <v>4154</v>
      </c>
      <c r="B1050" s="14"/>
      <c r="C1050" t="str" s="14" cm="1">
        <f t="array" ref="C1050">_xlfn.IFERROR((VLOOKUP(A1050,#REF!,2,FALSE)),"")</f>
      </c>
      <c r="D1050" s="14"/>
      <c r="E1050" t="s" s="15">
        <v>2335</v>
      </c>
      <c r="F1050" t="s" s="15">
        <v>76</v>
      </c>
      <c r="G1050" t="s" s="15">
        <v>4155</v>
      </c>
      <c r="H1050" t="s" s="15">
        <v>4155</v>
      </c>
      <c r="I1050" t="s" s="15">
        <v>82</v>
      </c>
      <c r="J1050" t="s" s="15">
        <v>82</v>
      </c>
      <c r="K1050" t="s" s="15">
        <v>82</v>
      </c>
      <c r="L1050" t="s" s="15">
        <v>4156</v>
      </c>
      <c r="M1050" t="s" s="15">
        <v>77</v>
      </c>
      <c r="N1050" s="14"/>
      <c r="O1050" t="s" s="15">
        <v>286</v>
      </c>
      <c r="P1050" s="14"/>
      <c r="Q1050" t="s" s="15">
        <v>78</v>
      </c>
      <c r="R1050" t="s" s="15">
        <v>83</v>
      </c>
      <c r="S1050" s="14"/>
      <c r="T1050" s="14"/>
      <c r="U1050" s="14"/>
      <c r="V1050" t="s" s="15">
        <v>69</v>
      </c>
      <c r="W1050" s="14"/>
      <c r="X1050" t="s" s="15">
        <v>78</v>
      </c>
      <c r="Y1050" s="14"/>
      <c r="Z1050" t="s" s="15">
        <v>76</v>
      </c>
      <c r="AA1050" s="14"/>
      <c r="AB1050" t="s" s="15">
        <v>76</v>
      </c>
      <c r="AC1050" t="s" s="15">
        <v>4157</v>
      </c>
      <c r="AD1050" t="s" s="15">
        <v>4158</v>
      </c>
      <c r="AE1050" s="14"/>
      <c r="AF1050" s="14"/>
      <c r="AG1050" t="s" s="15">
        <v>299</v>
      </c>
      <c r="AH1050" t="s" s="15">
        <v>114</v>
      </c>
      <c r="AI1050" t="s" s="15">
        <v>76</v>
      </c>
      <c r="AJ1050" t="s" s="15">
        <v>76</v>
      </c>
      <c r="AK1050" t="s" s="15">
        <v>79</v>
      </c>
      <c r="AL1050" t="s" s="15">
        <v>293</v>
      </c>
      <c r="AM1050" t="s" s="15">
        <v>294</v>
      </c>
      <c r="AN1050" t="s" s="15">
        <v>4150</v>
      </c>
      <c r="AO1050" s="17">
        <v>8</v>
      </c>
      <c r="AP1050" s="17">
        <v>8192</v>
      </c>
      <c r="AQ1050" s="17">
        <v>520292</v>
      </c>
      <c r="AR1050" s="17">
        <v>312396</v>
      </c>
      <c r="AS1050" t="s" s="15">
        <v>4159</v>
      </c>
      <c r="AT1050" t="s" s="15">
        <v>301</v>
      </c>
      <c r="AU1050" s="14"/>
      <c r="AV1050" t="s" s="15">
        <v>76</v>
      </c>
      <c r="AW1050" t="s" s="15">
        <v>4160</v>
      </c>
      <c r="AX1050" t="s" s="15">
        <v>301</v>
      </c>
      <c r="AY1050" t="s" s="15">
        <v>309</v>
      </c>
      <c r="AZ1050" t="s" s="15">
        <v>4161</v>
      </c>
      <c r="BA1050" t="s" s="15">
        <v>76</v>
      </c>
      <c r="BB1050" t="s" s="15">
        <v>76</v>
      </c>
      <c r="BC1050" t="s" s="15">
        <v>76</v>
      </c>
      <c r="BD1050" t="s" s="15">
        <v>310</v>
      </c>
      <c r="BE1050" t="s" s="15">
        <v>311</v>
      </c>
      <c r="BF1050" s="17">
        <v>8</v>
      </c>
      <c r="BG1050" s="17">
        <v>16</v>
      </c>
      <c r="BH1050" s="14"/>
      <c r="BI1050" t="s" s="15">
        <v>83</v>
      </c>
      <c r="BJ1050" t="s" s="15">
        <v>83</v>
      </c>
      <c r="BK1050" t="s" s="15">
        <v>83</v>
      </c>
      <c r="BL1050" s="14"/>
      <c r="BM1050" t="s" s="15">
        <v>312</v>
      </c>
      <c r="BN1050" s="14"/>
      <c r="BO1050" t="s" s="21">
        <v>76</v>
      </c>
      <c r="BP1050" s="8"/>
    </row>
    <row r="1051" ht="9" customHeight="1" hidden="1">
      <c r="A1051" t="s" s="9">
        <v>4162</v>
      </c>
      <c r="B1051" s="11"/>
      <c r="C1051" t="str" s="11" cm="1">
        <f t="array" ref="C1051">_xlfn.IFERROR((VLOOKUP(A1051,#REF!,2,FALSE)),"")</f>
      </c>
      <c r="D1051" s="11"/>
      <c r="E1051" t="s" s="10">
        <v>2335</v>
      </c>
      <c r="F1051" s="11"/>
      <c r="G1051" t="s" s="10">
        <v>4163</v>
      </c>
      <c r="H1051" t="s" s="10">
        <v>1111</v>
      </c>
      <c r="I1051" t="s" s="10">
        <v>82</v>
      </c>
      <c r="J1051" t="s" s="10">
        <v>82</v>
      </c>
      <c r="K1051" t="s" s="10">
        <v>82</v>
      </c>
      <c r="L1051" t="s" s="10">
        <v>518</v>
      </c>
      <c r="M1051" t="s" s="10">
        <v>77</v>
      </c>
      <c r="N1051" s="11"/>
      <c r="O1051" s="11"/>
      <c r="P1051" s="11"/>
      <c r="Q1051" t="s" s="10">
        <v>78</v>
      </c>
      <c r="R1051" t="s" s="10">
        <v>83</v>
      </c>
      <c r="S1051" t="s" s="10">
        <v>69</v>
      </c>
      <c r="T1051" s="11"/>
      <c r="U1051" s="11"/>
      <c r="V1051" t="s" s="10">
        <v>69</v>
      </c>
      <c r="W1051" s="11"/>
      <c r="X1051" t="s" s="10">
        <v>78</v>
      </c>
      <c r="Y1051" s="11"/>
      <c r="Z1051" t="s" s="10">
        <v>76</v>
      </c>
      <c r="AA1051" s="11"/>
      <c r="AB1051" t="s" s="10">
        <v>1112</v>
      </c>
      <c r="AC1051" s="11"/>
      <c r="AD1051" s="11"/>
      <c r="AE1051" s="11"/>
      <c r="AF1051" s="11"/>
      <c r="AG1051" t="s" s="10">
        <v>299</v>
      </c>
      <c r="AH1051" t="s" s="10">
        <v>114</v>
      </c>
      <c r="AI1051" t="s" s="10">
        <v>76</v>
      </c>
      <c r="AJ1051" t="s" s="10">
        <v>76</v>
      </c>
      <c r="AK1051" t="s" s="10">
        <v>79</v>
      </c>
      <c r="AL1051" t="s" s="10">
        <v>293</v>
      </c>
      <c r="AM1051" t="s" s="10">
        <v>294</v>
      </c>
      <c r="AN1051" t="s" s="10">
        <v>4150</v>
      </c>
      <c r="AO1051" s="18">
        <v>2</v>
      </c>
      <c r="AP1051" s="18">
        <v>6144</v>
      </c>
      <c r="AQ1051" s="18">
        <v>108637</v>
      </c>
      <c r="AR1051" s="18">
        <v>108637</v>
      </c>
      <c r="AS1051" t="s" s="10">
        <v>4164</v>
      </c>
      <c r="AT1051" t="s" s="10">
        <v>301</v>
      </c>
      <c r="AU1051" s="11"/>
      <c r="AV1051" s="11"/>
      <c r="AW1051" s="11"/>
      <c r="AX1051" s="11"/>
      <c r="AY1051" s="11"/>
      <c r="AZ1051" s="11"/>
      <c r="BA1051" s="11"/>
      <c r="BB1051" s="11"/>
      <c r="BC1051" s="11"/>
      <c r="BD1051" t="s" s="10">
        <v>366</v>
      </c>
      <c r="BE1051" t="s" s="10">
        <v>489</v>
      </c>
      <c r="BF1051" s="18">
        <v>2</v>
      </c>
      <c r="BG1051" s="18">
        <v>8</v>
      </c>
      <c r="BH1051" s="11"/>
      <c r="BI1051" s="11"/>
      <c r="BJ1051" s="11"/>
      <c r="BK1051" s="11"/>
      <c r="BL1051" s="11"/>
      <c r="BM1051" s="11"/>
      <c r="BN1051" s="11"/>
      <c r="BO1051" s="12"/>
      <c r="BP1051" s="8"/>
    </row>
    <row r="1052" ht="9" customHeight="1" hidden="1">
      <c r="A1052" t="s" s="13">
        <v>4165</v>
      </c>
      <c r="B1052" s="14"/>
      <c r="C1052" t="str" s="14" cm="1">
        <f t="array" ref="C1052">_xlfn.IFERROR((VLOOKUP(A1052,#REF!,2,FALSE)),"")</f>
      </c>
      <c r="D1052" t="s" s="15">
        <v>70</v>
      </c>
      <c r="E1052" t="s" s="15">
        <v>392</v>
      </c>
      <c r="F1052" s="14"/>
      <c r="G1052" s="14"/>
      <c r="H1052" s="14"/>
      <c r="I1052" t="s" s="15">
        <v>82</v>
      </c>
      <c r="J1052" t="s" s="15">
        <v>82</v>
      </c>
      <c r="K1052" t="s" s="15">
        <v>82</v>
      </c>
      <c r="L1052" t="s" s="15">
        <v>76</v>
      </c>
      <c r="M1052" t="s" s="15">
        <v>77</v>
      </c>
      <c r="N1052" s="14"/>
      <c r="O1052" s="14"/>
      <c r="P1052" s="14"/>
      <c r="Q1052" t="s" s="15">
        <v>78</v>
      </c>
      <c r="R1052" t="s" s="15">
        <v>83</v>
      </c>
      <c r="S1052" s="14"/>
      <c r="T1052" s="14"/>
      <c r="U1052" s="14"/>
      <c r="V1052" t="s" s="15">
        <v>69</v>
      </c>
      <c r="W1052" s="14"/>
      <c r="X1052" t="s" s="15">
        <v>78</v>
      </c>
      <c r="Y1052" s="14"/>
      <c r="Z1052" t="s" s="15">
        <v>76</v>
      </c>
      <c r="AA1052" s="14"/>
      <c r="AB1052" t="s" s="15">
        <v>76</v>
      </c>
      <c r="AC1052" s="14"/>
      <c r="AD1052" s="14"/>
      <c r="AE1052" s="14"/>
      <c r="AF1052" s="14"/>
      <c r="AG1052" s="14"/>
      <c r="AH1052" s="14"/>
      <c r="AI1052" t="s" s="15">
        <v>76</v>
      </c>
      <c r="AJ1052" t="s" s="15">
        <v>76</v>
      </c>
      <c r="AK1052" t="s" s="15">
        <v>79</v>
      </c>
      <c r="AL1052" t="s" s="15">
        <v>293</v>
      </c>
      <c r="AM1052" t="s" s="15">
        <v>294</v>
      </c>
      <c r="AN1052" t="s" s="15">
        <v>4166</v>
      </c>
      <c r="AO1052" s="17">
        <v>4</v>
      </c>
      <c r="AP1052" s="17">
        <v>4096</v>
      </c>
      <c r="AQ1052" s="17">
        <v>117089</v>
      </c>
      <c r="AR1052" s="17">
        <v>117089</v>
      </c>
      <c r="AS1052" t="s" s="15">
        <v>4167</v>
      </c>
      <c r="AT1052" s="14"/>
      <c r="AU1052" s="14"/>
      <c r="AV1052" s="14"/>
      <c r="AW1052" s="14"/>
      <c r="AX1052" s="14"/>
      <c r="AY1052" s="14"/>
      <c r="AZ1052" s="14"/>
      <c r="BA1052" s="14"/>
      <c r="BB1052" s="14"/>
      <c r="BC1052" s="14"/>
      <c r="BD1052" s="14"/>
      <c r="BE1052" s="14"/>
      <c r="BF1052" s="14"/>
      <c r="BG1052" s="14"/>
      <c r="BH1052" s="14"/>
      <c r="BI1052" s="14"/>
      <c r="BJ1052" s="14"/>
      <c r="BK1052" s="14"/>
      <c r="BL1052" s="14"/>
      <c r="BM1052" s="14"/>
      <c r="BN1052" s="14"/>
      <c r="BO1052" s="16"/>
      <c r="BP1052" s="8"/>
    </row>
    <row r="1053" ht="9" customHeight="1" hidden="1">
      <c r="A1053" t="s" s="9">
        <v>4168</v>
      </c>
      <c r="B1053" s="11"/>
      <c r="C1053" t="str" s="11" cm="1">
        <f t="array" ref="C1053">_xlfn.IFERROR((VLOOKUP(A1053,#REF!,2,FALSE)),"")</f>
      </c>
      <c r="D1053" s="11"/>
      <c r="E1053" t="s" s="10">
        <v>2335</v>
      </c>
      <c r="F1053" t="s" s="10">
        <v>76</v>
      </c>
      <c r="G1053" t="s" s="10">
        <v>4155</v>
      </c>
      <c r="H1053" t="s" s="10">
        <v>4155</v>
      </c>
      <c r="I1053" t="s" s="10">
        <v>82</v>
      </c>
      <c r="J1053" t="s" s="10">
        <v>82</v>
      </c>
      <c r="K1053" t="s" s="10">
        <v>82</v>
      </c>
      <c r="L1053" t="s" s="10">
        <v>4156</v>
      </c>
      <c r="M1053" t="s" s="10">
        <v>77</v>
      </c>
      <c r="N1053" s="11"/>
      <c r="O1053" t="s" s="10">
        <v>286</v>
      </c>
      <c r="P1053" s="11"/>
      <c r="Q1053" t="s" s="10">
        <v>78</v>
      </c>
      <c r="R1053" t="s" s="10">
        <v>83</v>
      </c>
      <c r="S1053" s="11"/>
      <c r="T1053" s="11"/>
      <c r="U1053" s="11"/>
      <c r="V1053" t="s" s="10">
        <v>69</v>
      </c>
      <c r="W1053" s="11"/>
      <c r="X1053" t="s" s="10">
        <v>78</v>
      </c>
      <c r="Y1053" s="11"/>
      <c r="Z1053" t="s" s="10">
        <v>76</v>
      </c>
      <c r="AA1053" s="11"/>
      <c r="AB1053" t="s" s="10">
        <v>76</v>
      </c>
      <c r="AC1053" t="s" s="10">
        <v>4157</v>
      </c>
      <c r="AD1053" s="11"/>
      <c r="AE1053" s="11"/>
      <c r="AF1053" s="11"/>
      <c r="AG1053" t="s" s="10">
        <v>299</v>
      </c>
      <c r="AH1053" t="s" s="10">
        <v>114</v>
      </c>
      <c r="AI1053" t="s" s="10">
        <v>76</v>
      </c>
      <c r="AJ1053" t="s" s="10">
        <v>76</v>
      </c>
      <c r="AK1053" t="s" s="10">
        <v>79</v>
      </c>
      <c r="AL1053" t="s" s="10">
        <v>293</v>
      </c>
      <c r="AM1053" t="s" s="10">
        <v>294</v>
      </c>
      <c r="AN1053" t="s" s="10">
        <v>4150</v>
      </c>
      <c r="AO1053" s="18">
        <v>4</v>
      </c>
      <c r="AP1053" s="18">
        <v>8192</v>
      </c>
      <c r="AQ1053" s="18">
        <v>264294</v>
      </c>
      <c r="AR1053" s="18">
        <v>264294</v>
      </c>
      <c r="AS1053" t="s" s="10">
        <v>4169</v>
      </c>
      <c r="AT1053" t="s" s="10">
        <v>301</v>
      </c>
      <c r="AU1053" s="11"/>
      <c r="AV1053" t="s" s="10">
        <v>76</v>
      </c>
      <c r="AW1053" t="s" s="10">
        <v>4170</v>
      </c>
      <c r="AX1053" t="s" s="10">
        <v>301</v>
      </c>
      <c r="AY1053" t="s" s="10">
        <v>309</v>
      </c>
      <c r="AZ1053" t="s" s="10">
        <v>4161</v>
      </c>
      <c r="BA1053" t="s" s="10">
        <v>76</v>
      </c>
      <c r="BB1053" t="s" s="10">
        <v>76</v>
      </c>
      <c r="BC1053" t="s" s="10">
        <v>76</v>
      </c>
      <c r="BD1053" t="s" s="10">
        <v>310</v>
      </c>
      <c r="BE1053" t="s" s="10">
        <v>356</v>
      </c>
      <c r="BF1053" s="18">
        <v>4</v>
      </c>
      <c r="BG1053" s="18">
        <v>8</v>
      </c>
      <c r="BH1053" s="11"/>
      <c r="BI1053" t="s" s="10">
        <v>83</v>
      </c>
      <c r="BJ1053" t="s" s="10">
        <v>83</v>
      </c>
      <c r="BK1053" t="s" s="10">
        <v>83</v>
      </c>
      <c r="BL1053" s="11"/>
      <c r="BM1053" t="s" s="10">
        <v>312</v>
      </c>
      <c r="BN1053" s="11"/>
      <c r="BO1053" t="s" s="19">
        <v>76</v>
      </c>
      <c r="BP1053" s="8"/>
    </row>
    <row r="1054" ht="9" customHeight="1" hidden="1">
      <c r="A1054" t="s" s="13">
        <v>4171</v>
      </c>
      <c r="B1054" t="s" s="15">
        <v>69</v>
      </c>
      <c r="C1054" t="str" s="14" cm="1">
        <f t="array" ref="C1054">_xlfn.IFERROR((VLOOKUP(A1054,#REF!,2,FALSE)),"")</f>
      </c>
      <c r="D1054" s="14"/>
      <c r="E1054" s="14"/>
      <c r="F1054" s="14"/>
      <c r="G1054" t="s" s="15">
        <v>4172</v>
      </c>
      <c r="H1054" t="s" s="15">
        <v>4172</v>
      </c>
      <c r="I1054" t="s" s="15">
        <v>82</v>
      </c>
      <c r="J1054" t="s" s="15">
        <v>82</v>
      </c>
      <c r="K1054" t="s" s="15">
        <v>82</v>
      </c>
      <c r="L1054" t="s" s="15">
        <v>76</v>
      </c>
      <c r="M1054" t="s" s="15">
        <v>77</v>
      </c>
      <c r="N1054" s="14"/>
      <c r="O1054" s="14"/>
      <c r="P1054" s="14"/>
      <c r="Q1054" t="s" s="15">
        <v>78</v>
      </c>
      <c r="R1054" t="s" s="15">
        <v>83</v>
      </c>
      <c r="S1054" s="14"/>
      <c r="T1054" s="14"/>
      <c r="U1054" s="14"/>
      <c r="V1054" t="s" s="15">
        <v>69</v>
      </c>
      <c r="W1054" s="14"/>
      <c r="X1054" t="s" s="15">
        <v>78</v>
      </c>
      <c r="Y1054" s="14"/>
      <c r="Z1054" t="s" s="15">
        <v>76</v>
      </c>
      <c r="AA1054" s="14"/>
      <c r="AB1054" t="s" s="15">
        <v>76</v>
      </c>
      <c r="AC1054" s="14"/>
      <c r="AD1054" s="14"/>
      <c r="AE1054" s="14"/>
      <c r="AF1054" s="14"/>
      <c r="AG1054" t="s" s="15">
        <v>299</v>
      </c>
      <c r="AH1054" t="s" s="15">
        <v>106</v>
      </c>
      <c r="AI1054" t="s" s="15">
        <v>76</v>
      </c>
      <c r="AJ1054" t="s" s="15">
        <v>76</v>
      </c>
      <c r="AK1054" t="s" s="15">
        <v>79</v>
      </c>
      <c r="AL1054" t="s" s="15">
        <v>293</v>
      </c>
      <c r="AM1054" t="s" s="15">
        <v>294</v>
      </c>
      <c r="AN1054" t="s" s="15">
        <v>4150</v>
      </c>
      <c r="AO1054" s="17">
        <v>2</v>
      </c>
      <c r="AP1054" s="17">
        <v>10240</v>
      </c>
      <c r="AQ1054" s="17">
        <v>112744</v>
      </c>
      <c r="AR1054" s="17">
        <v>112744</v>
      </c>
      <c r="AS1054" t="s" s="15">
        <v>4173</v>
      </c>
      <c r="AT1054" t="s" s="15">
        <v>301</v>
      </c>
      <c r="AU1054" s="14"/>
      <c r="AV1054" s="14"/>
      <c r="AW1054" s="14"/>
      <c r="AX1054" s="14"/>
      <c r="AY1054" s="14"/>
      <c r="AZ1054" s="14"/>
      <c r="BA1054" s="14"/>
      <c r="BB1054" s="14"/>
      <c r="BC1054" s="14"/>
      <c r="BD1054" s="14"/>
      <c r="BE1054" s="14"/>
      <c r="BF1054" s="14"/>
      <c r="BG1054" s="14"/>
      <c r="BH1054" s="14"/>
      <c r="BI1054" s="14"/>
      <c r="BJ1054" s="14"/>
      <c r="BK1054" s="14"/>
      <c r="BL1054" s="14"/>
      <c r="BM1054" s="14"/>
      <c r="BN1054" s="14"/>
      <c r="BO1054" s="16"/>
      <c r="BP1054" s="8"/>
    </row>
    <row r="1055" ht="9" customHeight="1" hidden="1">
      <c r="A1055" t="s" s="9">
        <v>4174</v>
      </c>
      <c r="B1055" s="11"/>
      <c r="C1055" t="str" s="11" cm="1">
        <f t="array" ref="C1055">_xlfn.IFERROR((VLOOKUP(A1055,#REF!,2,FALSE)),"")</f>
      </c>
      <c r="D1055" s="11"/>
      <c r="E1055" t="s" s="10">
        <v>4175</v>
      </c>
      <c r="F1055" s="11"/>
      <c r="G1055" t="s" s="10">
        <v>4176</v>
      </c>
      <c r="H1055" t="s" s="10">
        <v>4176</v>
      </c>
      <c r="I1055" t="s" s="10">
        <v>82</v>
      </c>
      <c r="J1055" t="s" s="10">
        <v>82</v>
      </c>
      <c r="K1055" t="s" s="10">
        <v>82</v>
      </c>
      <c r="L1055" t="s" s="10">
        <v>76</v>
      </c>
      <c r="M1055" t="s" s="10">
        <v>77</v>
      </c>
      <c r="N1055" s="11"/>
      <c r="O1055" s="11"/>
      <c r="P1055" s="11"/>
      <c r="Q1055" t="s" s="10">
        <v>78</v>
      </c>
      <c r="R1055" t="s" s="10">
        <v>83</v>
      </c>
      <c r="S1055" s="11"/>
      <c r="T1055" s="11"/>
      <c r="U1055" s="11"/>
      <c r="V1055" t="s" s="10">
        <v>69</v>
      </c>
      <c r="W1055" s="11"/>
      <c r="X1055" t="s" s="10">
        <v>78</v>
      </c>
      <c r="Y1055" s="11"/>
      <c r="Z1055" t="s" s="10">
        <v>76</v>
      </c>
      <c r="AA1055" s="11"/>
      <c r="AB1055" t="s" s="10">
        <v>76</v>
      </c>
      <c r="AC1055" s="11"/>
      <c r="AD1055" s="11"/>
      <c r="AE1055" s="11"/>
      <c r="AF1055" s="11"/>
      <c r="AG1055" s="11"/>
      <c r="AH1055" t="s" s="10">
        <v>114</v>
      </c>
      <c r="AI1055" t="s" s="10">
        <v>76</v>
      </c>
      <c r="AJ1055" t="s" s="10">
        <v>76</v>
      </c>
      <c r="AK1055" t="s" s="10">
        <v>79</v>
      </c>
      <c r="AL1055" t="s" s="10">
        <v>293</v>
      </c>
      <c r="AM1055" t="s" s="10">
        <v>294</v>
      </c>
      <c r="AN1055" t="s" s="10">
        <v>4150</v>
      </c>
      <c r="AO1055" s="18">
        <v>2</v>
      </c>
      <c r="AP1055" s="18">
        <v>4096</v>
      </c>
      <c r="AQ1055" s="18">
        <v>106583</v>
      </c>
      <c r="AR1055" s="18">
        <v>106583</v>
      </c>
      <c r="AS1055" t="s" s="10">
        <v>4177</v>
      </c>
      <c r="AT1055" s="11"/>
      <c r="AU1055" s="11"/>
      <c r="AV1055" s="11"/>
      <c r="AW1055" s="11"/>
      <c r="AX1055" s="11"/>
      <c r="AY1055" s="11"/>
      <c r="AZ1055" s="11"/>
      <c r="BA1055" s="11"/>
      <c r="BB1055" s="11"/>
      <c r="BC1055" s="11"/>
      <c r="BD1055" t="s" s="10">
        <v>310</v>
      </c>
      <c r="BE1055" t="s" s="10">
        <v>419</v>
      </c>
      <c r="BF1055" s="18">
        <v>2</v>
      </c>
      <c r="BG1055" s="18">
        <v>4</v>
      </c>
      <c r="BH1055" s="11"/>
      <c r="BI1055" s="11"/>
      <c r="BJ1055" s="11"/>
      <c r="BK1055" s="11"/>
      <c r="BL1055" s="11"/>
      <c r="BM1055" s="11"/>
      <c r="BN1055" s="11"/>
      <c r="BO1055" s="12"/>
      <c r="BP1055" s="8"/>
    </row>
    <row r="1056" ht="9" customHeight="1" hidden="1">
      <c r="A1056" t="s" s="13">
        <v>4178</v>
      </c>
      <c r="B1056" s="14"/>
      <c r="C1056" t="str" s="14" cm="1">
        <f t="array" ref="C1056">_xlfn.IFERROR((VLOOKUP(A1056,#REF!,2,FALSE)),"")</f>
      </c>
      <c r="D1056" s="14"/>
      <c r="E1056" t="s" s="15">
        <v>4175</v>
      </c>
      <c r="F1056" s="14"/>
      <c r="G1056" t="s" s="15">
        <v>4176</v>
      </c>
      <c r="H1056" t="s" s="15">
        <v>4176</v>
      </c>
      <c r="I1056" t="s" s="15">
        <v>82</v>
      </c>
      <c r="J1056" t="s" s="15">
        <v>82</v>
      </c>
      <c r="K1056" t="s" s="15">
        <v>82</v>
      </c>
      <c r="L1056" t="s" s="15">
        <v>76</v>
      </c>
      <c r="M1056" t="s" s="15">
        <v>77</v>
      </c>
      <c r="N1056" s="14"/>
      <c r="O1056" s="14"/>
      <c r="P1056" s="14"/>
      <c r="Q1056" t="s" s="15">
        <v>78</v>
      </c>
      <c r="R1056" t="s" s="15">
        <v>83</v>
      </c>
      <c r="S1056" s="14"/>
      <c r="T1056" s="14"/>
      <c r="U1056" s="14"/>
      <c r="V1056" t="s" s="15">
        <v>69</v>
      </c>
      <c r="W1056" s="14"/>
      <c r="X1056" t="s" s="15">
        <v>78</v>
      </c>
      <c r="Y1056" s="14"/>
      <c r="Z1056" t="s" s="15">
        <v>76</v>
      </c>
      <c r="AA1056" s="14"/>
      <c r="AB1056" t="s" s="15">
        <v>76</v>
      </c>
      <c r="AC1056" s="14"/>
      <c r="AD1056" s="14"/>
      <c r="AE1056" s="14"/>
      <c r="AF1056" s="14"/>
      <c r="AG1056" s="14"/>
      <c r="AH1056" t="s" s="15">
        <v>114</v>
      </c>
      <c r="AI1056" t="s" s="15">
        <v>76</v>
      </c>
      <c r="AJ1056" t="s" s="15">
        <v>76</v>
      </c>
      <c r="AK1056" t="s" s="15">
        <v>79</v>
      </c>
      <c r="AL1056" t="s" s="15">
        <v>293</v>
      </c>
      <c r="AM1056" t="s" s="15">
        <v>294</v>
      </c>
      <c r="AN1056" t="s" s="15">
        <v>4150</v>
      </c>
      <c r="AO1056" s="17">
        <v>2</v>
      </c>
      <c r="AP1056" s="17">
        <v>4096</v>
      </c>
      <c r="AQ1056" s="17">
        <v>106578</v>
      </c>
      <c r="AR1056" s="17">
        <v>106578</v>
      </c>
      <c r="AS1056" t="s" s="15">
        <v>4179</v>
      </c>
      <c r="AT1056" s="14"/>
      <c r="AU1056" s="14"/>
      <c r="AV1056" s="14"/>
      <c r="AW1056" s="14"/>
      <c r="AX1056" s="14"/>
      <c r="AY1056" s="14"/>
      <c r="AZ1056" s="14"/>
      <c r="BA1056" s="14"/>
      <c r="BB1056" s="14"/>
      <c r="BC1056" s="14"/>
      <c r="BD1056" t="s" s="15">
        <v>310</v>
      </c>
      <c r="BE1056" t="s" s="15">
        <v>419</v>
      </c>
      <c r="BF1056" s="17">
        <v>2</v>
      </c>
      <c r="BG1056" s="17">
        <v>4</v>
      </c>
      <c r="BH1056" s="14"/>
      <c r="BI1056" s="14"/>
      <c r="BJ1056" s="14"/>
      <c r="BK1056" s="14"/>
      <c r="BL1056" s="14"/>
      <c r="BM1056" s="14"/>
      <c r="BN1056" s="14"/>
      <c r="BO1056" s="16"/>
      <c r="BP1056" s="8"/>
    </row>
    <row r="1057" ht="9" customHeight="1" hidden="1">
      <c r="A1057" t="s" s="9">
        <v>4180</v>
      </c>
      <c r="B1057" s="11"/>
      <c r="C1057" t="str" s="11" cm="1">
        <f t="array" ref="C1057">_xlfn.IFERROR((VLOOKUP(A1057,#REF!,2,FALSE)),"")</f>
      </c>
      <c r="D1057" s="11"/>
      <c r="E1057" t="s" s="10">
        <v>2974</v>
      </c>
      <c r="F1057" s="11"/>
      <c r="G1057" t="s" s="10">
        <v>4181</v>
      </c>
      <c r="H1057" t="s" s="10">
        <v>4182</v>
      </c>
      <c r="I1057" t="s" s="10">
        <v>82</v>
      </c>
      <c r="J1057" t="s" s="10">
        <v>82</v>
      </c>
      <c r="K1057" t="s" s="10">
        <v>82</v>
      </c>
      <c r="L1057" t="s" s="10">
        <v>76</v>
      </c>
      <c r="M1057" t="s" s="10">
        <v>77</v>
      </c>
      <c r="N1057" s="11"/>
      <c r="O1057" s="11"/>
      <c r="P1057" s="11"/>
      <c r="Q1057" t="s" s="10">
        <v>78</v>
      </c>
      <c r="R1057" t="s" s="10">
        <v>83</v>
      </c>
      <c r="S1057" s="11"/>
      <c r="T1057" s="11"/>
      <c r="U1057" s="11"/>
      <c r="V1057" t="s" s="10">
        <v>69</v>
      </c>
      <c r="W1057" s="11"/>
      <c r="X1057" t="s" s="10">
        <v>78</v>
      </c>
      <c r="Y1057" s="11"/>
      <c r="Z1057" t="s" s="10">
        <v>76</v>
      </c>
      <c r="AA1057" s="11"/>
      <c r="AB1057" t="s" s="10">
        <v>76</v>
      </c>
      <c r="AC1057" s="11"/>
      <c r="AD1057" t="s" s="10">
        <v>4183</v>
      </c>
      <c r="AE1057" s="11"/>
      <c r="AF1057" s="11"/>
      <c r="AG1057" s="11"/>
      <c r="AH1057" s="11"/>
      <c r="AI1057" t="s" s="10">
        <v>76</v>
      </c>
      <c r="AJ1057" t="s" s="10">
        <v>76</v>
      </c>
      <c r="AK1057" t="s" s="10">
        <v>79</v>
      </c>
      <c r="AL1057" t="s" s="10">
        <v>293</v>
      </c>
      <c r="AM1057" t="s" s="10">
        <v>294</v>
      </c>
      <c r="AN1057" t="s" s="10">
        <v>4150</v>
      </c>
      <c r="AO1057" s="18">
        <v>2</v>
      </c>
      <c r="AP1057" s="18">
        <v>4096</v>
      </c>
      <c r="AQ1057" s="18">
        <v>106578</v>
      </c>
      <c r="AR1057" s="18">
        <v>106578</v>
      </c>
      <c r="AS1057" t="s" s="10">
        <v>4184</v>
      </c>
      <c r="AT1057" s="11"/>
      <c r="AU1057" s="11"/>
      <c r="AV1057" s="11"/>
      <c r="AW1057" s="11"/>
      <c r="AX1057" s="11"/>
      <c r="AY1057" s="11"/>
      <c r="AZ1057" s="11"/>
      <c r="BA1057" s="11"/>
      <c r="BB1057" s="11"/>
      <c r="BC1057" s="11"/>
      <c r="BD1057" s="11"/>
      <c r="BE1057" s="11"/>
      <c r="BF1057" s="11"/>
      <c r="BG1057" s="11"/>
      <c r="BH1057" s="11"/>
      <c r="BI1057" s="11"/>
      <c r="BJ1057" s="11"/>
      <c r="BK1057" s="11"/>
      <c r="BL1057" s="11"/>
      <c r="BM1057" s="11"/>
      <c r="BN1057" t="s" s="10">
        <v>69</v>
      </c>
      <c r="BO1057" s="12"/>
      <c r="BP1057" s="8"/>
    </row>
    <row r="1058" ht="9" customHeight="1" hidden="1">
      <c r="A1058" t="s" s="13">
        <v>4185</v>
      </c>
      <c r="B1058" s="14"/>
      <c r="C1058" t="str" s="14" cm="1">
        <f t="array" ref="C1058">_xlfn.IFERROR((VLOOKUP(A1058,#REF!,2,FALSE)),"")</f>
      </c>
      <c r="D1058" t="s" s="15">
        <v>70</v>
      </c>
      <c r="E1058" t="s" s="15">
        <v>392</v>
      </c>
      <c r="F1058" s="14"/>
      <c r="G1058" s="14"/>
      <c r="H1058" s="14"/>
      <c r="I1058" t="s" s="15">
        <v>82</v>
      </c>
      <c r="J1058" t="s" s="15">
        <v>82</v>
      </c>
      <c r="K1058" t="s" s="15">
        <v>82</v>
      </c>
      <c r="L1058" t="s" s="15">
        <v>76</v>
      </c>
      <c r="M1058" t="s" s="15">
        <v>77</v>
      </c>
      <c r="N1058" s="14"/>
      <c r="O1058" s="14"/>
      <c r="P1058" s="14"/>
      <c r="Q1058" t="s" s="15">
        <v>78</v>
      </c>
      <c r="R1058" t="s" s="15">
        <v>83</v>
      </c>
      <c r="S1058" s="14"/>
      <c r="T1058" s="14"/>
      <c r="U1058" s="14"/>
      <c r="V1058" t="s" s="15">
        <v>69</v>
      </c>
      <c r="W1058" s="14"/>
      <c r="X1058" t="s" s="15">
        <v>78</v>
      </c>
      <c r="Y1058" s="14"/>
      <c r="Z1058" t="s" s="15">
        <v>76</v>
      </c>
      <c r="AA1058" s="14"/>
      <c r="AB1058" t="s" s="15">
        <v>76</v>
      </c>
      <c r="AC1058" s="14"/>
      <c r="AD1058" s="14"/>
      <c r="AE1058" s="14"/>
      <c r="AF1058" s="14"/>
      <c r="AG1058" s="14"/>
      <c r="AH1058" s="14"/>
      <c r="AI1058" t="s" s="15">
        <v>76</v>
      </c>
      <c r="AJ1058" t="s" s="15">
        <v>76</v>
      </c>
      <c r="AK1058" t="s" s="15">
        <v>79</v>
      </c>
      <c r="AL1058" t="s" s="15">
        <v>293</v>
      </c>
      <c r="AM1058" t="s" s="15">
        <v>294</v>
      </c>
      <c r="AN1058" t="s" s="15">
        <v>4150</v>
      </c>
      <c r="AO1058" s="17">
        <v>4</v>
      </c>
      <c r="AP1058" s="17">
        <v>8192</v>
      </c>
      <c r="AQ1058" s="17">
        <v>111144</v>
      </c>
      <c r="AR1058" s="17">
        <v>59862</v>
      </c>
      <c r="AS1058" t="s" s="15">
        <v>4186</v>
      </c>
      <c r="AT1058" s="14"/>
      <c r="AU1058" s="14"/>
      <c r="AV1058" s="14"/>
      <c r="AW1058" s="14"/>
      <c r="AX1058" s="14"/>
      <c r="AY1058" s="14"/>
      <c r="AZ1058" s="14"/>
      <c r="BA1058" s="14"/>
      <c r="BB1058" s="14"/>
      <c r="BC1058" s="14"/>
      <c r="BD1058" s="14"/>
      <c r="BE1058" s="14"/>
      <c r="BF1058" s="14"/>
      <c r="BG1058" s="14"/>
      <c r="BH1058" s="14"/>
      <c r="BI1058" s="14"/>
      <c r="BJ1058" s="14"/>
      <c r="BK1058" s="14"/>
      <c r="BL1058" s="14"/>
      <c r="BM1058" s="14"/>
      <c r="BN1058" s="14"/>
      <c r="BO1058" s="16"/>
      <c r="BP1058" s="8"/>
    </row>
    <row r="1059" ht="9" customHeight="1" hidden="1">
      <c r="A1059" t="s" s="9">
        <v>4187</v>
      </c>
      <c r="B1059" s="11"/>
      <c r="C1059" t="str" s="11" cm="1">
        <f t="array" ref="C1059">_xlfn.IFERROR((VLOOKUP(A1059,#REF!,2,FALSE)),"")</f>
      </c>
      <c r="D1059" s="11"/>
      <c r="E1059" t="s" s="10">
        <v>2974</v>
      </c>
      <c r="F1059" s="11"/>
      <c r="G1059" t="s" s="10">
        <v>2983</v>
      </c>
      <c r="H1059" t="s" s="10">
        <v>2984</v>
      </c>
      <c r="I1059" t="s" s="10">
        <v>82</v>
      </c>
      <c r="J1059" t="s" s="10">
        <v>82</v>
      </c>
      <c r="K1059" t="s" s="10">
        <v>82</v>
      </c>
      <c r="L1059" t="s" s="10">
        <v>76</v>
      </c>
      <c r="M1059" t="s" s="10">
        <v>77</v>
      </c>
      <c r="N1059" s="11"/>
      <c r="O1059" s="11"/>
      <c r="P1059" s="11"/>
      <c r="Q1059" t="s" s="10">
        <v>78</v>
      </c>
      <c r="R1059" t="s" s="10">
        <v>83</v>
      </c>
      <c r="S1059" s="11"/>
      <c r="T1059" s="11"/>
      <c r="U1059" s="11"/>
      <c r="V1059" t="s" s="10">
        <v>69</v>
      </c>
      <c r="W1059" s="11"/>
      <c r="X1059" t="s" s="10">
        <v>78</v>
      </c>
      <c r="Y1059" s="11"/>
      <c r="Z1059" t="s" s="10">
        <v>76</v>
      </c>
      <c r="AA1059" s="11"/>
      <c r="AB1059" t="s" s="10">
        <v>76</v>
      </c>
      <c r="AC1059" s="11"/>
      <c r="AD1059" s="11"/>
      <c r="AE1059" s="11"/>
      <c r="AF1059" s="11"/>
      <c r="AG1059" s="11"/>
      <c r="AH1059" s="11"/>
      <c r="AI1059" t="s" s="10">
        <v>76</v>
      </c>
      <c r="AJ1059" t="s" s="10">
        <v>76</v>
      </c>
      <c r="AK1059" t="s" s="10">
        <v>79</v>
      </c>
      <c r="AL1059" t="s" s="10">
        <v>293</v>
      </c>
      <c r="AM1059" t="s" s="10">
        <v>294</v>
      </c>
      <c r="AN1059" t="s" s="10">
        <v>4150</v>
      </c>
      <c r="AO1059" s="18">
        <v>4</v>
      </c>
      <c r="AP1059" s="18">
        <v>4096</v>
      </c>
      <c r="AQ1059" s="18">
        <v>301929</v>
      </c>
      <c r="AR1059" s="18">
        <v>301929</v>
      </c>
      <c r="AS1059" t="s" s="10">
        <v>4188</v>
      </c>
      <c r="AT1059" s="11"/>
      <c r="AU1059" s="11"/>
      <c r="AV1059" s="11"/>
      <c r="AW1059" s="11"/>
      <c r="AX1059" s="11"/>
      <c r="AY1059" s="11"/>
      <c r="AZ1059" s="11"/>
      <c r="BA1059" s="11"/>
      <c r="BB1059" s="11"/>
      <c r="BC1059" s="11"/>
      <c r="BD1059" s="11"/>
      <c r="BE1059" s="11"/>
      <c r="BF1059" s="11"/>
      <c r="BG1059" s="11"/>
      <c r="BH1059" s="11"/>
      <c r="BI1059" s="11"/>
      <c r="BJ1059" s="11"/>
      <c r="BK1059" s="11"/>
      <c r="BL1059" s="11"/>
      <c r="BM1059" s="11"/>
      <c r="BN1059" s="11"/>
      <c r="BO1059" s="12"/>
      <c r="BP1059" s="8"/>
    </row>
    <row r="1060" ht="9" customHeight="1" hidden="1">
      <c r="A1060" t="s" s="13">
        <v>4189</v>
      </c>
      <c r="B1060" s="14"/>
      <c r="C1060" t="str" s="14" cm="1">
        <f t="array" ref="C1060">_xlfn.IFERROR((VLOOKUP(A1060,#REF!,2,FALSE)),"")</f>
      </c>
      <c r="D1060" t="s" s="15">
        <v>70</v>
      </c>
      <c r="E1060" t="s" s="15">
        <v>957</v>
      </c>
      <c r="F1060" s="14"/>
      <c r="G1060" t="s" s="15">
        <v>4190</v>
      </c>
      <c r="H1060" t="s" s="15">
        <v>4190</v>
      </c>
      <c r="I1060" t="s" s="15">
        <v>82</v>
      </c>
      <c r="J1060" t="s" s="15">
        <v>82</v>
      </c>
      <c r="K1060" t="s" s="15">
        <v>82</v>
      </c>
      <c r="L1060" t="s" s="15">
        <v>76</v>
      </c>
      <c r="M1060" t="s" s="15">
        <v>77</v>
      </c>
      <c r="N1060" s="14"/>
      <c r="O1060" s="14"/>
      <c r="P1060" s="14"/>
      <c r="Q1060" t="s" s="15">
        <v>78</v>
      </c>
      <c r="R1060" t="s" s="15">
        <v>83</v>
      </c>
      <c r="S1060" s="14"/>
      <c r="T1060" s="14"/>
      <c r="U1060" s="14"/>
      <c r="V1060" t="s" s="15">
        <v>69</v>
      </c>
      <c r="W1060" s="14"/>
      <c r="X1060" t="s" s="15">
        <v>78</v>
      </c>
      <c r="Y1060" s="14"/>
      <c r="Z1060" t="s" s="15">
        <v>76</v>
      </c>
      <c r="AA1060" s="14"/>
      <c r="AB1060" t="s" s="15">
        <v>76</v>
      </c>
      <c r="AC1060" s="14"/>
      <c r="AD1060" s="14"/>
      <c r="AE1060" s="14"/>
      <c r="AF1060" s="14"/>
      <c r="AG1060" t="s" s="15">
        <v>453</v>
      </c>
      <c r="AH1060" t="s" s="15">
        <v>106</v>
      </c>
      <c r="AI1060" t="s" s="15">
        <v>76</v>
      </c>
      <c r="AJ1060" t="s" s="15">
        <v>76</v>
      </c>
      <c r="AK1060" t="s" s="15">
        <v>79</v>
      </c>
      <c r="AL1060" t="s" s="15">
        <v>293</v>
      </c>
      <c r="AM1060" t="s" s="15">
        <v>294</v>
      </c>
      <c r="AN1060" t="s" s="15">
        <v>4150</v>
      </c>
      <c r="AO1060" s="17">
        <v>6</v>
      </c>
      <c r="AP1060" s="17">
        <v>8192</v>
      </c>
      <c r="AQ1060" s="17">
        <v>469126</v>
      </c>
      <c r="AR1060" s="17">
        <v>249518</v>
      </c>
      <c r="AS1060" t="s" s="15">
        <v>4191</v>
      </c>
      <c r="AT1060" s="14"/>
      <c r="AU1060" s="14"/>
      <c r="AV1060" s="14"/>
      <c r="AW1060" s="14"/>
      <c r="AX1060" s="14"/>
      <c r="AY1060" s="14"/>
      <c r="AZ1060" s="14"/>
      <c r="BA1060" s="14"/>
      <c r="BB1060" s="14"/>
      <c r="BC1060" s="14"/>
      <c r="BD1060" s="14"/>
      <c r="BE1060" s="14"/>
      <c r="BF1060" s="14"/>
      <c r="BG1060" s="14"/>
      <c r="BH1060" s="14"/>
      <c r="BI1060" s="14"/>
      <c r="BJ1060" s="14"/>
      <c r="BK1060" s="14"/>
      <c r="BL1060" s="14"/>
      <c r="BM1060" s="14"/>
      <c r="BN1060" s="14"/>
      <c r="BO1060" s="16"/>
      <c r="BP1060" s="8"/>
    </row>
    <row r="1061" ht="9" customHeight="1" hidden="1">
      <c r="A1061" t="s" s="9">
        <v>4192</v>
      </c>
      <c r="B1061" s="11"/>
      <c r="C1061" t="str" s="11" cm="1">
        <f t="array" ref="C1061">_xlfn.IFERROR((VLOOKUP(A1061,#REF!,2,FALSE)),"")</f>
      </c>
      <c r="D1061" t="s" s="10">
        <v>70</v>
      </c>
      <c r="E1061" t="s" s="10">
        <v>71</v>
      </c>
      <c r="F1061" s="11"/>
      <c r="G1061" s="11"/>
      <c r="H1061" s="11"/>
      <c r="I1061" t="s" s="10">
        <v>82</v>
      </c>
      <c r="J1061" t="s" s="10">
        <v>82</v>
      </c>
      <c r="K1061" t="s" s="10">
        <v>82</v>
      </c>
      <c r="L1061" t="s" s="10">
        <v>76</v>
      </c>
      <c r="M1061" t="s" s="10">
        <v>77</v>
      </c>
      <c r="N1061" s="18">
        <v>0</v>
      </c>
      <c r="O1061" t="s" s="10">
        <v>71</v>
      </c>
      <c r="P1061" s="11"/>
      <c r="Q1061" t="s" s="10">
        <v>78</v>
      </c>
      <c r="R1061" t="s" s="10">
        <v>83</v>
      </c>
      <c r="S1061" s="11"/>
      <c r="T1061" s="11"/>
      <c r="U1061" s="11"/>
      <c r="V1061" t="s" s="10">
        <v>78</v>
      </c>
      <c r="W1061" s="11"/>
      <c r="X1061" t="s" s="10">
        <v>78</v>
      </c>
      <c r="Y1061" s="11"/>
      <c r="Z1061" t="s" s="10">
        <v>76</v>
      </c>
      <c r="AA1061" s="11"/>
      <c r="AB1061" t="s" s="10">
        <v>76</v>
      </c>
      <c r="AC1061" s="11"/>
      <c r="AD1061" s="11"/>
      <c r="AE1061" s="11"/>
      <c r="AF1061" s="11"/>
      <c r="AG1061" s="11"/>
      <c r="AH1061" s="11"/>
      <c r="AI1061" t="s" s="10">
        <v>76</v>
      </c>
      <c r="AJ1061" t="s" s="10">
        <v>76</v>
      </c>
      <c r="AK1061" t="s" s="10">
        <v>79</v>
      </c>
      <c r="AL1061" t="s" s="10">
        <v>293</v>
      </c>
      <c r="AM1061" t="s" s="10">
        <v>294</v>
      </c>
      <c r="AN1061" s="11"/>
      <c r="AO1061" s="18">
        <v>14</v>
      </c>
      <c r="AP1061" s="18">
        <v>8192</v>
      </c>
      <c r="AQ1061" s="18">
        <v>161896</v>
      </c>
      <c r="AR1061" s="18">
        <v>161896</v>
      </c>
      <c r="AS1061" t="s" s="10">
        <v>4193</v>
      </c>
      <c r="AT1061" s="11"/>
      <c r="AU1061" s="11"/>
      <c r="AV1061" s="11"/>
      <c r="AW1061" s="11"/>
      <c r="AX1061" s="11"/>
      <c r="AY1061" s="11"/>
      <c r="AZ1061" s="11"/>
      <c r="BA1061" s="11"/>
      <c r="BB1061" s="11"/>
      <c r="BC1061" s="11"/>
      <c r="BD1061" s="11"/>
      <c r="BE1061" s="11"/>
      <c r="BF1061" s="11"/>
      <c r="BG1061" s="11"/>
      <c r="BH1061" s="11"/>
      <c r="BI1061" s="11"/>
      <c r="BJ1061" s="11"/>
      <c r="BK1061" s="11"/>
      <c r="BL1061" s="11"/>
      <c r="BM1061" s="11"/>
      <c r="BN1061" s="11"/>
      <c r="BO1061" s="12"/>
      <c r="BP1061" s="8"/>
    </row>
    <row r="1062" ht="9" customHeight="1" hidden="1">
      <c r="A1062" t="s" s="13">
        <v>4194</v>
      </c>
      <c r="B1062" s="14"/>
      <c r="C1062" t="str" s="14" cm="1">
        <f t="array" ref="C1062">_xlfn.IFERROR((VLOOKUP(A1062,#REF!,2,FALSE)),"")</f>
      </c>
      <c r="D1062" s="14"/>
      <c r="E1062" t="s" s="15">
        <v>2974</v>
      </c>
      <c r="F1062" s="14"/>
      <c r="G1062" t="s" s="15">
        <v>4195</v>
      </c>
      <c r="H1062" t="s" s="15">
        <v>4195</v>
      </c>
      <c r="I1062" t="s" s="15">
        <v>82</v>
      </c>
      <c r="J1062" t="s" s="15">
        <v>82</v>
      </c>
      <c r="K1062" t="s" s="15">
        <v>82</v>
      </c>
      <c r="L1062" t="s" s="15">
        <v>76</v>
      </c>
      <c r="M1062" t="s" s="15">
        <v>77</v>
      </c>
      <c r="N1062" s="14"/>
      <c r="O1062" s="14"/>
      <c r="P1062" s="14"/>
      <c r="Q1062" t="s" s="15">
        <v>78</v>
      </c>
      <c r="R1062" t="s" s="15">
        <v>83</v>
      </c>
      <c r="S1062" s="14"/>
      <c r="T1062" s="14"/>
      <c r="U1062" s="14"/>
      <c r="V1062" t="s" s="15">
        <v>69</v>
      </c>
      <c r="W1062" s="14"/>
      <c r="X1062" t="s" s="15">
        <v>78</v>
      </c>
      <c r="Y1062" s="14"/>
      <c r="Z1062" t="s" s="15">
        <v>76</v>
      </c>
      <c r="AA1062" s="14"/>
      <c r="AB1062" t="s" s="15">
        <v>76</v>
      </c>
      <c r="AC1062" s="14"/>
      <c r="AD1062" s="14"/>
      <c r="AE1062" s="14"/>
      <c r="AF1062" s="14"/>
      <c r="AG1062" s="14"/>
      <c r="AH1062" s="14"/>
      <c r="AI1062" t="s" s="15">
        <v>76</v>
      </c>
      <c r="AJ1062" t="s" s="15">
        <v>76</v>
      </c>
      <c r="AK1062" t="s" s="15">
        <v>79</v>
      </c>
      <c r="AL1062" t="s" s="15">
        <v>293</v>
      </c>
      <c r="AM1062" t="s" s="15">
        <v>294</v>
      </c>
      <c r="AN1062" t="s" s="15">
        <v>4150</v>
      </c>
      <c r="AO1062" s="17">
        <v>4</v>
      </c>
      <c r="AP1062" s="17">
        <v>8192</v>
      </c>
      <c r="AQ1062" s="17">
        <v>315486</v>
      </c>
      <c r="AR1062" s="17">
        <v>315486</v>
      </c>
      <c r="AS1062" t="s" s="15">
        <v>4196</v>
      </c>
      <c r="AT1062" s="14"/>
      <c r="AU1062" s="14"/>
      <c r="AV1062" s="14"/>
      <c r="AW1062" s="14"/>
      <c r="AX1062" s="14"/>
      <c r="AY1062" s="14"/>
      <c r="AZ1062" s="14"/>
      <c r="BA1062" s="14"/>
      <c r="BB1062" s="14"/>
      <c r="BC1062" s="14"/>
      <c r="BD1062" s="14"/>
      <c r="BE1062" s="14"/>
      <c r="BF1062" s="14"/>
      <c r="BG1062" s="14"/>
      <c r="BH1062" s="14"/>
      <c r="BI1062" s="14"/>
      <c r="BJ1062" s="14"/>
      <c r="BK1062" s="14"/>
      <c r="BL1062" s="14"/>
      <c r="BM1062" s="14"/>
      <c r="BN1062" s="14"/>
      <c r="BO1062" s="16"/>
      <c r="BP1062" s="8"/>
    </row>
    <row r="1063" ht="9" customHeight="1" hidden="1">
      <c r="A1063" t="s" s="9">
        <v>4197</v>
      </c>
      <c r="B1063" s="11"/>
      <c r="C1063" t="str" s="11" cm="1">
        <f t="array" ref="C1063">_xlfn.IFERROR((VLOOKUP(A1063,#REF!,2,FALSE)),"")</f>
      </c>
      <c r="D1063" s="11"/>
      <c r="E1063" s="11"/>
      <c r="F1063" s="11"/>
      <c r="G1063" t="s" s="10">
        <v>4198</v>
      </c>
      <c r="H1063" t="s" s="10">
        <v>4198</v>
      </c>
      <c r="I1063" t="s" s="10">
        <v>82</v>
      </c>
      <c r="J1063" t="s" s="10">
        <v>82</v>
      </c>
      <c r="K1063" t="s" s="10">
        <v>82</v>
      </c>
      <c r="L1063" t="s" s="10">
        <v>76</v>
      </c>
      <c r="M1063" t="s" s="10">
        <v>77</v>
      </c>
      <c r="N1063" s="11"/>
      <c r="O1063" s="11"/>
      <c r="P1063" s="11"/>
      <c r="Q1063" t="s" s="10">
        <v>78</v>
      </c>
      <c r="R1063" t="s" s="10">
        <v>83</v>
      </c>
      <c r="S1063" s="11"/>
      <c r="T1063" s="11"/>
      <c r="U1063" s="11"/>
      <c r="V1063" t="s" s="10">
        <v>69</v>
      </c>
      <c r="W1063" s="11"/>
      <c r="X1063" t="s" s="10">
        <v>78</v>
      </c>
      <c r="Y1063" s="11"/>
      <c r="Z1063" t="s" s="10">
        <v>76</v>
      </c>
      <c r="AA1063" s="11"/>
      <c r="AB1063" t="s" s="10">
        <v>76</v>
      </c>
      <c r="AC1063" s="11"/>
      <c r="AD1063" s="11"/>
      <c r="AE1063" s="11"/>
      <c r="AF1063" s="11"/>
      <c r="AG1063" t="s" s="10">
        <v>299</v>
      </c>
      <c r="AH1063" t="s" s="10">
        <v>106</v>
      </c>
      <c r="AI1063" t="s" s="10">
        <v>76</v>
      </c>
      <c r="AJ1063" t="s" s="10">
        <v>76</v>
      </c>
      <c r="AK1063" t="s" s="10">
        <v>79</v>
      </c>
      <c r="AL1063" t="s" s="10">
        <v>293</v>
      </c>
      <c r="AM1063" t="s" s="10">
        <v>294</v>
      </c>
      <c r="AN1063" t="s" s="10">
        <v>4150</v>
      </c>
      <c r="AO1063" s="18">
        <v>2</v>
      </c>
      <c r="AP1063" s="18">
        <v>4096</v>
      </c>
      <c r="AQ1063" s="18">
        <v>106578</v>
      </c>
      <c r="AR1063" s="18">
        <v>106578</v>
      </c>
      <c r="AS1063" t="s" s="10">
        <v>4199</v>
      </c>
      <c r="AT1063" t="s" s="10">
        <v>301</v>
      </c>
      <c r="AU1063" s="11"/>
      <c r="AV1063" s="11"/>
      <c r="AW1063" s="11"/>
      <c r="AX1063" s="11"/>
      <c r="AY1063" s="11"/>
      <c r="AZ1063" s="11"/>
      <c r="BA1063" s="11"/>
      <c r="BB1063" s="11"/>
      <c r="BC1063" s="11"/>
      <c r="BD1063" s="11"/>
      <c r="BE1063" s="11"/>
      <c r="BF1063" s="11"/>
      <c r="BG1063" s="11"/>
      <c r="BH1063" s="11"/>
      <c r="BI1063" s="11"/>
      <c r="BJ1063" s="11"/>
      <c r="BK1063" s="11"/>
      <c r="BL1063" s="11"/>
      <c r="BM1063" s="11"/>
      <c r="BN1063" s="11"/>
      <c r="BO1063" s="12"/>
      <c r="BP1063" s="8"/>
    </row>
    <row r="1064" ht="9" customHeight="1" hidden="1">
      <c r="A1064" t="s" s="13">
        <v>4200</v>
      </c>
      <c r="B1064" s="14"/>
      <c r="C1064" t="str" s="14" cm="1">
        <f t="array" ref="C1064">_xlfn.IFERROR((VLOOKUP(A1064,#REF!,2,FALSE)),"")</f>
      </c>
      <c r="D1064" s="14"/>
      <c r="E1064" t="s" s="15">
        <v>4201</v>
      </c>
      <c r="F1064" s="14"/>
      <c r="G1064" t="s" s="15">
        <v>4202</v>
      </c>
      <c r="H1064" t="s" s="15">
        <v>4202</v>
      </c>
      <c r="I1064" t="s" s="15">
        <v>82</v>
      </c>
      <c r="J1064" t="s" s="15">
        <v>82</v>
      </c>
      <c r="K1064" t="s" s="15">
        <v>82</v>
      </c>
      <c r="L1064" t="s" s="15">
        <v>76</v>
      </c>
      <c r="M1064" t="s" s="15">
        <v>77</v>
      </c>
      <c r="N1064" s="14"/>
      <c r="O1064" s="14"/>
      <c r="P1064" s="14"/>
      <c r="Q1064" t="s" s="15">
        <v>78</v>
      </c>
      <c r="R1064" t="s" s="15">
        <v>83</v>
      </c>
      <c r="S1064" t="s" s="15">
        <v>69</v>
      </c>
      <c r="T1064" s="14"/>
      <c r="U1064" s="14"/>
      <c r="V1064" t="s" s="15">
        <v>69</v>
      </c>
      <c r="W1064" s="14"/>
      <c r="X1064" t="s" s="15">
        <v>78</v>
      </c>
      <c r="Y1064" s="14"/>
      <c r="Z1064" t="s" s="15">
        <v>76</v>
      </c>
      <c r="AA1064" s="14"/>
      <c r="AB1064" t="s" s="15">
        <v>76</v>
      </c>
      <c r="AC1064" s="14"/>
      <c r="AD1064" s="14"/>
      <c r="AE1064" s="14"/>
      <c r="AF1064" s="14"/>
      <c r="AG1064" t="s" s="15">
        <v>299</v>
      </c>
      <c r="AH1064" t="s" s="15">
        <v>114</v>
      </c>
      <c r="AI1064" t="s" s="15">
        <v>76</v>
      </c>
      <c r="AJ1064" t="s" s="15">
        <v>76</v>
      </c>
      <c r="AK1064" t="s" s="15">
        <v>79</v>
      </c>
      <c r="AL1064" t="s" s="15">
        <v>293</v>
      </c>
      <c r="AM1064" t="s" s="15">
        <v>294</v>
      </c>
      <c r="AN1064" t="s" s="15">
        <v>4150</v>
      </c>
      <c r="AO1064" s="17">
        <v>2</v>
      </c>
      <c r="AP1064" s="17">
        <v>4096</v>
      </c>
      <c r="AQ1064" s="17">
        <v>208981</v>
      </c>
      <c r="AR1064" s="17">
        <v>208981</v>
      </c>
      <c r="AS1064" t="s" s="15">
        <v>4203</v>
      </c>
      <c r="AT1064" s="14"/>
      <c r="AU1064" s="14"/>
      <c r="AV1064" s="14"/>
      <c r="AW1064" s="14"/>
      <c r="AX1064" s="14"/>
      <c r="AY1064" s="14"/>
      <c r="AZ1064" s="14"/>
      <c r="BA1064" s="14"/>
      <c r="BB1064" s="14"/>
      <c r="BC1064" s="14"/>
      <c r="BD1064" t="s" s="15">
        <v>310</v>
      </c>
      <c r="BE1064" t="s" s="15">
        <v>419</v>
      </c>
      <c r="BF1064" s="17">
        <v>2</v>
      </c>
      <c r="BG1064" s="17">
        <v>4</v>
      </c>
      <c r="BH1064" s="14"/>
      <c r="BI1064" s="14"/>
      <c r="BJ1064" s="14"/>
      <c r="BK1064" s="14"/>
      <c r="BL1064" s="14"/>
      <c r="BM1064" s="14"/>
      <c r="BN1064" s="14"/>
      <c r="BO1064" s="16"/>
      <c r="BP1064" s="8"/>
    </row>
    <row r="1065" ht="9" customHeight="1" hidden="1">
      <c r="A1065" t="s" s="9">
        <v>4204</v>
      </c>
      <c r="B1065" s="11"/>
      <c r="C1065" t="str" s="11" cm="1">
        <f t="array" ref="C1065">_xlfn.IFERROR((VLOOKUP(A1065,#REF!,2,FALSE)),"")</f>
      </c>
      <c r="D1065" t="s" s="10">
        <v>70</v>
      </c>
      <c r="E1065" t="s" s="10">
        <v>71</v>
      </c>
      <c r="F1065" s="11"/>
      <c r="G1065" s="11"/>
      <c r="H1065" s="11"/>
      <c r="I1065" t="s" s="10">
        <v>82</v>
      </c>
      <c r="J1065" t="s" s="10">
        <v>82</v>
      </c>
      <c r="K1065" t="s" s="10">
        <v>82</v>
      </c>
      <c r="L1065" t="s" s="10">
        <v>76</v>
      </c>
      <c r="M1065" t="s" s="10">
        <v>77</v>
      </c>
      <c r="N1065" s="18">
        <v>0</v>
      </c>
      <c r="O1065" t="s" s="10">
        <v>71</v>
      </c>
      <c r="P1065" s="11"/>
      <c r="Q1065" t="s" s="10">
        <v>78</v>
      </c>
      <c r="R1065" t="s" s="10">
        <v>83</v>
      </c>
      <c r="S1065" s="11"/>
      <c r="T1065" s="11"/>
      <c r="U1065" s="11"/>
      <c r="V1065" t="s" s="10">
        <v>69</v>
      </c>
      <c r="W1065" s="11"/>
      <c r="X1065" t="s" s="10">
        <v>78</v>
      </c>
      <c r="Y1065" s="11"/>
      <c r="Z1065" t="s" s="10">
        <v>76</v>
      </c>
      <c r="AA1065" s="11"/>
      <c r="AB1065" t="s" s="10">
        <v>76</v>
      </c>
      <c r="AC1065" s="11"/>
      <c r="AD1065" s="11"/>
      <c r="AE1065" s="11"/>
      <c r="AF1065" s="11"/>
      <c r="AG1065" s="11"/>
      <c r="AH1065" s="11"/>
      <c r="AI1065" t="s" s="10">
        <v>76</v>
      </c>
      <c r="AJ1065" t="s" s="10">
        <v>76</v>
      </c>
      <c r="AK1065" t="s" s="10">
        <v>79</v>
      </c>
      <c r="AL1065" t="s" s="10">
        <v>293</v>
      </c>
      <c r="AM1065" t="s" s="10">
        <v>294</v>
      </c>
      <c r="AN1065" t="s" s="10">
        <v>4150</v>
      </c>
      <c r="AO1065" s="18">
        <v>8</v>
      </c>
      <c r="AP1065" s="18">
        <v>8192</v>
      </c>
      <c r="AQ1065" s="18">
        <v>323684</v>
      </c>
      <c r="AR1065" s="18">
        <v>201303</v>
      </c>
      <c r="AS1065" t="s" s="10">
        <v>4205</v>
      </c>
      <c r="AT1065" s="11"/>
      <c r="AU1065" s="11"/>
      <c r="AV1065" s="11"/>
      <c r="AW1065" s="11"/>
      <c r="AX1065" s="11"/>
      <c r="AY1065" s="11"/>
      <c r="AZ1065" s="11"/>
      <c r="BA1065" s="11"/>
      <c r="BB1065" s="11"/>
      <c r="BC1065" s="11"/>
      <c r="BD1065" s="11"/>
      <c r="BE1065" s="11"/>
      <c r="BF1065" s="11"/>
      <c r="BG1065" s="11"/>
      <c r="BH1065" s="11"/>
      <c r="BI1065" s="11"/>
      <c r="BJ1065" s="11"/>
      <c r="BK1065" s="11"/>
      <c r="BL1065" s="11"/>
      <c r="BM1065" s="11"/>
      <c r="BN1065" s="11"/>
      <c r="BO1065" s="12"/>
      <c r="BP1065" s="8"/>
    </row>
    <row r="1066" ht="9" customHeight="1" hidden="1">
      <c r="A1066" t="s" s="13">
        <v>4206</v>
      </c>
      <c r="B1066" s="14"/>
      <c r="C1066" t="str" s="14" cm="1">
        <f t="array" ref="C1066">_xlfn.IFERROR((VLOOKUP(A1066,#REF!,2,FALSE)),"")</f>
      </c>
      <c r="D1066" s="14"/>
      <c r="E1066" s="14"/>
      <c r="F1066" s="14"/>
      <c r="G1066" t="s" s="15">
        <v>4207</v>
      </c>
      <c r="H1066" t="s" s="15">
        <v>4207</v>
      </c>
      <c r="I1066" t="s" s="15">
        <v>82</v>
      </c>
      <c r="J1066" t="s" s="15">
        <v>82</v>
      </c>
      <c r="K1066" t="s" s="15">
        <v>82</v>
      </c>
      <c r="L1066" t="s" s="15">
        <v>76</v>
      </c>
      <c r="M1066" t="s" s="15">
        <v>77</v>
      </c>
      <c r="N1066" s="14"/>
      <c r="O1066" t="s" s="15">
        <v>71</v>
      </c>
      <c r="P1066" s="14"/>
      <c r="Q1066" t="s" s="15">
        <v>78</v>
      </c>
      <c r="R1066" t="s" s="15">
        <v>83</v>
      </c>
      <c r="S1066" s="14"/>
      <c r="T1066" s="14"/>
      <c r="U1066" s="14"/>
      <c r="V1066" t="s" s="15">
        <v>69</v>
      </c>
      <c r="W1066" s="14"/>
      <c r="X1066" t="s" s="15">
        <v>78</v>
      </c>
      <c r="Y1066" s="14"/>
      <c r="Z1066" t="s" s="15">
        <v>76</v>
      </c>
      <c r="AA1066" s="14"/>
      <c r="AB1066" t="s" s="15">
        <v>76</v>
      </c>
      <c r="AC1066" s="14"/>
      <c r="AD1066" s="14"/>
      <c r="AE1066" s="14"/>
      <c r="AF1066" s="14"/>
      <c r="AG1066" t="s" s="15">
        <v>299</v>
      </c>
      <c r="AH1066" t="s" s="15">
        <v>114</v>
      </c>
      <c r="AI1066" t="s" s="15">
        <v>76</v>
      </c>
      <c r="AJ1066" t="s" s="15">
        <v>76</v>
      </c>
      <c r="AK1066" t="s" s="15">
        <v>79</v>
      </c>
      <c r="AL1066" t="s" s="15">
        <v>293</v>
      </c>
      <c r="AM1066" t="s" s="15">
        <v>294</v>
      </c>
      <c r="AN1066" t="s" s="15">
        <v>4150</v>
      </c>
      <c r="AO1066" s="17">
        <v>2</v>
      </c>
      <c r="AP1066" s="17">
        <v>5120</v>
      </c>
      <c r="AQ1066" s="17">
        <v>291924</v>
      </c>
      <c r="AR1066" s="17">
        <v>291924</v>
      </c>
      <c r="AS1066" t="s" s="15">
        <v>4208</v>
      </c>
      <c r="AT1066" t="s" s="15">
        <v>301</v>
      </c>
      <c r="AU1066" s="14"/>
      <c r="AV1066" s="14"/>
      <c r="AW1066" s="14"/>
      <c r="AX1066" s="14"/>
      <c r="AY1066" s="14"/>
      <c r="AZ1066" s="14"/>
      <c r="BA1066" s="14"/>
      <c r="BB1066" s="14"/>
      <c r="BC1066" s="14"/>
      <c r="BD1066" t="s" s="15">
        <v>366</v>
      </c>
      <c r="BE1066" t="s" s="15">
        <v>489</v>
      </c>
      <c r="BF1066" s="17">
        <v>2</v>
      </c>
      <c r="BG1066" s="17">
        <v>8</v>
      </c>
      <c r="BH1066" s="14"/>
      <c r="BI1066" s="14"/>
      <c r="BJ1066" s="14"/>
      <c r="BK1066" s="14"/>
      <c r="BL1066" s="14"/>
      <c r="BM1066" s="14"/>
      <c r="BN1066" s="14"/>
      <c r="BO1066" s="16"/>
      <c r="BP1066" s="8"/>
    </row>
    <row r="1067" ht="9" customHeight="1" hidden="1">
      <c r="A1067" t="s" s="9">
        <v>4209</v>
      </c>
      <c r="B1067" s="11"/>
      <c r="C1067" t="str" s="11" cm="1">
        <f t="array" ref="C1067">_xlfn.IFERROR((VLOOKUP(A1067,#REF!,2,FALSE)),"")</f>
      </c>
      <c r="D1067" s="11"/>
      <c r="E1067" s="11"/>
      <c r="F1067" s="11"/>
      <c r="G1067" t="s" s="10">
        <v>4207</v>
      </c>
      <c r="H1067" t="s" s="10">
        <v>4207</v>
      </c>
      <c r="I1067" t="s" s="10">
        <v>82</v>
      </c>
      <c r="J1067" t="s" s="10">
        <v>82</v>
      </c>
      <c r="K1067" t="s" s="10">
        <v>82</v>
      </c>
      <c r="L1067" t="s" s="10">
        <v>76</v>
      </c>
      <c r="M1067" t="s" s="10">
        <v>77</v>
      </c>
      <c r="N1067" s="11"/>
      <c r="O1067" t="s" s="10">
        <v>71</v>
      </c>
      <c r="P1067" s="11"/>
      <c r="Q1067" t="s" s="10">
        <v>78</v>
      </c>
      <c r="R1067" t="s" s="10">
        <v>83</v>
      </c>
      <c r="S1067" s="11"/>
      <c r="T1067" s="11"/>
      <c r="U1067" s="11"/>
      <c r="V1067" t="s" s="10">
        <v>69</v>
      </c>
      <c r="W1067" s="11"/>
      <c r="X1067" t="s" s="10">
        <v>78</v>
      </c>
      <c r="Y1067" s="11"/>
      <c r="Z1067" t="s" s="10">
        <v>76</v>
      </c>
      <c r="AA1067" s="11"/>
      <c r="AB1067" t="s" s="10">
        <v>76</v>
      </c>
      <c r="AC1067" s="11"/>
      <c r="AD1067" s="11"/>
      <c r="AE1067" s="11"/>
      <c r="AF1067" s="11"/>
      <c r="AG1067" t="s" s="10">
        <v>299</v>
      </c>
      <c r="AH1067" t="s" s="10">
        <v>114</v>
      </c>
      <c r="AI1067" t="s" s="10">
        <v>76</v>
      </c>
      <c r="AJ1067" t="s" s="10">
        <v>76</v>
      </c>
      <c r="AK1067" t="s" s="10">
        <v>79</v>
      </c>
      <c r="AL1067" t="s" s="10">
        <v>293</v>
      </c>
      <c r="AM1067" t="s" s="10">
        <v>294</v>
      </c>
      <c r="AN1067" t="s" s="10">
        <v>4150</v>
      </c>
      <c r="AO1067" s="18">
        <v>2</v>
      </c>
      <c r="AP1067" s="18">
        <v>5120</v>
      </c>
      <c r="AQ1067" s="18">
        <v>291922</v>
      </c>
      <c r="AR1067" s="18">
        <v>291922</v>
      </c>
      <c r="AS1067" t="s" s="10">
        <v>4210</v>
      </c>
      <c r="AT1067" t="s" s="10">
        <v>301</v>
      </c>
      <c r="AU1067" s="11"/>
      <c r="AV1067" s="11"/>
      <c r="AW1067" s="11"/>
      <c r="AX1067" s="11"/>
      <c r="AY1067" s="11"/>
      <c r="AZ1067" s="11"/>
      <c r="BA1067" s="11"/>
      <c r="BB1067" s="11"/>
      <c r="BC1067" s="11"/>
      <c r="BD1067" t="s" s="10">
        <v>366</v>
      </c>
      <c r="BE1067" t="s" s="10">
        <v>489</v>
      </c>
      <c r="BF1067" s="18">
        <v>2</v>
      </c>
      <c r="BG1067" s="18">
        <v>8</v>
      </c>
      <c r="BH1067" s="11"/>
      <c r="BI1067" s="11"/>
      <c r="BJ1067" s="11"/>
      <c r="BK1067" s="11"/>
      <c r="BL1067" s="11"/>
      <c r="BM1067" s="11"/>
      <c r="BN1067" s="11"/>
      <c r="BO1067" s="12"/>
      <c r="BP1067" s="8"/>
    </row>
    <row r="1068" ht="9" customHeight="1" hidden="1">
      <c r="A1068" t="s" s="13">
        <v>4211</v>
      </c>
      <c r="B1068" s="14"/>
      <c r="C1068" t="str" s="14" cm="1">
        <f t="array" ref="C1068">_xlfn.IFERROR((VLOOKUP(A1068,#REF!,2,FALSE)),"")</f>
      </c>
      <c r="D1068" t="s" s="15">
        <v>70</v>
      </c>
      <c r="E1068" t="s" s="15">
        <v>957</v>
      </c>
      <c r="F1068" s="14"/>
      <c r="G1068" t="s" s="15">
        <v>4190</v>
      </c>
      <c r="H1068" t="s" s="15">
        <v>4190</v>
      </c>
      <c r="I1068" t="s" s="15">
        <v>82</v>
      </c>
      <c r="J1068" t="s" s="15">
        <v>82</v>
      </c>
      <c r="K1068" t="s" s="15">
        <v>82</v>
      </c>
      <c r="L1068" t="s" s="15">
        <v>76</v>
      </c>
      <c r="M1068" t="s" s="15">
        <v>77</v>
      </c>
      <c r="N1068" s="14"/>
      <c r="O1068" s="14"/>
      <c r="P1068" s="14"/>
      <c r="Q1068" t="s" s="15">
        <v>78</v>
      </c>
      <c r="R1068" t="s" s="15">
        <v>83</v>
      </c>
      <c r="S1068" s="14"/>
      <c r="T1068" s="14"/>
      <c r="U1068" s="14"/>
      <c r="V1068" t="s" s="15">
        <v>69</v>
      </c>
      <c r="W1068" s="14"/>
      <c r="X1068" t="s" s="15">
        <v>78</v>
      </c>
      <c r="Y1068" s="14"/>
      <c r="Z1068" t="s" s="15">
        <v>76</v>
      </c>
      <c r="AA1068" s="14"/>
      <c r="AB1068" t="s" s="15">
        <v>76</v>
      </c>
      <c r="AC1068" s="14"/>
      <c r="AD1068" s="14"/>
      <c r="AE1068" s="14"/>
      <c r="AF1068" s="14"/>
      <c r="AG1068" t="s" s="15">
        <v>453</v>
      </c>
      <c r="AH1068" t="s" s="15">
        <v>106</v>
      </c>
      <c r="AI1068" t="s" s="15">
        <v>76</v>
      </c>
      <c r="AJ1068" t="s" s="15">
        <v>76</v>
      </c>
      <c r="AK1068" t="s" s="15">
        <v>79</v>
      </c>
      <c r="AL1068" t="s" s="15">
        <v>293</v>
      </c>
      <c r="AM1068" t="s" s="15">
        <v>294</v>
      </c>
      <c r="AN1068" t="s" s="15">
        <v>4212</v>
      </c>
      <c r="AO1068" s="17">
        <v>4</v>
      </c>
      <c r="AP1068" s="17">
        <v>8192</v>
      </c>
      <c r="AQ1068" s="17">
        <v>315525</v>
      </c>
      <c r="AR1068" s="17">
        <v>174080</v>
      </c>
      <c r="AS1068" t="s" s="15">
        <v>4213</v>
      </c>
      <c r="AT1068" s="14"/>
      <c r="AU1068" s="14"/>
      <c r="AV1068" s="14"/>
      <c r="AW1068" s="14"/>
      <c r="AX1068" s="14"/>
      <c r="AY1068" s="14"/>
      <c r="AZ1068" s="14"/>
      <c r="BA1068" s="14"/>
      <c r="BB1068" s="14"/>
      <c r="BC1068" s="14"/>
      <c r="BD1068" s="14"/>
      <c r="BE1068" s="14"/>
      <c r="BF1068" s="14"/>
      <c r="BG1068" s="14"/>
      <c r="BH1068" s="14"/>
      <c r="BI1068" s="14"/>
      <c r="BJ1068" s="14"/>
      <c r="BK1068" s="14"/>
      <c r="BL1068" s="14"/>
      <c r="BM1068" s="14"/>
      <c r="BN1068" s="14"/>
      <c r="BO1068" s="16"/>
      <c r="BP1068" s="8"/>
    </row>
    <row r="1069" ht="15" customHeight="1" hidden="1">
      <c r="A1069" t="s" s="9">
        <v>4214</v>
      </c>
      <c r="B1069" s="11"/>
      <c r="C1069" t="str" s="11" cm="1">
        <f t="array" ref="C1069">_xlfn.IFERROR((VLOOKUP(A1069,#REF!,2,FALSE)),"")</f>
      </c>
      <c r="D1069" s="11"/>
      <c r="E1069" t="s" s="10">
        <v>4215</v>
      </c>
      <c r="F1069" t="s" s="10">
        <v>76</v>
      </c>
      <c r="G1069" t="s" s="10">
        <v>4216</v>
      </c>
      <c r="H1069" t="s" s="10">
        <v>2512</v>
      </c>
      <c r="I1069" t="s" s="10">
        <v>82</v>
      </c>
      <c r="J1069" t="s" s="10">
        <v>82</v>
      </c>
      <c r="K1069" t="s" s="10">
        <v>82</v>
      </c>
      <c r="L1069" t="s" s="10">
        <v>1467</v>
      </c>
      <c r="M1069" t="s" s="10">
        <v>77</v>
      </c>
      <c r="N1069" s="11"/>
      <c r="O1069" t="s" s="10">
        <v>346</v>
      </c>
      <c r="P1069" s="11"/>
      <c r="Q1069" t="s" s="10">
        <v>78</v>
      </c>
      <c r="R1069" t="s" s="10">
        <v>83</v>
      </c>
      <c r="S1069" s="11"/>
      <c r="T1069" s="11"/>
      <c r="U1069" s="11"/>
      <c r="V1069" t="s" s="10">
        <v>69</v>
      </c>
      <c r="W1069" s="11"/>
      <c r="X1069" t="s" s="10">
        <v>78</v>
      </c>
      <c r="Y1069" s="11"/>
      <c r="Z1069" t="s" s="10">
        <v>205</v>
      </c>
      <c r="AA1069" s="11"/>
      <c r="AB1069" t="s" s="10">
        <v>2513</v>
      </c>
      <c r="AC1069" t="s" s="10">
        <v>4157</v>
      </c>
      <c r="AD1069" s="11"/>
      <c r="AE1069" s="11"/>
      <c r="AF1069" s="11"/>
      <c r="AG1069" t="s" s="10">
        <v>299</v>
      </c>
      <c r="AH1069" t="s" s="10">
        <v>114</v>
      </c>
      <c r="AI1069" t="s" s="10">
        <v>290</v>
      </c>
      <c r="AJ1069" t="s" s="10">
        <v>798</v>
      </c>
      <c r="AK1069" t="s" s="10">
        <v>1195</v>
      </c>
      <c r="AL1069" t="s" s="10">
        <v>293</v>
      </c>
      <c r="AM1069" t="s" s="10">
        <v>294</v>
      </c>
      <c r="AN1069" t="s" s="10">
        <v>4150</v>
      </c>
      <c r="AO1069" s="18">
        <v>4</v>
      </c>
      <c r="AP1069" s="18">
        <v>8192</v>
      </c>
      <c r="AQ1069" s="18">
        <v>110680</v>
      </c>
      <c r="AR1069" s="18">
        <v>110680</v>
      </c>
      <c r="AS1069" t="s" s="10">
        <v>4217</v>
      </c>
      <c r="AT1069" t="s" s="10">
        <v>301</v>
      </c>
      <c r="AU1069" t="s" s="10">
        <v>4218</v>
      </c>
      <c r="AV1069" t="s" s="10">
        <v>76</v>
      </c>
      <c r="AW1069" t="s" s="10">
        <v>83</v>
      </c>
      <c r="AX1069" t="s" s="10">
        <v>83</v>
      </c>
      <c r="AY1069" t="s" s="10">
        <v>309</v>
      </c>
      <c r="AZ1069" t="s" s="10">
        <v>83</v>
      </c>
      <c r="BA1069" t="s" s="10">
        <v>76</v>
      </c>
      <c r="BB1069" t="s" s="10">
        <v>76</v>
      </c>
      <c r="BC1069" t="s" s="10">
        <v>76</v>
      </c>
      <c r="BD1069" t="s" s="10">
        <v>310</v>
      </c>
      <c r="BE1069" t="s" s="10">
        <v>356</v>
      </c>
      <c r="BF1069" s="18">
        <v>4</v>
      </c>
      <c r="BG1069" s="18">
        <v>8</v>
      </c>
      <c r="BH1069" t="s" s="10">
        <v>83</v>
      </c>
      <c r="BI1069" t="s" s="10">
        <v>83</v>
      </c>
      <c r="BJ1069" t="s" s="10">
        <v>83</v>
      </c>
      <c r="BK1069" t="s" s="10">
        <v>83</v>
      </c>
      <c r="BL1069" t="s" s="10">
        <v>83</v>
      </c>
      <c r="BM1069" t="s" s="10">
        <v>312</v>
      </c>
      <c r="BN1069" s="11"/>
      <c r="BO1069" t="s" s="19">
        <v>76</v>
      </c>
      <c r="BP1069" s="8"/>
    </row>
    <row r="1070" ht="15" customHeight="1" hidden="1">
      <c r="A1070" t="s" s="13">
        <v>4219</v>
      </c>
      <c r="B1070" s="14"/>
      <c r="C1070" t="str" s="14" cm="1">
        <f t="array" ref="C1070">_xlfn.IFERROR((VLOOKUP(A1070,#REF!,2,FALSE)),"")</f>
      </c>
      <c r="D1070" s="14"/>
      <c r="E1070" t="s" s="15">
        <v>4215</v>
      </c>
      <c r="F1070" t="s" s="15">
        <v>76</v>
      </c>
      <c r="G1070" t="s" s="15">
        <v>4220</v>
      </c>
      <c r="H1070" t="s" s="15">
        <v>2512</v>
      </c>
      <c r="I1070" t="s" s="15">
        <v>82</v>
      </c>
      <c r="J1070" t="s" s="15">
        <v>82</v>
      </c>
      <c r="K1070" t="s" s="15">
        <v>82</v>
      </c>
      <c r="L1070" t="s" s="15">
        <v>1467</v>
      </c>
      <c r="M1070" t="s" s="15">
        <v>77</v>
      </c>
      <c r="N1070" s="14"/>
      <c r="O1070" t="s" s="15">
        <v>286</v>
      </c>
      <c r="P1070" s="14"/>
      <c r="Q1070" t="s" s="15">
        <v>78</v>
      </c>
      <c r="R1070" t="s" s="15">
        <v>83</v>
      </c>
      <c r="S1070" s="14"/>
      <c r="T1070" s="14"/>
      <c r="U1070" s="14"/>
      <c r="V1070" t="s" s="15">
        <v>69</v>
      </c>
      <c r="W1070" s="14"/>
      <c r="X1070" t="s" s="15">
        <v>78</v>
      </c>
      <c r="Y1070" s="14"/>
      <c r="Z1070" t="s" s="15">
        <v>205</v>
      </c>
      <c r="AA1070" s="14"/>
      <c r="AB1070" t="s" s="15">
        <v>2513</v>
      </c>
      <c r="AC1070" t="s" s="15">
        <v>4157</v>
      </c>
      <c r="AD1070" s="14"/>
      <c r="AE1070" s="14"/>
      <c r="AF1070" s="14"/>
      <c r="AG1070" t="s" s="15">
        <v>299</v>
      </c>
      <c r="AH1070" t="s" s="15">
        <v>114</v>
      </c>
      <c r="AI1070" t="s" s="15">
        <v>332</v>
      </c>
      <c r="AJ1070" t="s" s="15">
        <v>798</v>
      </c>
      <c r="AK1070" t="s" s="15">
        <v>1195</v>
      </c>
      <c r="AL1070" t="s" s="15">
        <v>293</v>
      </c>
      <c r="AM1070" t="s" s="15">
        <v>294</v>
      </c>
      <c r="AN1070" t="s" s="15">
        <v>4150</v>
      </c>
      <c r="AO1070" s="17">
        <v>4</v>
      </c>
      <c r="AP1070" s="17">
        <v>8192</v>
      </c>
      <c r="AQ1070" s="17">
        <v>110681</v>
      </c>
      <c r="AR1070" s="17">
        <v>110681</v>
      </c>
      <c r="AS1070" t="s" s="15">
        <v>4221</v>
      </c>
      <c r="AT1070" t="s" s="15">
        <v>301</v>
      </c>
      <c r="AU1070" s="14"/>
      <c r="AV1070" t="s" s="15">
        <v>76</v>
      </c>
      <c r="AW1070" t="s" s="15">
        <v>4222</v>
      </c>
      <c r="AX1070" t="s" s="15">
        <v>301</v>
      </c>
      <c r="AY1070" t="s" s="15">
        <v>309</v>
      </c>
      <c r="AZ1070" t="s" s="15">
        <v>4223</v>
      </c>
      <c r="BA1070" t="s" s="15">
        <v>76</v>
      </c>
      <c r="BB1070" t="s" s="15">
        <v>76</v>
      </c>
      <c r="BC1070" t="s" s="15">
        <v>76</v>
      </c>
      <c r="BD1070" t="s" s="15">
        <v>310</v>
      </c>
      <c r="BE1070" t="s" s="15">
        <v>356</v>
      </c>
      <c r="BF1070" s="17">
        <v>4</v>
      </c>
      <c r="BG1070" s="17">
        <v>8</v>
      </c>
      <c r="BH1070" s="14"/>
      <c r="BI1070" t="s" s="15">
        <v>83</v>
      </c>
      <c r="BJ1070" t="s" s="15">
        <v>83</v>
      </c>
      <c r="BK1070" t="s" s="15">
        <v>83</v>
      </c>
      <c r="BL1070" s="14"/>
      <c r="BM1070" t="s" s="15">
        <v>312</v>
      </c>
      <c r="BN1070" s="14"/>
      <c r="BO1070" t="s" s="21">
        <v>76</v>
      </c>
      <c r="BP1070" s="8"/>
    </row>
    <row r="1071" ht="9" customHeight="1" hidden="1">
      <c r="A1071" t="s" s="9">
        <v>4224</v>
      </c>
      <c r="B1071" t="s" s="10">
        <v>69</v>
      </c>
      <c r="C1071" t="str" s="11" cm="1">
        <f t="array" ref="C1071">_xlfn.IFERROR((VLOOKUP(A1071,#REF!,2,FALSE)),"")</f>
      </c>
      <c r="D1071" s="11"/>
      <c r="E1071" t="s" s="10">
        <v>195</v>
      </c>
      <c r="F1071" s="11"/>
      <c r="G1071" t="s" s="10">
        <v>4225</v>
      </c>
      <c r="H1071" t="s" s="10">
        <v>4226</v>
      </c>
      <c r="I1071" t="s" s="10">
        <v>73</v>
      </c>
      <c r="J1071" t="s" s="10">
        <v>74</v>
      </c>
      <c r="K1071" t="s" s="10">
        <v>140</v>
      </c>
      <c r="L1071" t="s" s="10">
        <v>76</v>
      </c>
      <c r="M1071" t="s" s="10">
        <v>4225</v>
      </c>
      <c r="N1071" t="s" s="10">
        <v>4225</v>
      </c>
      <c r="O1071" t="s" s="10">
        <v>71</v>
      </c>
      <c r="P1071" t="s" s="10">
        <v>469</v>
      </c>
      <c r="Q1071" t="s" s="10">
        <v>78</v>
      </c>
      <c r="R1071" t="s" s="10">
        <v>339</v>
      </c>
      <c r="S1071" s="11"/>
      <c r="T1071" s="11"/>
      <c r="U1071" s="11"/>
      <c r="V1071" t="s" s="10">
        <v>78</v>
      </c>
      <c r="W1071" s="11"/>
      <c r="X1071" t="s" s="10">
        <v>69</v>
      </c>
      <c r="Y1071" s="11"/>
      <c r="Z1071" t="s" s="10">
        <v>76</v>
      </c>
      <c r="AA1071" s="11"/>
      <c r="AB1071" t="s" s="10">
        <v>76</v>
      </c>
      <c r="AC1071" s="11"/>
      <c r="AD1071" s="11"/>
      <c r="AE1071" s="11"/>
      <c r="AF1071" s="11"/>
      <c r="AG1071" s="11"/>
      <c r="AH1071" s="11"/>
      <c r="AI1071" t="s" s="10">
        <v>76</v>
      </c>
      <c r="AJ1071" t="s" s="10">
        <v>76</v>
      </c>
      <c r="AK1071" t="s" s="10">
        <v>79</v>
      </c>
      <c r="AL1071" s="11"/>
      <c r="AM1071" t="s" s="10">
        <v>196</v>
      </c>
      <c r="AN1071" s="11"/>
      <c r="AO1071" s="11"/>
      <c r="AP1071" s="11"/>
      <c r="AQ1071" s="11"/>
      <c r="AR1071" s="11"/>
      <c r="AS1071" s="11"/>
      <c r="AT1071" s="11"/>
      <c r="AU1071" s="11"/>
      <c r="AV1071" s="11"/>
      <c r="AW1071" s="11"/>
      <c r="AX1071" s="11"/>
      <c r="AY1071" s="11"/>
      <c r="AZ1071" s="11"/>
      <c r="BA1071" s="11"/>
      <c r="BB1071" s="11"/>
      <c r="BC1071" s="11"/>
      <c r="BD1071" s="11"/>
      <c r="BE1071" s="11"/>
      <c r="BF1071" s="11"/>
      <c r="BG1071" s="11"/>
      <c r="BH1071" s="11"/>
      <c r="BI1071" s="11"/>
      <c r="BJ1071" s="11"/>
      <c r="BK1071" s="11"/>
      <c r="BL1071" s="11"/>
      <c r="BM1071" s="11"/>
      <c r="BN1071" s="11"/>
      <c r="BO1071" s="12"/>
      <c r="BP1071" s="8"/>
    </row>
    <row r="1072" ht="9" customHeight="1" hidden="1">
      <c r="A1072" t="s" s="13">
        <v>4227</v>
      </c>
      <c r="B1072" s="14"/>
      <c r="C1072" t="str" s="14" cm="1">
        <f t="array" ref="C1072">_xlfn.IFERROR((VLOOKUP(A1072,#REF!,2,FALSE)),"")</f>
      </c>
      <c r="D1072" s="14"/>
      <c r="E1072" t="s" s="15">
        <v>195</v>
      </c>
      <c r="F1072" s="14"/>
      <c r="G1072" t="s" s="15">
        <v>4228</v>
      </c>
      <c r="H1072" t="s" s="15">
        <v>4229</v>
      </c>
      <c r="I1072" t="s" s="15">
        <v>73</v>
      </c>
      <c r="J1072" t="s" s="15">
        <v>74</v>
      </c>
      <c r="K1072" t="s" s="15">
        <v>140</v>
      </c>
      <c r="L1072" t="s" s="15">
        <v>76</v>
      </c>
      <c r="M1072" t="s" s="15">
        <v>4228</v>
      </c>
      <c r="N1072" t="s" s="15">
        <v>4228</v>
      </c>
      <c r="O1072" t="s" s="15">
        <v>71</v>
      </c>
      <c r="P1072" t="s" s="15">
        <v>74</v>
      </c>
      <c r="Q1072" t="s" s="15">
        <v>78</v>
      </c>
      <c r="R1072" t="s" s="15">
        <v>71</v>
      </c>
      <c r="S1072" s="14"/>
      <c r="T1072" s="14"/>
      <c r="U1072" s="14"/>
      <c r="V1072" t="s" s="15">
        <v>78</v>
      </c>
      <c r="W1072" t="s" s="15">
        <v>4227</v>
      </c>
      <c r="X1072" t="s" s="15">
        <v>69</v>
      </c>
      <c r="Y1072" s="14"/>
      <c r="Z1072" t="s" s="15">
        <v>76</v>
      </c>
      <c r="AA1072" s="14"/>
      <c r="AB1072" t="s" s="15">
        <v>76</v>
      </c>
      <c r="AC1072" s="14"/>
      <c r="AD1072" s="14"/>
      <c r="AE1072" s="14"/>
      <c r="AF1072" s="14"/>
      <c r="AG1072" s="14"/>
      <c r="AH1072" s="14"/>
      <c r="AI1072" t="s" s="15">
        <v>76</v>
      </c>
      <c r="AJ1072" t="s" s="15">
        <v>76</v>
      </c>
      <c r="AK1072" t="s" s="15">
        <v>79</v>
      </c>
      <c r="AL1072" s="14"/>
      <c r="AM1072" t="s" s="15">
        <v>196</v>
      </c>
      <c r="AN1072" s="14"/>
      <c r="AO1072" s="14"/>
      <c r="AP1072" s="14"/>
      <c r="AQ1072" s="14"/>
      <c r="AR1072" s="14"/>
      <c r="AS1072" s="14"/>
      <c r="AT1072" s="14"/>
      <c r="AU1072" s="14"/>
      <c r="AV1072" s="14"/>
      <c r="AW1072" s="14"/>
      <c r="AX1072" s="14"/>
      <c r="AY1072" s="14"/>
      <c r="AZ1072" s="14"/>
      <c r="BA1072" s="14"/>
      <c r="BB1072" s="14"/>
      <c r="BC1072" s="14"/>
      <c r="BD1072" s="14"/>
      <c r="BE1072" s="14"/>
      <c r="BF1072" s="14"/>
      <c r="BG1072" s="14"/>
      <c r="BH1072" s="14"/>
      <c r="BI1072" s="14"/>
      <c r="BJ1072" s="14"/>
      <c r="BK1072" s="14"/>
      <c r="BL1072" s="14"/>
      <c r="BM1072" s="14"/>
      <c r="BN1072" s="14"/>
      <c r="BO1072" s="16"/>
      <c r="BP1072" s="8"/>
    </row>
    <row r="1073" ht="9" customHeight="1" hidden="1">
      <c r="A1073" t="s" s="9">
        <v>4230</v>
      </c>
      <c r="B1073" s="11"/>
      <c r="C1073" t="str" s="11" cm="1">
        <f t="array" ref="C1073">_xlfn.IFERROR((VLOOKUP(A1073,#REF!,2,FALSE)),"")</f>
      </c>
      <c r="D1073" t="s" s="10">
        <v>70</v>
      </c>
      <c r="E1073" t="s" s="10">
        <v>71</v>
      </c>
      <c r="F1073" s="11"/>
      <c r="G1073" s="11"/>
      <c r="H1073" s="11"/>
      <c r="I1073" t="s" s="10">
        <v>73</v>
      </c>
      <c r="J1073" t="s" s="10">
        <v>74</v>
      </c>
      <c r="K1073" t="s" s="10">
        <v>113</v>
      </c>
      <c r="L1073" t="s" s="10">
        <v>76</v>
      </c>
      <c r="M1073" t="s" s="10">
        <v>4231</v>
      </c>
      <c r="N1073" s="11"/>
      <c r="O1073" t="s" s="10">
        <v>71</v>
      </c>
      <c r="P1073" t="s" s="10">
        <v>322</v>
      </c>
      <c r="Q1073" t="s" s="10">
        <v>78</v>
      </c>
      <c r="R1073" t="s" s="10">
        <v>71</v>
      </c>
      <c r="S1073" s="11"/>
      <c r="T1073" s="11"/>
      <c r="U1073" s="11"/>
      <c r="V1073" t="s" s="10">
        <v>69</v>
      </c>
      <c r="W1073" t="s" s="10">
        <v>4230</v>
      </c>
      <c r="X1073" t="s" s="10">
        <v>78</v>
      </c>
      <c r="Y1073" s="11"/>
      <c r="Z1073" t="s" s="10">
        <v>76</v>
      </c>
      <c r="AA1073" s="11"/>
      <c r="AB1073" t="s" s="10">
        <v>76</v>
      </c>
      <c r="AC1073" s="11"/>
      <c r="AD1073" s="11"/>
      <c r="AE1073" s="11"/>
      <c r="AF1073" s="11"/>
      <c r="AG1073" s="11"/>
      <c r="AH1073" s="11"/>
      <c r="AI1073" t="s" s="10">
        <v>76</v>
      </c>
      <c r="AJ1073" t="s" s="10">
        <v>76</v>
      </c>
      <c r="AK1073" t="s" s="10">
        <v>79</v>
      </c>
      <c r="AL1073" t="s" s="10">
        <v>293</v>
      </c>
      <c r="AM1073" t="s" s="10">
        <v>294</v>
      </c>
      <c r="AN1073" t="s" s="10">
        <v>4232</v>
      </c>
      <c r="AO1073" s="18">
        <v>4</v>
      </c>
      <c r="AP1073" s="18">
        <v>8192</v>
      </c>
      <c r="AQ1073" s="18">
        <v>323711</v>
      </c>
      <c r="AR1073" s="18">
        <v>203422</v>
      </c>
      <c r="AS1073" t="s" s="10">
        <v>4233</v>
      </c>
      <c r="AT1073" s="11"/>
      <c r="AU1073" s="11"/>
      <c r="AV1073" s="11"/>
      <c r="AW1073" s="11"/>
      <c r="AX1073" s="11"/>
      <c r="AY1073" s="11"/>
      <c r="AZ1073" s="11"/>
      <c r="BA1073" s="11"/>
      <c r="BB1073" s="11"/>
      <c r="BC1073" s="11"/>
      <c r="BD1073" s="11"/>
      <c r="BE1073" s="11"/>
      <c r="BF1073" s="11"/>
      <c r="BG1073" s="11"/>
      <c r="BH1073" s="11"/>
      <c r="BI1073" s="11"/>
      <c r="BJ1073" s="11"/>
      <c r="BK1073" s="11"/>
      <c r="BL1073" s="11"/>
      <c r="BM1073" s="11"/>
      <c r="BN1073" s="11"/>
      <c r="BO1073" s="12"/>
      <c r="BP1073" s="8"/>
    </row>
    <row r="1074" ht="9" customHeight="1" hidden="1">
      <c r="A1074" t="s" s="13">
        <v>4234</v>
      </c>
      <c r="B1074" s="14"/>
      <c r="C1074" t="str" s="14" cm="1">
        <f t="array" ref="C1074">_xlfn.IFERROR((VLOOKUP(A1074,#REF!,2,FALSE)),"")</f>
      </c>
      <c r="D1074" t="s" s="15">
        <v>70</v>
      </c>
      <c r="E1074" t="s" s="15">
        <v>71</v>
      </c>
      <c r="F1074" s="14"/>
      <c r="G1074" s="14"/>
      <c r="H1074" s="14"/>
      <c r="I1074" t="s" s="15">
        <v>73</v>
      </c>
      <c r="J1074" t="s" s="15">
        <v>74</v>
      </c>
      <c r="K1074" t="s" s="15">
        <v>113</v>
      </c>
      <c r="L1074" t="s" s="15">
        <v>76</v>
      </c>
      <c r="M1074" t="s" s="15">
        <v>4235</v>
      </c>
      <c r="N1074" s="14"/>
      <c r="O1074" t="s" s="15">
        <v>71</v>
      </c>
      <c r="P1074" t="s" s="15">
        <v>322</v>
      </c>
      <c r="Q1074" t="s" s="15">
        <v>78</v>
      </c>
      <c r="R1074" t="s" s="15">
        <v>71</v>
      </c>
      <c r="S1074" s="14"/>
      <c r="T1074" s="14"/>
      <c r="U1074" s="14"/>
      <c r="V1074" t="s" s="15">
        <v>78</v>
      </c>
      <c r="W1074" t="s" s="15">
        <v>4236</v>
      </c>
      <c r="X1074" t="s" s="15">
        <v>78</v>
      </c>
      <c r="Y1074" s="14"/>
      <c r="Z1074" t="s" s="15">
        <v>76</v>
      </c>
      <c r="AA1074" s="14"/>
      <c r="AB1074" t="s" s="15">
        <v>76</v>
      </c>
      <c r="AC1074" s="14"/>
      <c r="AD1074" s="14"/>
      <c r="AE1074" s="14"/>
      <c r="AF1074" s="14"/>
      <c r="AG1074" s="14"/>
      <c r="AH1074" s="14"/>
      <c r="AI1074" t="s" s="15">
        <v>76</v>
      </c>
      <c r="AJ1074" t="s" s="15">
        <v>76</v>
      </c>
      <c r="AK1074" t="s" s="15">
        <v>79</v>
      </c>
      <c r="AL1074" t="s" s="15">
        <v>293</v>
      </c>
      <c r="AM1074" t="s" s="15">
        <v>294</v>
      </c>
      <c r="AN1074" s="14"/>
      <c r="AO1074" s="17">
        <v>4</v>
      </c>
      <c r="AP1074" s="17">
        <v>20480</v>
      </c>
      <c r="AQ1074" s="17">
        <v>174277</v>
      </c>
      <c r="AR1074" s="17">
        <v>171103</v>
      </c>
      <c r="AS1074" t="s" s="15">
        <v>4237</v>
      </c>
      <c r="AT1074" s="14"/>
      <c r="AU1074" s="14"/>
      <c r="AV1074" s="14"/>
      <c r="AW1074" s="14"/>
      <c r="AX1074" s="14"/>
      <c r="AY1074" s="14"/>
      <c r="AZ1074" s="14"/>
      <c r="BA1074" s="14"/>
      <c r="BB1074" s="14"/>
      <c r="BC1074" s="14"/>
      <c r="BD1074" s="14"/>
      <c r="BE1074" s="14"/>
      <c r="BF1074" s="14"/>
      <c r="BG1074" s="14"/>
      <c r="BH1074" s="14"/>
      <c r="BI1074" s="14"/>
      <c r="BJ1074" s="14"/>
      <c r="BK1074" s="14"/>
      <c r="BL1074" s="14"/>
      <c r="BM1074" s="14"/>
      <c r="BN1074" s="14"/>
      <c r="BO1074" s="16"/>
      <c r="BP1074" s="8"/>
    </row>
    <row r="1075" ht="9" customHeight="1" hidden="1">
      <c r="A1075" t="s" s="9">
        <v>4238</v>
      </c>
      <c r="B1075" s="11"/>
      <c r="C1075" t="str" s="11" cm="1">
        <f t="array" ref="C1075">_xlfn.IFERROR((VLOOKUP(A1075,#REF!,2,FALSE)),"")</f>
      </c>
      <c r="D1075" t="s" s="10">
        <v>70</v>
      </c>
      <c r="E1075" t="s" s="10">
        <v>71</v>
      </c>
      <c r="F1075" s="11"/>
      <c r="G1075" s="11"/>
      <c r="H1075" s="11"/>
      <c r="I1075" t="s" s="10">
        <v>73</v>
      </c>
      <c r="J1075" t="s" s="10">
        <v>74</v>
      </c>
      <c r="K1075" t="s" s="10">
        <v>113</v>
      </c>
      <c r="L1075" t="s" s="10">
        <v>76</v>
      </c>
      <c r="M1075" t="s" s="10">
        <v>4239</v>
      </c>
      <c r="N1075" s="11"/>
      <c r="O1075" t="s" s="10">
        <v>71</v>
      </c>
      <c r="P1075" t="s" s="10">
        <v>322</v>
      </c>
      <c r="Q1075" t="s" s="10">
        <v>78</v>
      </c>
      <c r="R1075" t="s" s="10">
        <v>71</v>
      </c>
      <c r="S1075" s="11"/>
      <c r="T1075" s="11"/>
      <c r="U1075" s="11"/>
      <c r="V1075" t="s" s="10">
        <v>78</v>
      </c>
      <c r="W1075" t="s" s="10">
        <v>4240</v>
      </c>
      <c r="X1075" t="s" s="10">
        <v>78</v>
      </c>
      <c r="Y1075" s="11"/>
      <c r="Z1075" t="s" s="10">
        <v>76</v>
      </c>
      <c r="AA1075" s="11"/>
      <c r="AB1075" t="s" s="10">
        <v>76</v>
      </c>
      <c r="AC1075" s="11"/>
      <c r="AD1075" s="11"/>
      <c r="AE1075" s="11"/>
      <c r="AF1075" s="11"/>
      <c r="AG1075" s="11"/>
      <c r="AH1075" s="11"/>
      <c r="AI1075" t="s" s="10">
        <v>76</v>
      </c>
      <c r="AJ1075" t="s" s="10">
        <v>76</v>
      </c>
      <c r="AK1075" t="s" s="10">
        <v>79</v>
      </c>
      <c r="AL1075" t="s" s="10">
        <v>293</v>
      </c>
      <c r="AM1075" t="s" s="10">
        <v>294</v>
      </c>
      <c r="AN1075" s="11"/>
      <c r="AO1075" s="18">
        <v>4</v>
      </c>
      <c r="AP1075" s="18">
        <v>20480</v>
      </c>
      <c r="AQ1075" s="18">
        <v>174305</v>
      </c>
      <c r="AR1075" s="18">
        <v>174133</v>
      </c>
      <c r="AS1075" t="s" s="10">
        <v>4241</v>
      </c>
      <c r="AT1075" s="11"/>
      <c r="AU1075" s="11"/>
      <c r="AV1075" s="11"/>
      <c r="AW1075" s="11"/>
      <c r="AX1075" s="11"/>
      <c r="AY1075" s="11"/>
      <c r="AZ1075" s="11"/>
      <c r="BA1075" s="11"/>
      <c r="BB1075" s="11"/>
      <c r="BC1075" s="11"/>
      <c r="BD1075" s="11"/>
      <c r="BE1075" s="11"/>
      <c r="BF1075" s="11"/>
      <c r="BG1075" s="11"/>
      <c r="BH1075" s="11"/>
      <c r="BI1075" s="11"/>
      <c r="BJ1075" s="11"/>
      <c r="BK1075" s="11"/>
      <c r="BL1075" s="11"/>
      <c r="BM1075" s="11"/>
      <c r="BN1075" s="11"/>
      <c r="BO1075" s="12"/>
      <c r="BP1075" s="8"/>
    </row>
    <row r="1076" ht="9" customHeight="1" hidden="1">
      <c r="A1076" t="s" s="13">
        <v>4242</v>
      </c>
      <c r="B1076" s="14"/>
      <c r="C1076" t="str" s="14" cm="1">
        <f t="array" ref="C1076">_xlfn.IFERROR((VLOOKUP(A1076,#REF!,2,FALSE)),"")</f>
      </c>
      <c r="D1076" t="s" s="15">
        <v>70</v>
      </c>
      <c r="E1076" t="s" s="15">
        <v>71</v>
      </c>
      <c r="F1076" s="14"/>
      <c r="G1076" s="14"/>
      <c r="H1076" s="14"/>
      <c r="I1076" t="s" s="15">
        <v>73</v>
      </c>
      <c r="J1076" t="s" s="15">
        <v>74</v>
      </c>
      <c r="K1076" t="s" s="15">
        <v>113</v>
      </c>
      <c r="L1076" t="s" s="15">
        <v>76</v>
      </c>
      <c r="M1076" t="s" s="15">
        <v>4243</v>
      </c>
      <c r="N1076" s="14"/>
      <c r="O1076" t="s" s="15">
        <v>71</v>
      </c>
      <c r="P1076" t="s" s="15">
        <v>322</v>
      </c>
      <c r="Q1076" t="s" s="15">
        <v>78</v>
      </c>
      <c r="R1076" t="s" s="15">
        <v>71</v>
      </c>
      <c r="S1076" s="14"/>
      <c r="T1076" s="14"/>
      <c r="U1076" s="14"/>
      <c r="V1076" t="s" s="15">
        <v>78</v>
      </c>
      <c r="W1076" t="s" s="15">
        <v>4244</v>
      </c>
      <c r="X1076" t="s" s="15">
        <v>78</v>
      </c>
      <c r="Y1076" s="14"/>
      <c r="Z1076" t="s" s="15">
        <v>76</v>
      </c>
      <c r="AA1076" s="14"/>
      <c r="AB1076" t="s" s="15">
        <v>76</v>
      </c>
      <c r="AC1076" s="14"/>
      <c r="AD1076" s="14"/>
      <c r="AE1076" s="14"/>
      <c r="AF1076" s="14"/>
      <c r="AG1076" s="14"/>
      <c r="AH1076" s="14"/>
      <c r="AI1076" t="s" s="15">
        <v>76</v>
      </c>
      <c r="AJ1076" t="s" s="15">
        <v>76</v>
      </c>
      <c r="AK1076" t="s" s="15">
        <v>79</v>
      </c>
      <c r="AL1076" t="s" s="15">
        <v>293</v>
      </c>
      <c r="AM1076" t="s" s="15">
        <v>294</v>
      </c>
      <c r="AN1076" s="14"/>
      <c r="AO1076" s="17">
        <v>4</v>
      </c>
      <c r="AP1076" s="17">
        <v>20480</v>
      </c>
      <c r="AQ1076" s="17">
        <v>174295</v>
      </c>
      <c r="AR1076" s="17">
        <v>174123</v>
      </c>
      <c r="AS1076" t="s" s="15">
        <v>4245</v>
      </c>
      <c r="AT1076" s="14"/>
      <c r="AU1076" s="14"/>
      <c r="AV1076" s="14"/>
      <c r="AW1076" s="14"/>
      <c r="AX1076" s="14"/>
      <c r="AY1076" s="14"/>
      <c r="AZ1076" s="14"/>
      <c r="BA1076" s="14"/>
      <c r="BB1076" s="14"/>
      <c r="BC1076" s="14"/>
      <c r="BD1076" s="14"/>
      <c r="BE1076" s="14"/>
      <c r="BF1076" s="14"/>
      <c r="BG1076" s="14"/>
      <c r="BH1076" s="14"/>
      <c r="BI1076" s="14"/>
      <c r="BJ1076" s="14"/>
      <c r="BK1076" s="14"/>
      <c r="BL1076" s="14"/>
      <c r="BM1076" s="14"/>
      <c r="BN1076" s="14"/>
      <c r="BO1076" s="16"/>
      <c r="BP1076" s="8"/>
    </row>
    <row r="1077" ht="9" customHeight="1" hidden="1">
      <c r="A1077" t="s" s="9">
        <v>4246</v>
      </c>
      <c r="B1077" s="11"/>
      <c r="C1077" t="str" s="11" cm="1">
        <f t="array" ref="C1077">_xlfn.IFERROR((VLOOKUP(A1077,#REF!,2,FALSE)),"")</f>
      </c>
      <c r="D1077" t="s" s="10">
        <v>70</v>
      </c>
      <c r="E1077" t="s" s="10">
        <v>71</v>
      </c>
      <c r="F1077" s="11"/>
      <c r="G1077" s="11"/>
      <c r="H1077" s="11"/>
      <c r="I1077" t="s" s="10">
        <v>73</v>
      </c>
      <c r="J1077" t="s" s="10">
        <v>74</v>
      </c>
      <c r="K1077" t="s" s="10">
        <v>113</v>
      </c>
      <c r="L1077" t="s" s="10">
        <v>76</v>
      </c>
      <c r="M1077" t="s" s="10">
        <v>4247</v>
      </c>
      <c r="N1077" s="11"/>
      <c r="O1077" t="s" s="10">
        <v>71</v>
      </c>
      <c r="P1077" t="s" s="10">
        <v>322</v>
      </c>
      <c r="Q1077" t="s" s="10">
        <v>78</v>
      </c>
      <c r="R1077" t="s" s="10">
        <v>71</v>
      </c>
      <c r="S1077" s="11"/>
      <c r="T1077" s="11"/>
      <c r="U1077" s="11"/>
      <c r="V1077" t="s" s="10">
        <v>78</v>
      </c>
      <c r="W1077" t="s" s="10">
        <v>4248</v>
      </c>
      <c r="X1077" t="s" s="10">
        <v>78</v>
      </c>
      <c r="Y1077" s="11"/>
      <c r="Z1077" t="s" s="10">
        <v>76</v>
      </c>
      <c r="AA1077" s="11"/>
      <c r="AB1077" t="s" s="10">
        <v>76</v>
      </c>
      <c r="AC1077" s="11"/>
      <c r="AD1077" s="11"/>
      <c r="AE1077" s="11"/>
      <c r="AF1077" s="11"/>
      <c r="AG1077" s="11"/>
      <c r="AH1077" s="11"/>
      <c r="AI1077" t="s" s="10">
        <v>76</v>
      </c>
      <c r="AJ1077" t="s" s="10">
        <v>76</v>
      </c>
      <c r="AK1077" t="s" s="10">
        <v>79</v>
      </c>
      <c r="AL1077" t="s" s="10">
        <v>293</v>
      </c>
      <c r="AM1077" t="s" s="10">
        <v>294</v>
      </c>
      <c r="AN1077" s="11"/>
      <c r="AO1077" s="18">
        <v>4</v>
      </c>
      <c r="AP1077" s="18">
        <v>20480</v>
      </c>
      <c r="AQ1077" s="18">
        <v>416269</v>
      </c>
      <c r="AR1077" s="18">
        <v>311318</v>
      </c>
      <c r="AS1077" t="s" s="10">
        <v>4249</v>
      </c>
      <c r="AT1077" s="11"/>
      <c r="AU1077" s="11"/>
      <c r="AV1077" s="11"/>
      <c r="AW1077" s="11"/>
      <c r="AX1077" s="11"/>
      <c r="AY1077" s="11"/>
      <c r="AZ1077" s="11"/>
      <c r="BA1077" s="11"/>
      <c r="BB1077" s="11"/>
      <c r="BC1077" s="11"/>
      <c r="BD1077" s="11"/>
      <c r="BE1077" s="11"/>
      <c r="BF1077" s="11"/>
      <c r="BG1077" s="11"/>
      <c r="BH1077" s="11"/>
      <c r="BI1077" s="11"/>
      <c r="BJ1077" s="11"/>
      <c r="BK1077" s="11"/>
      <c r="BL1077" s="11"/>
      <c r="BM1077" s="11"/>
      <c r="BN1077" s="11"/>
      <c r="BO1077" s="12"/>
      <c r="BP1077" s="8"/>
    </row>
    <row r="1078" ht="9" customHeight="1" hidden="1">
      <c r="A1078" t="s" s="13">
        <v>4250</v>
      </c>
      <c r="B1078" s="14"/>
      <c r="C1078" t="str" s="14" cm="1">
        <f t="array" ref="C1078">_xlfn.IFERROR((VLOOKUP(A1078,#REF!,2,FALSE)),"")</f>
      </c>
      <c r="D1078" t="s" s="15">
        <v>70</v>
      </c>
      <c r="E1078" t="s" s="15">
        <v>71</v>
      </c>
      <c r="F1078" s="14"/>
      <c r="G1078" s="14"/>
      <c r="H1078" s="14"/>
      <c r="I1078" t="s" s="15">
        <v>73</v>
      </c>
      <c r="J1078" t="s" s="15">
        <v>74</v>
      </c>
      <c r="K1078" t="s" s="15">
        <v>113</v>
      </c>
      <c r="L1078" t="s" s="15">
        <v>76</v>
      </c>
      <c r="M1078" t="s" s="15">
        <v>4251</v>
      </c>
      <c r="N1078" s="14"/>
      <c r="O1078" t="s" s="15">
        <v>71</v>
      </c>
      <c r="P1078" t="s" s="15">
        <v>322</v>
      </c>
      <c r="Q1078" t="s" s="15">
        <v>78</v>
      </c>
      <c r="R1078" t="s" s="15">
        <v>71</v>
      </c>
      <c r="S1078" s="14"/>
      <c r="T1078" s="14"/>
      <c r="U1078" s="14"/>
      <c r="V1078" t="s" s="15">
        <v>78</v>
      </c>
      <c r="W1078" t="s" s="15">
        <v>4252</v>
      </c>
      <c r="X1078" t="s" s="15">
        <v>78</v>
      </c>
      <c r="Y1078" s="14"/>
      <c r="Z1078" t="s" s="15">
        <v>76</v>
      </c>
      <c r="AA1078" s="14"/>
      <c r="AB1078" t="s" s="15">
        <v>76</v>
      </c>
      <c r="AC1078" s="14"/>
      <c r="AD1078" s="14"/>
      <c r="AE1078" s="14"/>
      <c r="AF1078" s="14"/>
      <c r="AG1078" s="14"/>
      <c r="AH1078" s="14"/>
      <c r="AI1078" t="s" s="15">
        <v>76</v>
      </c>
      <c r="AJ1078" t="s" s="15">
        <v>76</v>
      </c>
      <c r="AK1078" t="s" s="15">
        <v>79</v>
      </c>
      <c r="AL1078" t="s" s="15">
        <v>293</v>
      </c>
      <c r="AM1078" t="s" s="15">
        <v>294</v>
      </c>
      <c r="AN1078" s="14"/>
      <c r="AO1078" s="17">
        <v>4</v>
      </c>
      <c r="AP1078" s="17">
        <v>20480</v>
      </c>
      <c r="AQ1078" s="17">
        <v>606981</v>
      </c>
      <c r="AR1078" s="17">
        <v>486041</v>
      </c>
      <c r="AS1078" t="s" s="15">
        <v>4253</v>
      </c>
      <c r="AT1078" s="14"/>
      <c r="AU1078" s="14"/>
      <c r="AV1078" s="14"/>
      <c r="AW1078" s="14"/>
      <c r="AX1078" s="14"/>
      <c r="AY1078" s="14"/>
      <c r="AZ1078" s="14"/>
      <c r="BA1078" s="14"/>
      <c r="BB1078" s="14"/>
      <c r="BC1078" s="14"/>
      <c r="BD1078" s="14"/>
      <c r="BE1078" s="14"/>
      <c r="BF1078" s="14"/>
      <c r="BG1078" s="14"/>
      <c r="BH1078" s="14"/>
      <c r="BI1078" s="14"/>
      <c r="BJ1078" s="14"/>
      <c r="BK1078" s="14"/>
      <c r="BL1078" s="14"/>
      <c r="BM1078" s="14"/>
      <c r="BN1078" s="14"/>
      <c r="BO1078" s="16"/>
      <c r="BP1078" s="8"/>
    </row>
    <row r="1079" ht="9" customHeight="1" hidden="1">
      <c r="A1079" t="s" s="9">
        <v>4254</v>
      </c>
      <c r="B1079" s="11"/>
      <c r="C1079" t="str" s="11" cm="1">
        <f t="array" ref="C1079">_xlfn.IFERROR((VLOOKUP(A1079,#REF!,2,FALSE)),"")</f>
      </c>
      <c r="D1079" t="s" s="10">
        <v>70</v>
      </c>
      <c r="E1079" t="s" s="10">
        <v>71</v>
      </c>
      <c r="F1079" s="11"/>
      <c r="G1079" s="11"/>
      <c r="H1079" s="11"/>
      <c r="I1079" t="s" s="10">
        <v>73</v>
      </c>
      <c r="J1079" t="s" s="10">
        <v>74</v>
      </c>
      <c r="K1079" t="s" s="10">
        <v>113</v>
      </c>
      <c r="L1079" t="s" s="10">
        <v>76</v>
      </c>
      <c r="M1079" t="s" s="10">
        <v>4255</v>
      </c>
      <c r="N1079" s="11"/>
      <c r="O1079" t="s" s="10">
        <v>71</v>
      </c>
      <c r="P1079" t="s" s="10">
        <v>322</v>
      </c>
      <c r="Q1079" t="s" s="10">
        <v>78</v>
      </c>
      <c r="R1079" t="s" s="10">
        <v>71</v>
      </c>
      <c r="S1079" s="11"/>
      <c r="T1079" s="11"/>
      <c r="U1079" s="11"/>
      <c r="V1079" t="s" s="10">
        <v>78</v>
      </c>
      <c r="W1079" t="s" s="10">
        <v>4256</v>
      </c>
      <c r="X1079" t="s" s="10">
        <v>78</v>
      </c>
      <c r="Y1079" s="11"/>
      <c r="Z1079" t="s" s="10">
        <v>76</v>
      </c>
      <c r="AA1079" s="11"/>
      <c r="AB1079" t="s" s="10">
        <v>76</v>
      </c>
      <c r="AC1079" s="11"/>
      <c r="AD1079" s="11"/>
      <c r="AE1079" s="11"/>
      <c r="AF1079" s="11"/>
      <c r="AG1079" s="11"/>
      <c r="AH1079" s="11"/>
      <c r="AI1079" t="s" s="10">
        <v>76</v>
      </c>
      <c r="AJ1079" t="s" s="10">
        <v>76</v>
      </c>
      <c r="AK1079" t="s" s="10">
        <v>79</v>
      </c>
      <c r="AL1079" t="s" s="10">
        <v>293</v>
      </c>
      <c r="AM1079" t="s" s="10">
        <v>294</v>
      </c>
      <c r="AN1079" s="11"/>
      <c r="AO1079" s="18">
        <v>4</v>
      </c>
      <c r="AP1079" s="18">
        <v>20480</v>
      </c>
      <c r="AQ1079" s="18">
        <v>276583</v>
      </c>
      <c r="AR1079" s="18">
        <v>128123</v>
      </c>
      <c r="AS1079" t="s" s="10">
        <v>4257</v>
      </c>
      <c r="AT1079" s="11"/>
      <c r="AU1079" s="11"/>
      <c r="AV1079" s="11"/>
      <c r="AW1079" s="11"/>
      <c r="AX1079" s="11"/>
      <c r="AY1079" s="11"/>
      <c r="AZ1079" s="11"/>
      <c r="BA1079" s="11"/>
      <c r="BB1079" s="11"/>
      <c r="BC1079" s="11"/>
      <c r="BD1079" s="11"/>
      <c r="BE1079" s="11"/>
      <c r="BF1079" s="11"/>
      <c r="BG1079" s="11"/>
      <c r="BH1079" s="11"/>
      <c r="BI1079" s="11"/>
      <c r="BJ1079" s="11"/>
      <c r="BK1079" s="11"/>
      <c r="BL1079" s="11"/>
      <c r="BM1079" s="11"/>
      <c r="BN1079" s="11"/>
      <c r="BO1079" s="12"/>
      <c r="BP1079" s="8"/>
    </row>
    <row r="1080" ht="9" customHeight="1" hidden="1">
      <c r="A1080" t="s" s="13">
        <v>4258</v>
      </c>
      <c r="B1080" s="14"/>
      <c r="C1080" t="str" s="14" cm="1">
        <f t="array" ref="C1080">_xlfn.IFERROR((VLOOKUP(A1080,#REF!,2,FALSE)),"")</f>
      </c>
      <c r="D1080" t="s" s="15">
        <v>70</v>
      </c>
      <c r="E1080" t="s" s="15">
        <v>71</v>
      </c>
      <c r="F1080" s="14"/>
      <c r="G1080" s="14"/>
      <c r="H1080" s="14"/>
      <c r="I1080" t="s" s="15">
        <v>73</v>
      </c>
      <c r="J1080" t="s" s="15">
        <v>74</v>
      </c>
      <c r="K1080" t="s" s="15">
        <v>113</v>
      </c>
      <c r="L1080" t="s" s="15">
        <v>76</v>
      </c>
      <c r="M1080" t="s" s="15">
        <v>4259</v>
      </c>
      <c r="N1080" s="14"/>
      <c r="O1080" t="s" s="15">
        <v>71</v>
      </c>
      <c r="P1080" t="s" s="15">
        <v>322</v>
      </c>
      <c r="Q1080" t="s" s="15">
        <v>78</v>
      </c>
      <c r="R1080" t="s" s="15">
        <v>71</v>
      </c>
      <c r="S1080" s="14"/>
      <c r="T1080" s="14"/>
      <c r="U1080" s="14"/>
      <c r="V1080" t="s" s="15">
        <v>78</v>
      </c>
      <c r="W1080" t="s" s="15">
        <v>4260</v>
      </c>
      <c r="X1080" t="s" s="15">
        <v>78</v>
      </c>
      <c r="Y1080" s="14"/>
      <c r="Z1080" t="s" s="15">
        <v>76</v>
      </c>
      <c r="AA1080" s="14"/>
      <c r="AB1080" t="s" s="15">
        <v>76</v>
      </c>
      <c r="AC1080" s="14"/>
      <c r="AD1080" s="14"/>
      <c r="AE1080" s="14"/>
      <c r="AF1080" s="14"/>
      <c r="AG1080" s="14"/>
      <c r="AH1080" s="14"/>
      <c r="AI1080" t="s" s="15">
        <v>76</v>
      </c>
      <c r="AJ1080" t="s" s="15">
        <v>76</v>
      </c>
      <c r="AK1080" t="s" s="15">
        <v>79</v>
      </c>
      <c r="AL1080" t="s" s="15">
        <v>293</v>
      </c>
      <c r="AM1080" t="s" s="15">
        <v>294</v>
      </c>
      <c r="AN1080" s="14"/>
      <c r="AO1080" s="17">
        <v>4</v>
      </c>
      <c r="AP1080" s="17">
        <v>16384</v>
      </c>
      <c r="AQ1080" s="17">
        <v>174262</v>
      </c>
      <c r="AR1080" s="17">
        <v>89253</v>
      </c>
      <c r="AS1080" t="s" s="15">
        <v>4261</v>
      </c>
      <c r="AT1080" s="14"/>
      <c r="AU1080" s="14"/>
      <c r="AV1080" s="14"/>
      <c r="AW1080" s="14"/>
      <c r="AX1080" s="14"/>
      <c r="AY1080" s="14"/>
      <c r="AZ1080" s="14"/>
      <c r="BA1080" s="14"/>
      <c r="BB1080" s="14"/>
      <c r="BC1080" s="14"/>
      <c r="BD1080" s="14"/>
      <c r="BE1080" s="14"/>
      <c r="BF1080" s="14"/>
      <c r="BG1080" s="14"/>
      <c r="BH1080" s="14"/>
      <c r="BI1080" s="14"/>
      <c r="BJ1080" s="14"/>
      <c r="BK1080" s="14"/>
      <c r="BL1080" s="14"/>
      <c r="BM1080" s="14"/>
      <c r="BN1080" s="14"/>
      <c r="BO1080" s="16"/>
      <c r="BP1080" s="8"/>
    </row>
    <row r="1081" ht="9" customHeight="1" hidden="1">
      <c r="A1081" t="s" s="9">
        <v>4262</v>
      </c>
      <c r="B1081" s="11"/>
      <c r="C1081" t="str" s="11" cm="1">
        <f t="array" ref="C1081">_xlfn.IFERROR((VLOOKUP(A1081,#REF!,2,FALSE)),"")</f>
      </c>
      <c r="D1081" t="s" s="10">
        <v>70</v>
      </c>
      <c r="E1081" t="s" s="10">
        <v>71</v>
      </c>
      <c r="F1081" s="11"/>
      <c r="G1081" s="11"/>
      <c r="H1081" s="11"/>
      <c r="I1081" t="s" s="10">
        <v>73</v>
      </c>
      <c r="J1081" t="s" s="10">
        <v>74</v>
      </c>
      <c r="K1081" t="s" s="10">
        <v>113</v>
      </c>
      <c r="L1081" t="s" s="10">
        <v>76</v>
      </c>
      <c r="M1081" t="s" s="10">
        <v>4263</v>
      </c>
      <c r="N1081" s="11"/>
      <c r="O1081" t="s" s="10">
        <v>71</v>
      </c>
      <c r="P1081" t="s" s="10">
        <v>322</v>
      </c>
      <c r="Q1081" t="s" s="10">
        <v>78</v>
      </c>
      <c r="R1081" t="s" s="10">
        <v>71</v>
      </c>
      <c r="S1081" s="11"/>
      <c r="T1081" s="11"/>
      <c r="U1081" s="11"/>
      <c r="V1081" t="s" s="10">
        <v>78</v>
      </c>
      <c r="W1081" t="s" s="10">
        <v>4264</v>
      </c>
      <c r="X1081" t="s" s="10">
        <v>78</v>
      </c>
      <c r="Y1081" s="11"/>
      <c r="Z1081" t="s" s="10">
        <v>76</v>
      </c>
      <c r="AA1081" s="11"/>
      <c r="AB1081" t="s" s="10">
        <v>76</v>
      </c>
      <c r="AC1081" s="11"/>
      <c r="AD1081" s="11"/>
      <c r="AE1081" s="11"/>
      <c r="AF1081" s="11"/>
      <c r="AG1081" s="11"/>
      <c r="AH1081" s="11"/>
      <c r="AI1081" t="s" s="10">
        <v>76</v>
      </c>
      <c r="AJ1081" t="s" s="10">
        <v>76</v>
      </c>
      <c r="AK1081" t="s" s="10">
        <v>79</v>
      </c>
      <c r="AL1081" t="s" s="10">
        <v>293</v>
      </c>
      <c r="AM1081" t="s" s="10">
        <v>294</v>
      </c>
      <c r="AN1081" s="11"/>
      <c r="AO1081" s="18">
        <v>4</v>
      </c>
      <c r="AP1081" s="18">
        <v>16384</v>
      </c>
      <c r="AQ1081" s="18">
        <v>170180</v>
      </c>
      <c r="AR1081" s="18">
        <v>88309</v>
      </c>
      <c r="AS1081" t="s" s="10">
        <v>4265</v>
      </c>
      <c r="AT1081" s="11"/>
      <c r="AU1081" s="11"/>
      <c r="AV1081" s="11"/>
      <c r="AW1081" s="11"/>
      <c r="AX1081" s="11"/>
      <c r="AY1081" s="11"/>
      <c r="AZ1081" s="11"/>
      <c r="BA1081" s="11"/>
      <c r="BB1081" s="11"/>
      <c r="BC1081" s="11"/>
      <c r="BD1081" s="11"/>
      <c r="BE1081" s="11"/>
      <c r="BF1081" s="11"/>
      <c r="BG1081" s="11"/>
      <c r="BH1081" s="11"/>
      <c r="BI1081" s="11"/>
      <c r="BJ1081" s="11"/>
      <c r="BK1081" s="11"/>
      <c r="BL1081" s="11"/>
      <c r="BM1081" s="11"/>
      <c r="BN1081" s="11"/>
      <c r="BO1081" s="12"/>
      <c r="BP1081" s="8"/>
    </row>
    <row r="1082" ht="9" customHeight="1" hidden="1">
      <c r="A1082" t="s" s="13">
        <v>4266</v>
      </c>
      <c r="B1082" s="14"/>
      <c r="C1082" t="str" s="14" cm="1">
        <f t="array" ref="C1082">_xlfn.IFERROR((VLOOKUP(A1082,#REF!,2,FALSE)),"")</f>
      </c>
      <c r="D1082" t="s" s="15">
        <v>70</v>
      </c>
      <c r="E1082" t="s" s="15">
        <v>71</v>
      </c>
      <c r="F1082" s="14"/>
      <c r="G1082" s="14"/>
      <c r="H1082" s="14"/>
      <c r="I1082" t="s" s="15">
        <v>73</v>
      </c>
      <c r="J1082" t="s" s="15">
        <v>74</v>
      </c>
      <c r="K1082" t="s" s="15">
        <v>113</v>
      </c>
      <c r="L1082" t="s" s="15">
        <v>76</v>
      </c>
      <c r="M1082" t="s" s="15">
        <v>4267</v>
      </c>
      <c r="N1082" s="14"/>
      <c r="O1082" t="s" s="15">
        <v>71</v>
      </c>
      <c r="P1082" t="s" s="15">
        <v>322</v>
      </c>
      <c r="Q1082" t="s" s="15">
        <v>78</v>
      </c>
      <c r="R1082" t="s" s="15">
        <v>71</v>
      </c>
      <c r="S1082" s="14"/>
      <c r="T1082" s="14"/>
      <c r="U1082" s="14"/>
      <c r="V1082" t="s" s="15">
        <v>78</v>
      </c>
      <c r="W1082" t="s" s="15">
        <v>4268</v>
      </c>
      <c r="X1082" t="s" s="15">
        <v>78</v>
      </c>
      <c r="Y1082" s="14"/>
      <c r="Z1082" t="s" s="15">
        <v>76</v>
      </c>
      <c r="AA1082" s="14"/>
      <c r="AB1082" t="s" s="15">
        <v>76</v>
      </c>
      <c r="AC1082" s="14"/>
      <c r="AD1082" s="14"/>
      <c r="AE1082" s="14"/>
      <c r="AF1082" s="14"/>
      <c r="AG1082" s="14"/>
      <c r="AH1082" s="14"/>
      <c r="AI1082" t="s" s="15">
        <v>76</v>
      </c>
      <c r="AJ1082" t="s" s="15">
        <v>76</v>
      </c>
      <c r="AK1082" t="s" s="15">
        <v>79</v>
      </c>
      <c r="AL1082" t="s" s="15">
        <v>293</v>
      </c>
      <c r="AM1082" t="s" s="15">
        <v>294</v>
      </c>
      <c r="AN1082" s="14"/>
      <c r="AO1082" s="17">
        <v>4</v>
      </c>
      <c r="AP1082" s="17">
        <v>16384</v>
      </c>
      <c r="AQ1082" s="17">
        <v>170180</v>
      </c>
      <c r="AR1082" s="17">
        <v>85758</v>
      </c>
      <c r="AS1082" t="s" s="15">
        <v>4269</v>
      </c>
      <c r="AT1082" s="14"/>
      <c r="AU1082" s="14"/>
      <c r="AV1082" s="14"/>
      <c r="AW1082" s="14"/>
      <c r="AX1082" s="14"/>
      <c r="AY1082" s="14"/>
      <c r="AZ1082" s="14"/>
      <c r="BA1082" s="14"/>
      <c r="BB1082" s="14"/>
      <c r="BC1082" s="14"/>
      <c r="BD1082" s="14"/>
      <c r="BE1082" s="14"/>
      <c r="BF1082" s="14"/>
      <c r="BG1082" s="14"/>
      <c r="BH1082" s="14"/>
      <c r="BI1082" s="14"/>
      <c r="BJ1082" s="14"/>
      <c r="BK1082" s="14"/>
      <c r="BL1082" s="14"/>
      <c r="BM1082" s="14"/>
      <c r="BN1082" s="14"/>
      <c r="BO1082" s="16"/>
      <c r="BP1082" s="8"/>
    </row>
    <row r="1083" ht="9" customHeight="1" hidden="1">
      <c r="A1083" t="s" s="9">
        <v>4270</v>
      </c>
      <c r="B1083" s="11"/>
      <c r="C1083" t="str" s="11" cm="1">
        <f t="array" ref="C1083">_xlfn.IFERROR((VLOOKUP(A1083,#REF!,2,FALSE)),"")</f>
      </c>
      <c r="D1083" t="s" s="10">
        <v>70</v>
      </c>
      <c r="E1083" t="s" s="10">
        <v>71</v>
      </c>
      <c r="F1083" s="11"/>
      <c r="G1083" s="11"/>
      <c r="H1083" s="11"/>
      <c r="I1083" t="s" s="10">
        <v>73</v>
      </c>
      <c r="J1083" t="s" s="10">
        <v>74</v>
      </c>
      <c r="K1083" t="s" s="10">
        <v>113</v>
      </c>
      <c r="L1083" t="s" s="10">
        <v>76</v>
      </c>
      <c r="M1083" t="s" s="10">
        <v>4271</v>
      </c>
      <c r="N1083" s="11"/>
      <c r="O1083" t="s" s="10">
        <v>71</v>
      </c>
      <c r="P1083" t="s" s="10">
        <v>322</v>
      </c>
      <c r="Q1083" t="s" s="10">
        <v>78</v>
      </c>
      <c r="R1083" t="s" s="10">
        <v>71</v>
      </c>
      <c r="S1083" s="11"/>
      <c r="T1083" s="11"/>
      <c r="U1083" s="11"/>
      <c r="V1083" t="s" s="10">
        <v>78</v>
      </c>
      <c r="W1083" t="s" s="10">
        <v>4272</v>
      </c>
      <c r="X1083" t="s" s="10">
        <v>78</v>
      </c>
      <c r="Y1083" s="11"/>
      <c r="Z1083" t="s" s="10">
        <v>76</v>
      </c>
      <c r="AA1083" s="11"/>
      <c r="AB1083" t="s" s="10">
        <v>76</v>
      </c>
      <c r="AC1083" s="11"/>
      <c r="AD1083" s="11"/>
      <c r="AE1083" s="11"/>
      <c r="AF1083" s="11"/>
      <c r="AG1083" s="11"/>
      <c r="AH1083" s="11"/>
      <c r="AI1083" t="s" s="10">
        <v>76</v>
      </c>
      <c r="AJ1083" t="s" s="10">
        <v>76</v>
      </c>
      <c r="AK1083" t="s" s="10">
        <v>79</v>
      </c>
      <c r="AL1083" t="s" s="10">
        <v>293</v>
      </c>
      <c r="AM1083" t="s" s="10">
        <v>294</v>
      </c>
      <c r="AN1083" s="11"/>
      <c r="AO1083" s="18">
        <v>4</v>
      </c>
      <c r="AP1083" s="18">
        <v>16384</v>
      </c>
      <c r="AQ1083" s="18">
        <v>174311</v>
      </c>
      <c r="AR1083" s="18">
        <v>93190</v>
      </c>
      <c r="AS1083" t="s" s="10">
        <v>4273</v>
      </c>
      <c r="AT1083" s="11"/>
      <c r="AU1083" s="11"/>
      <c r="AV1083" s="11"/>
      <c r="AW1083" s="11"/>
      <c r="AX1083" s="11"/>
      <c r="AY1083" s="11"/>
      <c r="AZ1083" s="11"/>
      <c r="BA1083" s="11"/>
      <c r="BB1083" s="11"/>
      <c r="BC1083" s="11"/>
      <c r="BD1083" s="11"/>
      <c r="BE1083" s="11"/>
      <c r="BF1083" s="11"/>
      <c r="BG1083" s="11"/>
      <c r="BH1083" s="11"/>
      <c r="BI1083" s="11"/>
      <c r="BJ1083" s="11"/>
      <c r="BK1083" s="11"/>
      <c r="BL1083" s="11"/>
      <c r="BM1083" s="11"/>
      <c r="BN1083" s="11"/>
      <c r="BO1083" s="12"/>
      <c r="BP1083" s="8"/>
    </row>
    <row r="1084" ht="9" customHeight="1" hidden="1">
      <c r="A1084" t="s" s="13">
        <v>4274</v>
      </c>
      <c r="B1084" s="14"/>
      <c r="C1084" t="str" s="14" cm="1">
        <f t="array" ref="C1084">_xlfn.IFERROR((VLOOKUP(A1084,#REF!,2,FALSE)),"")</f>
      </c>
      <c r="D1084" t="s" s="15">
        <v>70</v>
      </c>
      <c r="E1084" t="s" s="15">
        <v>71</v>
      </c>
      <c r="F1084" s="14"/>
      <c r="G1084" s="14"/>
      <c r="H1084" s="14"/>
      <c r="I1084" t="s" s="15">
        <v>73</v>
      </c>
      <c r="J1084" t="s" s="15">
        <v>74</v>
      </c>
      <c r="K1084" t="s" s="15">
        <v>113</v>
      </c>
      <c r="L1084" t="s" s="15">
        <v>76</v>
      </c>
      <c r="M1084" t="s" s="15">
        <v>4275</v>
      </c>
      <c r="N1084" s="14"/>
      <c r="O1084" t="s" s="15">
        <v>71</v>
      </c>
      <c r="P1084" t="s" s="15">
        <v>322</v>
      </c>
      <c r="Q1084" t="s" s="15">
        <v>78</v>
      </c>
      <c r="R1084" t="s" s="15">
        <v>71</v>
      </c>
      <c r="S1084" s="14"/>
      <c r="T1084" s="14"/>
      <c r="U1084" s="14"/>
      <c r="V1084" t="s" s="15">
        <v>78</v>
      </c>
      <c r="W1084" t="s" s="15">
        <v>4276</v>
      </c>
      <c r="X1084" t="s" s="15">
        <v>78</v>
      </c>
      <c r="Y1084" s="14"/>
      <c r="Z1084" t="s" s="15">
        <v>76</v>
      </c>
      <c r="AA1084" s="14"/>
      <c r="AB1084" t="s" s="15">
        <v>76</v>
      </c>
      <c r="AC1084" s="14"/>
      <c r="AD1084" s="14"/>
      <c r="AE1084" s="14"/>
      <c r="AF1084" s="14"/>
      <c r="AG1084" s="14"/>
      <c r="AH1084" s="14"/>
      <c r="AI1084" t="s" s="15">
        <v>76</v>
      </c>
      <c r="AJ1084" t="s" s="15">
        <v>76</v>
      </c>
      <c r="AK1084" t="s" s="15">
        <v>79</v>
      </c>
      <c r="AL1084" t="s" s="15">
        <v>293</v>
      </c>
      <c r="AM1084" t="s" s="15">
        <v>294</v>
      </c>
      <c r="AN1084" s="14"/>
      <c r="AO1084" s="17">
        <v>4</v>
      </c>
      <c r="AP1084" s="17">
        <v>16384</v>
      </c>
      <c r="AQ1084" s="17">
        <v>170235</v>
      </c>
      <c r="AR1084" s="17">
        <v>110399</v>
      </c>
      <c r="AS1084" t="s" s="15">
        <v>4277</v>
      </c>
      <c r="AT1084" s="14"/>
      <c r="AU1084" s="14"/>
      <c r="AV1084" s="14"/>
      <c r="AW1084" s="14"/>
      <c r="AX1084" s="14"/>
      <c r="AY1084" s="14"/>
      <c r="AZ1084" s="14"/>
      <c r="BA1084" s="14"/>
      <c r="BB1084" s="14"/>
      <c r="BC1084" s="14"/>
      <c r="BD1084" s="14"/>
      <c r="BE1084" s="14"/>
      <c r="BF1084" s="14"/>
      <c r="BG1084" s="14"/>
      <c r="BH1084" s="14"/>
      <c r="BI1084" s="14"/>
      <c r="BJ1084" s="14"/>
      <c r="BK1084" s="14"/>
      <c r="BL1084" s="14"/>
      <c r="BM1084" s="14"/>
      <c r="BN1084" s="14"/>
      <c r="BO1084" s="16"/>
      <c r="BP1084" s="8"/>
    </row>
    <row r="1085" ht="9" customHeight="1" hidden="1">
      <c r="A1085" t="s" s="9">
        <v>4278</v>
      </c>
      <c r="B1085" s="11"/>
      <c r="C1085" t="str" s="11" cm="1">
        <f t="array" ref="C1085">_xlfn.IFERROR((VLOOKUP(A1085,#REF!,2,FALSE)),"")</f>
      </c>
      <c r="D1085" t="s" s="10">
        <v>70</v>
      </c>
      <c r="E1085" t="s" s="10">
        <v>71</v>
      </c>
      <c r="F1085" s="11"/>
      <c r="G1085" s="11"/>
      <c r="H1085" s="11"/>
      <c r="I1085" t="s" s="10">
        <v>73</v>
      </c>
      <c r="J1085" t="s" s="10">
        <v>74</v>
      </c>
      <c r="K1085" t="s" s="10">
        <v>113</v>
      </c>
      <c r="L1085" t="s" s="10">
        <v>76</v>
      </c>
      <c r="M1085" t="s" s="10">
        <v>4279</v>
      </c>
      <c r="N1085" s="11"/>
      <c r="O1085" t="s" s="10">
        <v>71</v>
      </c>
      <c r="P1085" t="s" s="10">
        <v>322</v>
      </c>
      <c r="Q1085" t="s" s="10">
        <v>78</v>
      </c>
      <c r="R1085" t="s" s="10">
        <v>71</v>
      </c>
      <c r="S1085" s="11"/>
      <c r="T1085" s="11"/>
      <c r="U1085" s="11"/>
      <c r="V1085" t="s" s="10">
        <v>78</v>
      </c>
      <c r="W1085" t="s" s="10">
        <v>4280</v>
      </c>
      <c r="X1085" t="s" s="10">
        <v>78</v>
      </c>
      <c r="Y1085" s="11"/>
      <c r="Z1085" t="s" s="10">
        <v>76</v>
      </c>
      <c r="AA1085" s="11"/>
      <c r="AB1085" t="s" s="10">
        <v>76</v>
      </c>
      <c r="AC1085" s="11"/>
      <c r="AD1085" s="11"/>
      <c r="AE1085" s="11"/>
      <c r="AF1085" s="11"/>
      <c r="AG1085" s="11"/>
      <c r="AH1085" s="11"/>
      <c r="AI1085" t="s" s="10">
        <v>76</v>
      </c>
      <c r="AJ1085" t="s" s="10">
        <v>76</v>
      </c>
      <c r="AK1085" t="s" s="10">
        <v>79</v>
      </c>
      <c r="AL1085" t="s" s="10">
        <v>293</v>
      </c>
      <c r="AM1085" t="s" s="10">
        <v>294</v>
      </c>
      <c r="AN1085" s="11"/>
      <c r="AO1085" s="18">
        <v>4</v>
      </c>
      <c r="AP1085" s="18">
        <v>16384</v>
      </c>
      <c r="AQ1085" s="18">
        <v>172263</v>
      </c>
      <c r="AR1085" s="18">
        <v>121501</v>
      </c>
      <c r="AS1085" t="s" s="10">
        <v>4281</v>
      </c>
      <c r="AT1085" s="11"/>
      <c r="AU1085" s="11"/>
      <c r="AV1085" s="11"/>
      <c r="AW1085" s="11"/>
      <c r="AX1085" s="11"/>
      <c r="AY1085" s="11"/>
      <c r="AZ1085" s="11"/>
      <c r="BA1085" s="11"/>
      <c r="BB1085" s="11"/>
      <c r="BC1085" s="11"/>
      <c r="BD1085" s="11"/>
      <c r="BE1085" s="11"/>
      <c r="BF1085" s="11"/>
      <c r="BG1085" s="11"/>
      <c r="BH1085" s="11"/>
      <c r="BI1085" s="11"/>
      <c r="BJ1085" s="11"/>
      <c r="BK1085" s="11"/>
      <c r="BL1085" s="11"/>
      <c r="BM1085" s="11"/>
      <c r="BN1085" s="11"/>
      <c r="BO1085" s="12"/>
      <c r="BP1085" s="8"/>
    </row>
    <row r="1086" ht="9" customHeight="1" hidden="1">
      <c r="A1086" t="s" s="13">
        <v>4282</v>
      </c>
      <c r="B1086" s="14"/>
      <c r="C1086" t="str" s="14" cm="1">
        <f t="array" ref="C1086">_xlfn.IFERROR((VLOOKUP(A1086,#REF!,2,FALSE)),"")</f>
      </c>
      <c r="D1086" t="s" s="15">
        <v>70</v>
      </c>
      <c r="E1086" t="s" s="15">
        <v>71</v>
      </c>
      <c r="F1086" s="14"/>
      <c r="G1086" s="14"/>
      <c r="H1086" s="14"/>
      <c r="I1086" t="s" s="15">
        <v>73</v>
      </c>
      <c r="J1086" t="s" s="15">
        <v>74</v>
      </c>
      <c r="K1086" t="s" s="15">
        <v>113</v>
      </c>
      <c r="L1086" t="s" s="15">
        <v>76</v>
      </c>
      <c r="M1086" t="s" s="15">
        <v>4283</v>
      </c>
      <c r="N1086" s="14"/>
      <c r="O1086" t="s" s="15">
        <v>71</v>
      </c>
      <c r="P1086" t="s" s="15">
        <v>322</v>
      </c>
      <c r="Q1086" t="s" s="15">
        <v>78</v>
      </c>
      <c r="R1086" t="s" s="15">
        <v>71</v>
      </c>
      <c r="S1086" s="14"/>
      <c r="T1086" s="14"/>
      <c r="U1086" s="14"/>
      <c r="V1086" t="s" s="15">
        <v>78</v>
      </c>
      <c r="W1086" t="s" s="15">
        <v>4284</v>
      </c>
      <c r="X1086" t="s" s="15">
        <v>78</v>
      </c>
      <c r="Y1086" s="14"/>
      <c r="Z1086" t="s" s="15">
        <v>76</v>
      </c>
      <c r="AA1086" s="14"/>
      <c r="AB1086" t="s" s="15">
        <v>76</v>
      </c>
      <c r="AC1086" s="14"/>
      <c r="AD1086" s="14"/>
      <c r="AE1086" s="14"/>
      <c r="AF1086" s="14"/>
      <c r="AG1086" s="14"/>
      <c r="AH1086" s="14"/>
      <c r="AI1086" t="s" s="15">
        <v>76</v>
      </c>
      <c r="AJ1086" t="s" s="15">
        <v>76</v>
      </c>
      <c r="AK1086" t="s" s="15">
        <v>79</v>
      </c>
      <c r="AL1086" t="s" s="15">
        <v>293</v>
      </c>
      <c r="AM1086" t="s" s="15">
        <v>294</v>
      </c>
      <c r="AN1086" s="14"/>
      <c r="AO1086" s="17">
        <v>4</v>
      </c>
      <c r="AP1086" s="17">
        <v>16384</v>
      </c>
      <c r="AQ1086" s="17">
        <v>170166</v>
      </c>
      <c r="AR1086" s="17">
        <v>123997</v>
      </c>
      <c r="AS1086" t="s" s="15">
        <v>4285</v>
      </c>
      <c r="AT1086" s="14"/>
      <c r="AU1086" s="14"/>
      <c r="AV1086" s="14"/>
      <c r="AW1086" s="14"/>
      <c r="AX1086" s="14"/>
      <c r="AY1086" s="14"/>
      <c r="AZ1086" s="14"/>
      <c r="BA1086" s="14"/>
      <c r="BB1086" s="14"/>
      <c r="BC1086" s="14"/>
      <c r="BD1086" s="14"/>
      <c r="BE1086" s="14"/>
      <c r="BF1086" s="14"/>
      <c r="BG1086" s="14"/>
      <c r="BH1086" s="14"/>
      <c r="BI1086" s="14"/>
      <c r="BJ1086" s="14"/>
      <c r="BK1086" s="14"/>
      <c r="BL1086" s="14"/>
      <c r="BM1086" s="14"/>
      <c r="BN1086" s="14"/>
      <c r="BO1086" s="16"/>
      <c r="BP1086" s="8"/>
    </row>
    <row r="1087" ht="9" customHeight="1" hidden="1">
      <c r="A1087" t="s" s="9">
        <v>4286</v>
      </c>
      <c r="B1087" s="11"/>
      <c r="C1087" t="str" s="11" cm="1">
        <f t="array" ref="C1087">_xlfn.IFERROR((VLOOKUP(A1087,#REF!,2,FALSE)),"")</f>
      </c>
      <c r="D1087" t="s" s="10">
        <v>70</v>
      </c>
      <c r="E1087" t="s" s="10">
        <v>71</v>
      </c>
      <c r="F1087" s="11"/>
      <c r="G1087" s="11"/>
      <c r="H1087" s="11"/>
      <c r="I1087" t="s" s="10">
        <v>73</v>
      </c>
      <c r="J1087" t="s" s="10">
        <v>74</v>
      </c>
      <c r="K1087" t="s" s="10">
        <v>113</v>
      </c>
      <c r="L1087" t="s" s="10">
        <v>76</v>
      </c>
      <c r="M1087" t="s" s="10">
        <v>4287</v>
      </c>
      <c r="N1087" s="11"/>
      <c r="O1087" t="s" s="10">
        <v>71</v>
      </c>
      <c r="P1087" t="s" s="10">
        <v>322</v>
      </c>
      <c r="Q1087" t="s" s="10">
        <v>78</v>
      </c>
      <c r="R1087" t="s" s="10">
        <v>71</v>
      </c>
      <c r="S1087" s="11"/>
      <c r="T1087" s="11"/>
      <c r="U1087" s="11"/>
      <c r="V1087" t="s" s="10">
        <v>78</v>
      </c>
      <c r="W1087" t="s" s="10">
        <v>4288</v>
      </c>
      <c r="X1087" t="s" s="10">
        <v>78</v>
      </c>
      <c r="Y1087" s="11"/>
      <c r="Z1087" t="s" s="10">
        <v>76</v>
      </c>
      <c r="AA1087" s="11"/>
      <c r="AB1087" t="s" s="10">
        <v>76</v>
      </c>
      <c r="AC1087" s="11"/>
      <c r="AD1087" s="11"/>
      <c r="AE1087" s="11"/>
      <c r="AF1087" s="11"/>
      <c r="AG1087" s="11"/>
      <c r="AH1087" s="11"/>
      <c r="AI1087" t="s" s="10">
        <v>76</v>
      </c>
      <c r="AJ1087" t="s" s="10">
        <v>76</v>
      </c>
      <c r="AK1087" t="s" s="10">
        <v>79</v>
      </c>
      <c r="AL1087" t="s" s="10">
        <v>293</v>
      </c>
      <c r="AM1087" t="s" s="10">
        <v>294</v>
      </c>
      <c r="AN1087" s="11"/>
      <c r="AO1087" s="18">
        <v>4</v>
      </c>
      <c r="AP1087" s="18">
        <v>16384</v>
      </c>
      <c r="AQ1087" s="18">
        <v>170181</v>
      </c>
      <c r="AR1087" s="18">
        <v>118172</v>
      </c>
      <c r="AS1087" t="s" s="10">
        <v>4289</v>
      </c>
      <c r="AT1087" s="11"/>
      <c r="AU1087" s="11"/>
      <c r="AV1087" s="11"/>
      <c r="AW1087" s="11"/>
      <c r="AX1087" s="11"/>
      <c r="AY1087" s="11"/>
      <c r="AZ1087" s="11"/>
      <c r="BA1087" s="11"/>
      <c r="BB1087" s="11"/>
      <c r="BC1087" s="11"/>
      <c r="BD1087" s="11"/>
      <c r="BE1087" s="11"/>
      <c r="BF1087" s="11"/>
      <c r="BG1087" s="11"/>
      <c r="BH1087" s="11"/>
      <c r="BI1087" s="11"/>
      <c r="BJ1087" s="11"/>
      <c r="BK1087" s="11"/>
      <c r="BL1087" s="11"/>
      <c r="BM1087" s="11"/>
      <c r="BN1087" s="11"/>
      <c r="BO1087" s="12"/>
      <c r="BP1087" s="8"/>
    </row>
    <row r="1088" ht="9" customHeight="1" hidden="1">
      <c r="A1088" t="s" s="13">
        <v>4290</v>
      </c>
      <c r="B1088" s="14"/>
      <c r="C1088" t="str" s="14" cm="1">
        <f t="array" ref="C1088">_xlfn.IFERROR((VLOOKUP(A1088,#REF!,2,FALSE)),"")</f>
      </c>
      <c r="D1088" t="s" s="15">
        <v>70</v>
      </c>
      <c r="E1088" t="s" s="15">
        <v>71</v>
      </c>
      <c r="F1088" s="14"/>
      <c r="G1088" s="14"/>
      <c r="H1088" s="14"/>
      <c r="I1088" t="s" s="15">
        <v>73</v>
      </c>
      <c r="J1088" t="s" s="15">
        <v>74</v>
      </c>
      <c r="K1088" t="s" s="15">
        <v>113</v>
      </c>
      <c r="L1088" t="s" s="15">
        <v>76</v>
      </c>
      <c r="M1088" t="s" s="15">
        <v>4291</v>
      </c>
      <c r="N1088" s="14"/>
      <c r="O1088" t="s" s="15">
        <v>71</v>
      </c>
      <c r="P1088" t="s" s="15">
        <v>469</v>
      </c>
      <c r="Q1088" t="s" s="15">
        <v>78</v>
      </c>
      <c r="R1088" t="s" s="15">
        <v>71</v>
      </c>
      <c r="S1088" s="14"/>
      <c r="T1088" s="14"/>
      <c r="U1088" s="14"/>
      <c r="V1088" t="s" s="15">
        <v>69</v>
      </c>
      <c r="W1088" t="s" s="15">
        <v>4290</v>
      </c>
      <c r="X1088" t="s" s="15">
        <v>78</v>
      </c>
      <c r="Y1088" s="14"/>
      <c r="Z1088" t="s" s="15">
        <v>76</v>
      </c>
      <c r="AA1088" s="14"/>
      <c r="AB1088" t="s" s="15">
        <v>76</v>
      </c>
      <c r="AC1088" s="14"/>
      <c r="AD1088" s="14"/>
      <c r="AE1088" s="14"/>
      <c r="AF1088" s="14"/>
      <c r="AG1088" s="14"/>
      <c r="AH1088" s="14"/>
      <c r="AI1088" t="s" s="15">
        <v>76</v>
      </c>
      <c r="AJ1088" t="s" s="15">
        <v>76</v>
      </c>
      <c r="AK1088" t="s" s="15">
        <v>79</v>
      </c>
      <c r="AL1088" t="s" s="15">
        <v>293</v>
      </c>
      <c r="AM1088" t="s" s="15">
        <v>294</v>
      </c>
      <c r="AN1088" t="s" s="15">
        <v>3580</v>
      </c>
      <c r="AO1088" s="17">
        <v>4</v>
      </c>
      <c r="AP1088" s="17">
        <v>8192</v>
      </c>
      <c r="AQ1088" s="17">
        <v>161894</v>
      </c>
      <c r="AR1088" s="17">
        <v>161894</v>
      </c>
      <c r="AS1088" t="s" s="15">
        <v>4292</v>
      </c>
      <c r="AT1088" s="14"/>
      <c r="AU1088" s="14"/>
      <c r="AV1088" s="14"/>
      <c r="AW1088" s="14"/>
      <c r="AX1088" s="14"/>
      <c r="AY1088" s="14"/>
      <c r="AZ1088" s="14"/>
      <c r="BA1088" s="14"/>
      <c r="BB1088" s="14"/>
      <c r="BC1088" s="14"/>
      <c r="BD1088" s="14"/>
      <c r="BE1088" s="14"/>
      <c r="BF1088" s="14"/>
      <c r="BG1088" s="14"/>
      <c r="BH1088" s="14"/>
      <c r="BI1088" s="14"/>
      <c r="BJ1088" s="14"/>
      <c r="BK1088" s="14"/>
      <c r="BL1088" s="14"/>
      <c r="BM1088" s="14"/>
      <c r="BN1088" s="14"/>
      <c r="BO1088" s="16"/>
      <c r="BP1088" s="8"/>
    </row>
    <row r="1089" ht="9" customHeight="1" hidden="1">
      <c r="A1089" t="s" s="9">
        <v>4293</v>
      </c>
      <c r="B1089" s="11"/>
      <c r="C1089" t="str" s="11" cm="1">
        <f t="array" ref="C1089">_xlfn.IFERROR((VLOOKUP(A1089,#REF!,2,FALSE)),"")</f>
      </c>
      <c r="D1089" t="s" s="10">
        <v>70</v>
      </c>
      <c r="E1089" t="s" s="10">
        <v>71</v>
      </c>
      <c r="F1089" s="11"/>
      <c r="G1089" s="11"/>
      <c r="H1089" s="11"/>
      <c r="I1089" t="s" s="10">
        <v>73</v>
      </c>
      <c r="J1089" t="s" s="10">
        <v>74</v>
      </c>
      <c r="K1089" t="s" s="10">
        <v>113</v>
      </c>
      <c r="L1089" t="s" s="10">
        <v>76</v>
      </c>
      <c r="M1089" t="s" s="10">
        <v>4294</v>
      </c>
      <c r="N1089" s="11"/>
      <c r="O1089" t="s" s="10">
        <v>71</v>
      </c>
      <c r="P1089" t="s" s="10">
        <v>469</v>
      </c>
      <c r="Q1089" t="s" s="10">
        <v>78</v>
      </c>
      <c r="R1089" t="s" s="10">
        <v>71</v>
      </c>
      <c r="S1089" s="11"/>
      <c r="T1089" s="11"/>
      <c r="U1089" s="11"/>
      <c r="V1089" t="s" s="10">
        <v>78</v>
      </c>
      <c r="W1089" t="s" s="10">
        <v>4295</v>
      </c>
      <c r="X1089" t="s" s="10">
        <v>78</v>
      </c>
      <c r="Y1089" s="11"/>
      <c r="Z1089" t="s" s="10">
        <v>76</v>
      </c>
      <c r="AA1089" s="11"/>
      <c r="AB1089" t="s" s="10">
        <v>76</v>
      </c>
      <c r="AC1089" s="11"/>
      <c r="AD1089" s="11"/>
      <c r="AE1089" s="11"/>
      <c r="AF1089" s="11"/>
      <c r="AG1089" s="11"/>
      <c r="AH1089" s="11"/>
      <c r="AI1089" t="s" s="10">
        <v>76</v>
      </c>
      <c r="AJ1089" t="s" s="10">
        <v>76</v>
      </c>
      <c r="AK1089" t="s" s="10">
        <v>79</v>
      </c>
      <c r="AL1089" t="s" s="10">
        <v>293</v>
      </c>
      <c r="AM1089" t="s" s="10">
        <v>294</v>
      </c>
      <c r="AN1089" s="11"/>
      <c r="AO1089" s="18">
        <v>4</v>
      </c>
      <c r="AP1089" s="18">
        <v>20480</v>
      </c>
      <c r="AQ1089" s="18">
        <v>174328</v>
      </c>
      <c r="AR1089" s="18">
        <v>174156</v>
      </c>
      <c r="AS1089" t="s" s="10">
        <v>4241</v>
      </c>
      <c r="AT1089" s="11"/>
      <c r="AU1089" s="11"/>
      <c r="AV1089" s="11"/>
      <c r="AW1089" s="11"/>
      <c r="AX1089" s="11"/>
      <c r="AY1089" s="11"/>
      <c r="AZ1089" s="11"/>
      <c r="BA1089" s="11"/>
      <c r="BB1089" s="11"/>
      <c r="BC1089" s="11"/>
      <c r="BD1089" s="11"/>
      <c r="BE1089" s="11"/>
      <c r="BF1089" s="11"/>
      <c r="BG1089" s="11"/>
      <c r="BH1089" s="11"/>
      <c r="BI1089" s="11"/>
      <c r="BJ1089" s="11"/>
      <c r="BK1089" s="11"/>
      <c r="BL1089" s="11"/>
      <c r="BM1089" s="11"/>
      <c r="BN1089" s="11"/>
      <c r="BO1089" s="12"/>
      <c r="BP1089" s="8"/>
    </row>
    <row r="1090" ht="9" customHeight="1" hidden="1">
      <c r="A1090" t="s" s="13">
        <v>4296</v>
      </c>
      <c r="B1090" s="14"/>
      <c r="C1090" t="str" s="14" cm="1">
        <f t="array" ref="C1090">_xlfn.IFERROR((VLOOKUP(A1090,#REF!,2,FALSE)),"")</f>
      </c>
      <c r="D1090" t="s" s="15">
        <v>70</v>
      </c>
      <c r="E1090" t="s" s="15">
        <v>71</v>
      </c>
      <c r="F1090" s="14"/>
      <c r="G1090" s="14"/>
      <c r="H1090" s="14"/>
      <c r="I1090" t="s" s="15">
        <v>73</v>
      </c>
      <c r="J1090" t="s" s="15">
        <v>74</v>
      </c>
      <c r="K1090" t="s" s="15">
        <v>113</v>
      </c>
      <c r="L1090" t="s" s="15">
        <v>76</v>
      </c>
      <c r="M1090" t="s" s="15">
        <v>4297</v>
      </c>
      <c r="N1090" s="14"/>
      <c r="O1090" t="s" s="15">
        <v>71</v>
      </c>
      <c r="P1090" t="s" s="15">
        <v>469</v>
      </c>
      <c r="Q1090" t="s" s="15">
        <v>78</v>
      </c>
      <c r="R1090" t="s" s="15">
        <v>71</v>
      </c>
      <c r="S1090" s="14"/>
      <c r="T1090" s="14"/>
      <c r="U1090" s="14"/>
      <c r="V1090" t="s" s="15">
        <v>78</v>
      </c>
      <c r="W1090" t="s" s="15">
        <v>4298</v>
      </c>
      <c r="X1090" t="s" s="15">
        <v>78</v>
      </c>
      <c r="Y1090" s="14"/>
      <c r="Z1090" t="s" s="15">
        <v>76</v>
      </c>
      <c r="AA1090" s="14"/>
      <c r="AB1090" t="s" s="15">
        <v>76</v>
      </c>
      <c r="AC1090" s="14"/>
      <c r="AD1090" s="14"/>
      <c r="AE1090" s="14"/>
      <c r="AF1090" s="14"/>
      <c r="AG1090" s="14"/>
      <c r="AH1090" s="14"/>
      <c r="AI1090" t="s" s="15">
        <v>76</v>
      </c>
      <c r="AJ1090" t="s" s="15">
        <v>76</v>
      </c>
      <c r="AK1090" t="s" s="15">
        <v>79</v>
      </c>
      <c r="AL1090" t="s" s="15">
        <v>293</v>
      </c>
      <c r="AM1090" t="s" s="15">
        <v>294</v>
      </c>
      <c r="AN1090" s="14"/>
      <c r="AO1090" s="17">
        <v>4</v>
      </c>
      <c r="AP1090" s="17">
        <v>20480</v>
      </c>
      <c r="AQ1090" s="17">
        <v>174311</v>
      </c>
      <c r="AR1090" s="17">
        <v>173154</v>
      </c>
      <c r="AS1090" t="s" s="15">
        <v>4245</v>
      </c>
      <c r="AT1090" s="14"/>
      <c r="AU1090" s="14"/>
      <c r="AV1090" s="14"/>
      <c r="AW1090" s="14"/>
      <c r="AX1090" s="14"/>
      <c r="AY1090" s="14"/>
      <c r="AZ1090" s="14"/>
      <c r="BA1090" s="14"/>
      <c r="BB1090" s="14"/>
      <c r="BC1090" s="14"/>
      <c r="BD1090" s="14"/>
      <c r="BE1090" s="14"/>
      <c r="BF1090" s="14"/>
      <c r="BG1090" s="14"/>
      <c r="BH1090" s="14"/>
      <c r="BI1090" s="14"/>
      <c r="BJ1090" s="14"/>
      <c r="BK1090" s="14"/>
      <c r="BL1090" s="14"/>
      <c r="BM1090" s="14"/>
      <c r="BN1090" s="14"/>
      <c r="BO1090" s="16"/>
      <c r="BP1090" s="8"/>
    </row>
    <row r="1091" ht="9" customHeight="1" hidden="1">
      <c r="A1091" t="s" s="9">
        <v>4299</v>
      </c>
      <c r="B1091" s="11"/>
      <c r="C1091" t="str" s="11" cm="1">
        <f t="array" ref="C1091">_xlfn.IFERROR((VLOOKUP(A1091,#REF!,2,FALSE)),"")</f>
      </c>
      <c r="D1091" t="s" s="10">
        <v>70</v>
      </c>
      <c r="E1091" t="s" s="10">
        <v>71</v>
      </c>
      <c r="F1091" s="11"/>
      <c r="G1091" s="11"/>
      <c r="H1091" s="11"/>
      <c r="I1091" t="s" s="10">
        <v>73</v>
      </c>
      <c r="J1091" t="s" s="10">
        <v>74</v>
      </c>
      <c r="K1091" t="s" s="10">
        <v>113</v>
      </c>
      <c r="L1091" t="s" s="10">
        <v>76</v>
      </c>
      <c r="M1091" t="s" s="10">
        <v>4300</v>
      </c>
      <c r="N1091" s="11"/>
      <c r="O1091" t="s" s="10">
        <v>71</v>
      </c>
      <c r="P1091" t="s" s="10">
        <v>469</v>
      </c>
      <c r="Q1091" t="s" s="10">
        <v>78</v>
      </c>
      <c r="R1091" t="s" s="10">
        <v>71</v>
      </c>
      <c r="S1091" s="11"/>
      <c r="T1091" s="11"/>
      <c r="U1091" s="11"/>
      <c r="V1091" t="s" s="10">
        <v>78</v>
      </c>
      <c r="W1091" t="s" s="10">
        <v>4301</v>
      </c>
      <c r="X1091" t="s" s="10">
        <v>78</v>
      </c>
      <c r="Y1091" s="11"/>
      <c r="Z1091" t="s" s="10">
        <v>76</v>
      </c>
      <c r="AA1091" s="11"/>
      <c r="AB1091" t="s" s="10">
        <v>76</v>
      </c>
      <c r="AC1091" s="11"/>
      <c r="AD1091" s="11"/>
      <c r="AE1091" s="11"/>
      <c r="AF1091" s="11"/>
      <c r="AG1091" s="11"/>
      <c r="AH1091" s="11"/>
      <c r="AI1091" t="s" s="10">
        <v>76</v>
      </c>
      <c r="AJ1091" t="s" s="10">
        <v>76</v>
      </c>
      <c r="AK1091" t="s" s="10">
        <v>79</v>
      </c>
      <c r="AL1091" t="s" s="10">
        <v>293</v>
      </c>
      <c r="AM1091" t="s" s="10">
        <v>294</v>
      </c>
      <c r="AN1091" s="11"/>
      <c r="AO1091" s="18">
        <v>4</v>
      </c>
      <c r="AP1091" s="18">
        <v>20480</v>
      </c>
      <c r="AQ1091" s="18">
        <v>174311</v>
      </c>
      <c r="AR1091" s="18">
        <v>174141</v>
      </c>
      <c r="AS1091" t="s" s="10">
        <v>4237</v>
      </c>
      <c r="AT1091" s="11"/>
      <c r="AU1091" s="11"/>
      <c r="AV1091" s="11"/>
      <c r="AW1091" s="11"/>
      <c r="AX1091" s="11"/>
      <c r="AY1091" s="11"/>
      <c r="AZ1091" s="11"/>
      <c r="BA1091" s="11"/>
      <c r="BB1091" s="11"/>
      <c r="BC1091" s="11"/>
      <c r="BD1091" s="11"/>
      <c r="BE1091" s="11"/>
      <c r="BF1091" s="11"/>
      <c r="BG1091" s="11"/>
      <c r="BH1091" s="11"/>
      <c r="BI1091" s="11"/>
      <c r="BJ1091" s="11"/>
      <c r="BK1091" s="11"/>
      <c r="BL1091" s="11"/>
      <c r="BM1091" s="11"/>
      <c r="BN1091" s="11"/>
      <c r="BO1091" s="12"/>
      <c r="BP1091" s="8"/>
    </row>
    <row r="1092" ht="9" customHeight="1" hidden="1">
      <c r="A1092" t="s" s="13">
        <v>4302</v>
      </c>
      <c r="B1092" s="14"/>
      <c r="C1092" t="str" s="14" cm="1">
        <f t="array" ref="C1092">_xlfn.IFERROR((VLOOKUP(A1092,#REF!,2,FALSE)),"")</f>
      </c>
      <c r="D1092" t="s" s="15">
        <v>70</v>
      </c>
      <c r="E1092" t="s" s="15">
        <v>71</v>
      </c>
      <c r="F1092" s="14"/>
      <c r="G1092" s="14"/>
      <c r="H1092" s="14"/>
      <c r="I1092" t="s" s="15">
        <v>73</v>
      </c>
      <c r="J1092" t="s" s="15">
        <v>74</v>
      </c>
      <c r="K1092" t="s" s="15">
        <v>113</v>
      </c>
      <c r="L1092" t="s" s="15">
        <v>76</v>
      </c>
      <c r="M1092" t="s" s="15">
        <v>4303</v>
      </c>
      <c r="N1092" s="14"/>
      <c r="O1092" t="s" s="15">
        <v>71</v>
      </c>
      <c r="P1092" t="s" s="15">
        <v>469</v>
      </c>
      <c r="Q1092" t="s" s="15">
        <v>78</v>
      </c>
      <c r="R1092" t="s" s="15">
        <v>71</v>
      </c>
      <c r="S1092" s="14"/>
      <c r="T1092" s="14"/>
      <c r="U1092" s="14"/>
      <c r="V1092" t="s" s="15">
        <v>78</v>
      </c>
      <c r="W1092" t="s" s="15">
        <v>4304</v>
      </c>
      <c r="X1092" t="s" s="15">
        <v>78</v>
      </c>
      <c r="Y1092" s="14"/>
      <c r="Z1092" t="s" s="15">
        <v>76</v>
      </c>
      <c r="AA1092" s="14"/>
      <c r="AB1092" t="s" s="15">
        <v>76</v>
      </c>
      <c r="AC1092" s="14"/>
      <c r="AD1092" s="14"/>
      <c r="AE1092" s="14"/>
      <c r="AF1092" s="14"/>
      <c r="AG1092" s="14"/>
      <c r="AH1092" s="14"/>
      <c r="AI1092" t="s" s="15">
        <v>76</v>
      </c>
      <c r="AJ1092" t="s" s="15">
        <v>76</v>
      </c>
      <c r="AK1092" t="s" s="15">
        <v>79</v>
      </c>
      <c r="AL1092" t="s" s="15">
        <v>293</v>
      </c>
      <c r="AM1092" t="s" s="15">
        <v>294</v>
      </c>
      <c r="AN1092" s="14"/>
      <c r="AO1092" s="17">
        <v>4</v>
      </c>
      <c r="AP1092" s="17">
        <v>20480</v>
      </c>
      <c r="AQ1092" s="17">
        <v>276733</v>
      </c>
      <c r="AR1092" s="17">
        <v>90218</v>
      </c>
      <c r="AS1092" t="s" s="15">
        <v>4257</v>
      </c>
      <c r="AT1092" s="14"/>
      <c r="AU1092" s="14"/>
      <c r="AV1092" s="14"/>
      <c r="AW1092" s="14"/>
      <c r="AX1092" s="14"/>
      <c r="AY1092" s="14"/>
      <c r="AZ1092" s="14"/>
      <c r="BA1092" s="14"/>
      <c r="BB1092" s="14"/>
      <c r="BC1092" s="14"/>
      <c r="BD1092" s="14"/>
      <c r="BE1092" s="14"/>
      <c r="BF1092" s="14"/>
      <c r="BG1092" s="14"/>
      <c r="BH1092" s="14"/>
      <c r="BI1092" s="14"/>
      <c r="BJ1092" s="14"/>
      <c r="BK1092" s="14"/>
      <c r="BL1092" s="14"/>
      <c r="BM1092" s="14"/>
      <c r="BN1092" s="14"/>
      <c r="BO1092" s="16"/>
      <c r="BP1092" s="8"/>
    </row>
    <row r="1093" ht="9" customHeight="1" hidden="1">
      <c r="A1093" t="s" s="9">
        <v>4305</v>
      </c>
      <c r="B1093" s="11"/>
      <c r="C1093" t="str" s="11" cm="1">
        <f t="array" ref="C1093">_xlfn.IFERROR((VLOOKUP(A1093,#REF!,2,FALSE)),"")</f>
      </c>
      <c r="D1093" t="s" s="10">
        <v>70</v>
      </c>
      <c r="E1093" t="s" s="10">
        <v>71</v>
      </c>
      <c r="F1093" s="11"/>
      <c r="G1093" s="11"/>
      <c r="H1093" s="11"/>
      <c r="I1093" t="s" s="10">
        <v>73</v>
      </c>
      <c r="J1093" t="s" s="10">
        <v>74</v>
      </c>
      <c r="K1093" t="s" s="10">
        <v>113</v>
      </c>
      <c r="L1093" t="s" s="10">
        <v>76</v>
      </c>
      <c r="M1093" t="s" s="10">
        <v>4306</v>
      </c>
      <c r="N1093" s="11"/>
      <c r="O1093" t="s" s="10">
        <v>71</v>
      </c>
      <c r="P1093" t="s" s="10">
        <v>469</v>
      </c>
      <c r="Q1093" t="s" s="10">
        <v>78</v>
      </c>
      <c r="R1093" t="s" s="10">
        <v>71</v>
      </c>
      <c r="S1093" s="11"/>
      <c r="T1093" s="11"/>
      <c r="U1093" s="11"/>
      <c r="V1093" t="s" s="10">
        <v>78</v>
      </c>
      <c r="W1093" t="s" s="10">
        <v>4307</v>
      </c>
      <c r="X1093" t="s" s="10">
        <v>78</v>
      </c>
      <c r="Y1093" s="11"/>
      <c r="Z1093" t="s" s="10">
        <v>76</v>
      </c>
      <c r="AA1093" s="11"/>
      <c r="AB1093" t="s" s="10">
        <v>76</v>
      </c>
      <c r="AC1093" s="11"/>
      <c r="AD1093" s="11"/>
      <c r="AE1093" s="11"/>
      <c r="AF1093" s="11"/>
      <c r="AG1093" s="11"/>
      <c r="AH1093" s="11"/>
      <c r="AI1093" t="s" s="10">
        <v>76</v>
      </c>
      <c r="AJ1093" t="s" s="10">
        <v>76</v>
      </c>
      <c r="AK1093" t="s" s="10">
        <v>79</v>
      </c>
      <c r="AL1093" t="s" s="10">
        <v>293</v>
      </c>
      <c r="AM1093" t="s" s="10">
        <v>294</v>
      </c>
      <c r="AN1093" s="11"/>
      <c r="AO1093" s="18">
        <v>4</v>
      </c>
      <c r="AP1093" s="18">
        <v>20480</v>
      </c>
      <c r="AQ1093" s="18">
        <v>606981</v>
      </c>
      <c r="AR1093" s="18">
        <v>449443</v>
      </c>
      <c r="AS1093" t="s" s="10">
        <v>4253</v>
      </c>
      <c r="AT1093" s="11"/>
      <c r="AU1093" s="11"/>
      <c r="AV1093" s="11"/>
      <c r="AW1093" s="11"/>
      <c r="AX1093" s="11"/>
      <c r="AY1093" s="11"/>
      <c r="AZ1093" s="11"/>
      <c r="BA1093" s="11"/>
      <c r="BB1093" s="11"/>
      <c r="BC1093" s="11"/>
      <c r="BD1093" s="11"/>
      <c r="BE1093" s="11"/>
      <c r="BF1093" s="11"/>
      <c r="BG1093" s="11"/>
      <c r="BH1093" s="11"/>
      <c r="BI1093" s="11"/>
      <c r="BJ1093" s="11"/>
      <c r="BK1093" s="11"/>
      <c r="BL1093" s="11"/>
      <c r="BM1093" s="11"/>
      <c r="BN1093" s="11"/>
      <c r="BO1093" s="12"/>
      <c r="BP1093" s="8"/>
    </row>
    <row r="1094" ht="9" customHeight="1" hidden="1">
      <c r="A1094" t="s" s="13">
        <v>4308</v>
      </c>
      <c r="B1094" s="14"/>
      <c r="C1094" t="str" s="14" cm="1">
        <f t="array" ref="C1094">_xlfn.IFERROR((VLOOKUP(A1094,#REF!,2,FALSE)),"")</f>
      </c>
      <c r="D1094" t="s" s="15">
        <v>70</v>
      </c>
      <c r="E1094" t="s" s="15">
        <v>71</v>
      </c>
      <c r="F1094" s="14"/>
      <c r="G1094" s="14"/>
      <c r="H1094" s="14"/>
      <c r="I1094" t="s" s="15">
        <v>73</v>
      </c>
      <c r="J1094" t="s" s="15">
        <v>74</v>
      </c>
      <c r="K1094" t="s" s="15">
        <v>113</v>
      </c>
      <c r="L1094" t="s" s="15">
        <v>76</v>
      </c>
      <c r="M1094" t="s" s="15">
        <v>4309</v>
      </c>
      <c r="N1094" s="14"/>
      <c r="O1094" t="s" s="15">
        <v>71</v>
      </c>
      <c r="P1094" t="s" s="15">
        <v>469</v>
      </c>
      <c r="Q1094" t="s" s="15">
        <v>78</v>
      </c>
      <c r="R1094" t="s" s="15">
        <v>71</v>
      </c>
      <c r="S1094" s="14"/>
      <c r="T1094" s="14"/>
      <c r="U1094" s="14"/>
      <c r="V1094" t="s" s="15">
        <v>78</v>
      </c>
      <c r="W1094" t="s" s="15">
        <v>4310</v>
      </c>
      <c r="X1094" t="s" s="15">
        <v>78</v>
      </c>
      <c r="Y1094" s="14"/>
      <c r="Z1094" t="s" s="15">
        <v>76</v>
      </c>
      <c r="AA1094" s="14"/>
      <c r="AB1094" t="s" s="15">
        <v>76</v>
      </c>
      <c r="AC1094" s="14"/>
      <c r="AD1094" s="14"/>
      <c r="AE1094" s="14"/>
      <c r="AF1094" s="14"/>
      <c r="AG1094" s="14"/>
      <c r="AH1094" s="14"/>
      <c r="AI1094" t="s" s="15">
        <v>76</v>
      </c>
      <c r="AJ1094" t="s" s="15">
        <v>76</v>
      </c>
      <c r="AK1094" t="s" s="15">
        <v>79</v>
      </c>
      <c r="AL1094" t="s" s="15">
        <v>293</v>
      </c>
      <c r="AM1094" t="s" s="15">
        <v>294</v>
      </c>
      <c r="AN1094" s="14"/>
      <c r="AO1094" s="17">
        <v>4</v>
      </c>
      <c r="AP1094" s="17">
        <v>20480</v>
      </c>
      <c r="AQ1094" s="17">
        <v>416307</v>
      </c>
      <c r="AR1094" s="17">
        <v>307474</v>
      </c>
      <c r="AS1094" t="s" s="15">
        <v>4249</v>
      </c>
      <c r="AT1094" s="14"/>
      <c r="AU1094" s="14"/>
      <c r="AV1094" s="14"/>
      <c r="AW1094" s="14"/>
      <c r="AX1094" s="14"/>
      <c r="AY1094" s="14"/>
      <c r="AZ1094" s="14"/>
      <c r="BA1094" s="14"/>
      <c r="BB1094" s="14"/>
      <c r="BC1094" s="14"/>
      <c r="BD1094" s="14"/>
      <c r="BE1094" s="14"/>
      <c r="BF1094" s="14"/>
      <c r="BG1094" s="14"/>
      <c r="BH1094" s="14"/>
      <c r="BI1094" s="14"/>
      <c r="BJ1094" s="14"/>
      <c r="BK1094" s="14"/>
      <c r="BL1094" s="14"/>
      <c r="BM1094" s="14"/>
      <c r="BN1094" s="14"/>
      <c r="BO1094" s="16"/>
      <c r="BP1094" s="8"/>
    </row>
    <row r="1095" ht="9" customHeight="1" hidden="1">
      <c r="A1095" t="s" s="9">
        <v>4311</v>
      </c>
      <c r="B1095" s="11"/>
      <c r="C1095" t="str" s="11" cm="1">
        <f t="array" ref="C1095">_xlfn.IFERROR((VLOOKUP(A1095,#REF!,2,FALSE)),"")</f>
      </c>
      <c r="D1095" t="s" s="10">
        <v>70</v>
      </c>
      <c r="E1095" t="s" s="10">
        <v>71</v>
      </c>
      <c r="F1095" s="11"/>
      <c r="G1095" s="11"/>
      <c r="H1095" s="11"/>
      <c r="I1095" t="s" s="10">
        <v>73</v>
      </c>
      <c r="J1095" t="s" s="10">
        <v>74</v>
      </c>
      <c r="K1095" t="s" s="10">
        <v>113</v>
      </c>
      <c r="L1095" t="s" s="10">
        <v>76</v>
      </c>
      <c r="M1095" t="s" s="10">
        <v>4312</v>
      </c>
      <c r="N1095" s="11"/>
      <c r="O1095" t="s" s="10">
        <v>71</v>
      </c>
      <c r="P1095" t="s" s="10">
        <v>469</v>
      </c>
      <c r="Q1095" t="s" s="10">
        <v>78</v>
      </c>
      <c r="R1095" t="s" s="10">
        <v>71</v>
      </c>
      <c r="S1095" s="11"/>
      <c r="T1095" s="11"/>
      <c r="U1095" s="11"/>
      <c r="V1095" t="s" s="10">
        <v>78</v>
      </c>
      <c r="W1095" t="s" s="10">
        <v>4313</v>
      </c>
      <c r="X1095" t="s" s="10">
        <v>78</v>
      </c>
      <c r="Y1095" s="11"/>
      <c r="Z1095" t="s" s="10">
        <v>76</v>
      </c>
      <c r="AA1095" s="11"/>
      <c r="AB1095" t="s" s="10">
        <v>76</v>
      </c>
      <c r="AC1095" s="11"/>
      <c r="AD1095" s="11"/>
      <c r="AE1095" s="11"/>
      <c r="AF1095" s="11"/>
      <c r="AG1095" s="11"/>
      <c r="AH1095" s="11"/>
      <c r="AI1095" t="s" s="10">
        <v>76</v>
      </c>
      <c r="AJ1095" t="s" s="10">
        <v>76</v>
      </c>
      <c r="AK1095" t="s" s="10">
        <v>79</v>
      </c>
      <c r="AL1095" t="s" s="10">
        <v>293</v>
      </c>
      <c r="AM1095" t="s" s="10">
        <v>294</v>
      </c>
      <c r="AN1095" s="11"/>
      <c r="AO1095" s="18">
        <v>4</v>
      </c>
      <c r="AP1095" s="18">
        <v>65536</v>
      </c>
      <c r="AQ1095" s="18">
        <v>219387</v>
      </c>
      <c r="AR1095" s="18">
        <v>124273</v>
      </c>
      <c r="AS1095" t="s" s="10">
        <v>4261</v>
      </c>
      <c r="AT1095" s="11"/>
      <c r="AU1095" s="11"/>
      <c r="AV1095" s="11"/>
      <c r="AW1095" s="11"/>
      <c r="AX1095" s="11"/>
      <c r="AY1095" s="11"/>
      <c r="AZ1095" s="11"/>
      <c r="BA1095" s="11"/>
      <c r="BB1095" s="11"/>
      <c r="BC1095" s="11"/>
      <c r="BD1095" s="11"/>
      <c r="BE1095" s="11"/>
      <c r="BF1095" s="11"/>
      <c r="BG1095" s="11"/>
      <c r="BH1095" s="11"/>
      <c r="BI1095" s="11"/>
      <c r="BJ1095" s="11"/>
      <c r="BK1095" s="11"/>
      <c r="BL1095" s="11"/>
      <c r="BM1095" s="11"/>
      <c r="BN1095" s="11"/>
      <c r="BO1095" s="12"/>
      <c r="BP1095" s="8"/>
    </row>
    <row r="1096" ht="9" customHeight="1" hidden="1">
      <c r="A1096" t="s" s="13">
        <v>4314</v>
      </c>
      <c r="B1096" s="14"/>
      <c r="C1096" t="str" s="14" cm="1">
        <f t="array" ref="C1096">_xlfn.IFERROR((VLOOKUP(A1096,#REF!,2,FALSE)),"")</f>
      </c>
      <c r="D1096" t="s" s="15">
        <v>70</v>
      </c>
      <c r="E1096" t="s" s="15">
        <v>71</v>
      </c>
      <c r="F1096" s="14"/>
      <c r="G1096" s="14"/>
      <c r="H1096" s="14"/>
      <c r="I1096" t="s" s="15">
        <v>73</v>
      </c>
      <c r="J1096" t="s" s="15">
        <v>74</v>
      </c>
      <c r="K1096" t="s" s="15">
        <v>113</v>
      </c>
      <c r="L1096" t="s" s="15">
        <v>76</v>
      </c>
      <c r="M1096" t="s" s="15">
        <v>4315</v>
      </c>
      <c r="N1096" s="14"/>
      <c r="O1096" t="s" s="15">
        <v>71</v>
      </c>
      <c r="P1096" t="s" s="15">
        <v>469</v>
      </c>
      <c r="Q1096" t="s" s="15">
        <v>78</v>
      </c>
      <c r="R1096" t="s" s="15">
        <v>71</v>
      </c>
      <c r="S1096" s="14"/>
      <c r="T1096" s="14"/>
      <c r="U1096" s="14"/>
      <c r="V1096" t="s" s="15">
        <v>78</v>
      </c>
      <c r="W1096" t="s" s="15">
        <v>4316</v>
      </c>
      <c r="X1096" t="s" s="15">
        <v>78</v>
      </c>
      <c r="Y1096" s="14"/>
      <c r="Z1096" t="s" s="15">
        <v>76</v>
      </c>
      <c r="AA1096" s="14"/>
      <c r="AB1096" t="s" s="15">
        <v>76</v>
      </c>
      <c r="AC1096" s="14"/>
      <c r="AD1096" s="14"/>
      <c r="AE1096" s="14"/>
      <c r="AF1096" s="14"/>
      <c r="AG1096" s="14"/>
      <c r="AH1096" s="14"/>
      <c r="AI1096" t="s" s="15">
        <v>76</v>
      </c>
      <c r="AJ1096" t="s" s="15">
        <v>76</v>
      </c>
      <c r="AK1096" t="s" s="15">
        <v>79</v>
      </c>
      <c r="AL1096" t="s" s="15">
        <v>293</v>
      </c>
      <c r="AM1096" t="s" s="15">
        <v>294</v>
      </c>
      <c r="AN1096" s="14"/>
      <c r="AO1096" s="17">
        <v>4</v>
      </c>
      <c r="AP1096" s="17">
        <v>65536</v>
      </c>
      <c r="AQ1096" s="17">
        <v>219431</v>
      </c>
      <c r="AR1096" s="17">
        <v>127342</v>
      </c>
      <c r="AS1096" t="s" s="15">
        <v>4265</v>
      </c>
      <c r="AT1096" s="14"/>
      <c r="AU1096" s="14"/>
      <c r="AV1096" s="14"/>
      <c r="AW1096" s="14"/>
      <c r="AX1096" s="14"/>
      <c r="AY1096" s="14"/>
      <c r="AZ1096" s="14"/>
      <c r="BA1096" s="14"/>
      <c r="BB1096" s="14"/>
      <c r="BC1096" s="14"/>
      <c r="BD1096" s="14"/>
      <c r="BE1096" s="14"/>
      <c r="BF1096" s="14"/>
      <c r="BG1096" s="14"/>
      <c r="BH1096" s="14"/>
      <c r="BI1096" s="14"/>
      <c r="BJ1096" s="14"/>
      <c r="BK1096" s="14"/>
      <c r="BL1096" s="14"/>
      <c r="BM1096" s="14"/>
      <c r="BN1096" s="14"/>
      <c r="BO1096" s="16"/>
      <c r="BP1096" s="8"/>
    </row>
    <row r="1097" ht="9" customHeight="1" hidden="1">
      <c r="A1097" t="s" s="9">
        <v>4317</v>
      </c>
      <c r="B1097" s="11"/>
      <c r="C1097" t="str" s="11" cm="1">
        <f t="array" ref="C1097">_xlfn.IFERROR((VLOOKUP(A1097,#REF!,2,FALSE)),"")</f>
      </c>
      <c r="D1097" t="s" s="10">
        <v>70</v>
      </c>
      <c r="E1097" t="s" s="10">
        <v>71</v>
      </c>
      <c r="F1097" s="11"/>
      <c r="G1097" s="11"/>
      <c r="H1097" s="11"/>
      <c r="I1097" t="s" s="10">
        <v>73</v>
      </c>
      <c r="J1097" t="s" s="10">
        <v>74</v>
      </c>
      <c r="K1097" t="s" s="10">
        <v>113</v>
      </c>
      <c r="L1097" t="s" s="10">
        <v>76</v>
      </c>
      <c r="M1097" t="s" s="10">
        <v>4318</v>
      </c>
      <c r="N1097" s="11"/>
      <c r="O1097" t="s" s="10">
        <v>71</v>
      </c>
      <c r="P1097" t="s" s="10">
        <v>469</v>
      </c>
      <c r="Q1097" t="s" s="10">
        <v>78</v>
      </c>
      <c r="R1097" t="s" s="10">
        <v>71</v>
      </c>
      <c r="S1097" s="11"/>
      <c r="T1097" s="11"/>
      <c r="U1097" s="11"/>
      <c r="V1097" t="s" s="10">
        <v>78</v>
      </c>
      <c r="W1097" t="s" s="10">
        <v>4319</v>
      </c>
      <c r="X1097" t="s" s="10">
        <v>78</v>
      </c>
      <c r="Y1097" s="11"/>
      <c r="Z1097" t="s" s="10">
        <v>76</v>
      </c>
      <c r="AA1097" s="11"/>
      <c r="AB1097" t="s" s="10">
        <v>76</v>
      </c>
      <c r="AC1097" s="11"/>
      <c r="AD1097" s="11"/>
      <c r="AE1097" s="11"/>
      <c r="AF1097" s="11"/>
      <c r="AG1097" s="11"/>
      <c r="AH1097" s="11"/>
      <c r="AI1097" t="s" s="10">
        <v>76</v>
      </c>
      <c r="AJ1097" t="s" s="10">
        <v>76</v>
      </c>
      <c r="AK1097" t="s" s="10">
        <v>79</v>
      </c>
      <c r="AL1097" t="s" s="10">
        <v>293</v>
      </c>
      <c r="AM1097" t="s" s="10">
        <v>294</v>
      </c>
      <c r="AN1097" s="11"/>
      <c r="AO1097" s="18">
        <v>4</v>
      </c>
      <c r="AP1097" s="18">
        <v>65536</v>
      </c>
      <c r="AQ1097" s="18">
        <v>219245</v>
      </c>
      <c r="AR1097" s="18">
        <v>122692</v>
      </c>
      <c r="AS1097" t="s" s="10">
        <v>4277</v>
      </c>
      <c r="AT1097" s="11"/>
      <c r="AU1097" s="11"/>
      <c r="AV1097" s="11"/>
      <c r="AW1097" s="11"/>
      <c r="AX1097" s="11"/>
      <c r="AY1097" s="11"/>
      <c r="AZ1097" s="11"/>
      <c r="BA1097" s="11"/>
      <c r="BB1097" s="11"/>
      <c r="BC1097" s="11"/>
      <c r="BD1097" s="11"/>
      <c r="BE1097" s="11"/>
      <c r="BF1097" s="11"/>
      <c r="BG1097" s="11"/>
      <c r="BH1097" s="11"/>
      <c r="BI1097" s="11"/>
      <c r="BJ1097" s="11"/>
      <c r="BK1097" s="11"/>
      <c r="BL1097" s="11"/>
      <c r="BM1097" s="11"/>
      <c r="BN1097" s="11"/>
      <c r="BO1097" s="12"/>
      <c r="BP1097" s="8"/>
    </row>
    <row r="1098" ht="9" customHeight="1" hidden="1">
      <c r="A1098" t="s" s="13">
        <v>4320</v>
      </c>
      <c r="B1098" s="14"/>
      <c r="C1098" t="str" s="14" cm="1">
        <f t="array" ref="C1098">_xlfn.IFERROR((VLOOKUP(A1098,#REF!,2,FALSE)),"")</f>
      </c>
      <c r="D1098" t="s" s="15">
        <v>70</v>
      </c>
      <c r="E1098" t="s" s="15">
        <v>71</v>
      </c>
      <c r="F1098" s="14"/>
      <c r="G1098" s="14"/>
      <c r="H1098" s="14"/>
      <c r="I1098" t="s" s="15">
        <v>73</v>
      </c>
      <c r="J1098" t="s" s="15">
        <v>74</v>
      </c>
      <c r="K1098" t="s" s="15">
        <v>113</v>
      </c>
      <c r="L1098" t="s" s="15">
        <v>76</v>
      </c>
      <c r="M1098" t="s" s="15">
        <v>4321</v>
      </c>
      <c r="N1098" s="14"/>
      <c r="O1098" t="s" s="15">
        <v>71</v>
      </c>
      <c r="P1098" t="s" s="15">
        <v>469</v>
      </c>
      <c r="Q1098" t="s" s="15">
        <v>78</v>
      </c>
      <c r="R1098" t="s" s="15">
        <v>71</v>
      </c>
      <c r="S1098" s="14"/>
      <c r="T1098" s="14"/>
      <c r="U1098" s="14"/>
      <c r="V1098" t="s" s="15">
        <v>78</v>
      </c>
      <c r="W1098" t="s" s="15">
        <v>4322</v>
      </c>
      <c r="X1098" t="s" s="15">
        <v>78</v>
      </c>
      <c r="Y1098" s="14"/>
      <c r="Z1098" t="s" s="15">
        <v>76</v>
      </c>
      <c r="AA1098" s="14"/>
      <c r="AB1098" t="s" s="15">
        <v>76</v>
      </c>
      <c r="AC1098" s="14"/>
      <c r="AD1098" s="14"/>
      <c r="AE1098" s="14"/>
      <c r="AF1098" s="14"/>
      <c r="AG1098" s="14"/>
      <c r="AH1098" s="14"/>
      <c r="AI1098" t="s" s="15">
        <v>76</v>
      </c>
      <c r="AJ1098" t="s" s="15">
        <v>76</v>
      </c>
      <c r="AK1098" t="s" s="15">
        <v>79</v>
      </c>
      <c r="AL1098" t="s" s="15">
        <v>293</v>
      </c>
      <c r="AM1098" t="s" s="15">
        <v>294</v>
      </c>
      <c r="AN1098" s="14"/>
      <c r="AO1098" s="17">
        <v>4</v>
      </c>
      <c r="AP1098" s="17">
        <v>65536</v>
      </c>
      <c r="AQ1098" s="17">
        <v>219389</v>
      </c>
      <c r="AR1098" s="17">
        <v>117298</v>
      </c>
      <c r="AS1098" t="s" s="15">
        <v>4273</v>
      </c>
      <c r="AT1098" s="14"/>
      <c r="AU1098" s="14"/>
      <c r="AV1098" s="14"/>
      <c r="AW1098" s="14"/>
      <c r="AX1098" s="14"/>
      <c r="AY1098" s="14"/>
      <c r="AZ1098" s="14"/>
      <c r="BA1098" s="14"/>
      <c r="BB1098" s="14"/>
      <c r="BC1098" s="14"/>
      <c r="BD1098" s="14"/>
      <c r="BE1098" s="14"/>
      <c r="BF1098" s="14"/>
      <c r="BG1098" s="14"/>
      <c r="BH1098" s="14"/>
      <c r="BI1098" s="14"/>
      <c r="BJ1098" s="14"/>
      <c r="BK1098" s="14"/>
      <c r="BL1098" s="14"/>
      <c r="BM1098" s="14"/>
      <c r="BN1098" s="14"/>
      <c r="BO1098" s="16"/>
      <c r="BP1098" s="8"/>
    </row>
    <row r="1099" ht="9" customHeight="1" hidden="1">
      <c r="A1099" t="s" s="9">
        <v>4323</v>
      </c>
      <c r="B1099" s="11"/>
      <c r="C1099" t="str" s="11" cm="1">
        <f t="array" ref="C1099">_xlfn.IFERROR((VLOOKUP(A1099,#REF!,2,FALSE)),"")</f>
      </c>
      <c r="D1099" t="s" s="10">
        <v>70</v>
      </c>
      <c r="E1099" t="s" s="10">
        <v>71</v>
      </c>
      <c r="F1099" s="11"/>
      <c r="G1099" s="11"/>
      <c r="H1099" s="11"/>
      <c r="I1099" t="s" s="10">
        <v>73</v>
      </c>
      <c r="J1099" t="s" s="10">
        <v>74</v>
      </c>
      <c r="K1099" t="s" s="10">
        <v>113</v>
      </c>
      <c r="L1099" t="s" s="10">
        <v>76</v>
      </c>
      <c r="M1099" t="s" s="10">
        <v>4324</v>
      </c>
      <c r="N1099" s="11"/>
      <c r="O1099" t="s" s="10">
        <v>71</v>
      </c>
      <c r="P1099" t="s" s="10">
        <v>469</v>
      </c>
      <c r="Q1099" t="s" s="10">
        <v>78</v>
      </c>
      <c r="R1099" t="s" s="10">
        <v>71</v>
      </c>
      <c r="S1099" s="11"/>
      <c r="T1099" s="11"/>
      <c r="U1099" s="11"/>
      <c r="V1099" t="s" s="10">
        <v>78</v>
      </c>
      <c r="W1099" t="s" s="10">
        <v>4325</v>
      </c>
      <c r="X1099" t="s" s="10">
        <v>78</v>
      </c>
      <c r="Y1099" s="11"/>
      <c r="Z1099" t="s" s="10">
        <v>76</v>
      </c>
      <c r="AA1099" s="11"/>
      <c r="AB1099" t="s" s="10">
        <v>76</v>
      </c>
      <c r="AC1099" s="11"/>
      <c r="AD1099" s="11"/>
      <c r="AE1099" s="11"/>
      <c r="AF1099" s="11"/>
      <c r="AG1099" s="11"/>
      <c r="AH1099" s="11"/>
      <c r="AI1099" t="s" s="10">
        <v>76</v>
      </c>
      <c r="AJ1099" t="s" s="10">
        <v>76</v>
      </c>
      <c r="AK1099" t="s" s="10">
        <v>79</v>
      </c>
      <c r="AL1099" t="s" s="10">
        <v>293</v>
      </c>
      <c r="AM1099" t="s" s="10">
        <v>294</v>
      </c>
      <c r="AN1099" s="11"/>
      <c r="AO1099" s="18">
        <v>4</v>
      </c>
      <c r="AP1099" s="18">
        <v>65536</v>
      </c>
      <c r="AQ1099" s="18">
        <v>219307</v>
      </c>
      <c r="AR1099" s="18">
        <v>121733</v>
      </c>
      <c r="AS1099" t="s" s="10">
        <v>4269</v>
      </c>
      <c r="AT1099" s="11"/>
      <c r="AU1099" s="11"/>
      <c r="AV1099" s="11"/>
      <c r="AW1099" s="11"/>
      <c r="AX1099" s="11"/>
      <c r="AY1099" s="11"/>
      <c r="AZ1099" s="11"/>
      <c r="BA1099" s="11"/>
      <c r="BB1099" s="11"/>
      <c r="BC1099" s="11"/>
      <c r="BD1099" s="11"/>
      <c r="BE1099" s="11"/>
      <c r="BF1099" s="11"/>
      <c r="BG1099" s="11"/>
      <c r="BH1099" s="11"/>
      <c r="BI1099" s="11"/>
      <c r="BJ1099" s="11"/>
      <c r="BK1099" s="11"/>
      <c r="BL1099" s="11"/>
      <c r="BM1099" s="11"/>
      <c r="BN1099" s="11"/>
      <c r="BO1099" s="12"/>
      <c r="BP1099" s="8"/>
    </row>
    <row r="1100" ht="9" customHeight="1" hidden="1">
      <c r="A1100" t="s" s="13">
        <v>4326</v>
      </c>
      <c r="B1100" s="14"/>
      <c r="C1100" t="str" s="14" cm="1">
        <f t="array" ref="C1100">_xlfn.IFERROR((VLOOKUP(A1100,#REF!,2,FALSE)),"")</f>
      </c>
      <c r="D1100" t="s" s="15">
        <v>70</v>
      </c>
      <c r="E1100" t="s" s="15">
        <v>71</v>
      </c>
      <c r="F1100" s="14"/>
      <c r="G1100" s="14"/>
      <c r="H1100" s="14"/>
      <c r="I1100" t="s" s="15">
        <v>73</v>
      </c>
      <c r="J1100" t="s" s="15">
        <v>74</v>
      </c>
      <c r="K1100" t="s" s="15">
        <v>113</v>
      </c>
      <c r="L1100" t="s" s="15">
        <v>76</v>
      </c>
      <c r="M1100" t="s" s="15">
        <v>4327</v>
      </c>
      <c r="N1100" s="14"/>
      <c r="O1100" t="s" s="15">
        <v>71</v>
      </c>
      <c r="P1100" t="s" s="15">
        <v>469</v>
      </c>
      <c r="Q1100" t="s" s="15">
        <v>78</v>
      </c>
      <c r="R1100" t="s" s="15">
        <v>71</v>
      </c>
      <c r="S1100" s="14"/>
      <c r="T1100" s="14"/>
      <c r="U1100" s="14"/>
      <c r="V1100" t="s" s="15">
        <v>78</v>
      </c>
      <c r="W1100" t="s" s="15">
        <v>4328</v>
      </c>
      <c r="X1100" t="s" s="15">
        <v>78</v>
      </c>
      <c r="Y1100" s="14"/>
      <c r="Z1100" t="s" s="15">
        <v>76</v>
      </c>
      <c r="AA1100" s="14"/>
      <c r="AB1100" t="s" s="15">
        <v>76</v>
      </c>
      <c r="AC1100" s="14"/>
      <c r="AD1100" s="14"/>
      <c r="AE1100" s="14"/>
      <c r="AF1100" s="14"/>
      <c r="AG1100" s="14"/>
      <c r="AH1100" s="14"/>
      <c r="AI1100" t="s" s="15">
        <v>76</v>
      </c>
      <c r="AJ1100" t="s" s="15">
        <v>76</v>
      </c>
      <c r="AK1100" t="s" s="15">
        <v>79</v>
      </c>
      <c r="AL1100" t="s" s="15">
        <v>293</v>
      </c>
      <c r="AM1100" t="s" s="15">
        <v>294</v>
      </c>
      <c r="AN1100" s="14"/>
      <c r="AO1100" s="17">
        <v>4</v>
      </c>
      <c r="AP1100" s="17">
        <v>65536</v>
      </c>
      <c r="AQ1100" s="17">
        <v>219390</v>
      </c>
      <c r="AR1100" s="17">
        <v>117133</v>
      </c>
      <c r="AS1100" t="s" s="15">
        <v>4285</v>
      </c>
      <c r="AT1100" s="14"/>
      <c r="AU1100" s="14"/>
      <c r="AV1100" s="14"/>
      <c r="AW1100" s="14"/>
      <c r="AX1100" s="14"/>
      <c r="AY1100" s="14"/>
      <c r="AZ1100" s="14"/>
      <c r="BA1100" s="14"/>
      <c r="BB1100" s="14"/>
      <c r="BC1100" s="14"/>
      <c r="BD1100" s="14"/>
      <c r="BE1100" s="14"/>
      <c r="BF1100" s="14"/>
      <c r="BG1100" s="14"/>
      <c r="BH1100" s="14"/>
      <c r="BI1100" s="14"/>
      <c r="BJ1100" s="14"/>
      <c r="BK1100" s="14"/>
      <c r="BL1100" s="14"/>
      <c r="BM1100" s="14"/>
      <c r="BN1100" s="14"/>
      <c r="BO1100" s="16"/>
      <c r="BP1100" s="8"/>
    </row>
    <row r="1101" ht="9" customHeight="1" hidden="1">
      <c r="A1101" t="s" s="9">
        <v>4329</v>
      </c>
      <c r="B1101" s="11"/>
      <c r="C1101" t="str" s="11" cm="1">
        <f t="array" ref="C1101">_xlfn.IFERROR((VLOOKUP(A1101,#REF!,2,FALSE)),"")</f>
      </c>
      <c r="D1101" t="s" s="10">
        <v>70</v>
      </c>
      <c r="E1101" t="s" s="10">
        <v>71</v>
      </c>
      <c r="F1101" s="11"/>
      <c r="G1101" s="11"/>
      <c r="H1101" s="11"/>
      <c r="I1101" t="s" s="10">
        <v>73</v>
      </c>
      <c r="J1101" t="s" s="10">
        <v>74</v>
      </c>
      <c r="K1101" t="s" s="10">
        <v>113</v>
      </c>
      <c r="L1101" t="s" s="10">
        <v>76</v>
      </c>
      <c r="M1101" t="s" s="10">
        <v>4330</v>
      </c>
      <c r="N1101" s="11"/>
      <c r="O1101" t="s" s="10">
        <v>71</v>
      </c>
      <c r="P1101" t="s" s="10">
        <v>469</v>
      </c>
      <c r="Q1101" t="s" s="10">
        <v>78</v>
      </c>
      <c r="R1101" t="s" s="10">
        <v>71</v>
      </c>
      <c r="S1101" s="11"/>
      <c r="T1101" s="11"/>
      <c r="U1101" s="11"/>
      <c r="V1101" t="s" s="10">
        <v>78</v>
      </c>
      <c r="W1101" t="s" s="10">
        <v>4331</v>
      </c>
      <c r="X1101" t="s" s="10">
        <v>78</v>
      </c>
      <c r="Y1101" s="11"/>
      <c r="Z1101" t="s" s="10">
        <v>76</v>
      </c>
      <c r="AA1101" s="11"/>
      <c r="AB1101" t="s" s="10">
        <v>76</v>
      </c>
      <c r="AC1101" s="11"/>
      <c r="AD1101" s="11"/>
      <c r="AE1101" s="11"/>
      <c r="AF1101" s="11"/>
      <c r="AG1101" s="11"/>
      <c r="AH1101" s="11"/>
      <c r="AI1101" t="s" s="10">
        <v>76</v>
      </c>
      <c r="AJ1101" t="s" s="10">
        <v>76</v>
      </c>
      <c r="AK1101" t="s" s="10">
        <v>79</v>
      </c>
      <c r="AL1101" t="s" s="10">
        <v>293</v>
      </c>
      <c r="AM1101" t="s" s="10">
        <v>294</v>
      </c>
      <c r="AN1101" s="11"/>
      <c r="AO1101" s="18">
        <v>4</v>
      </c>
      <c r="AP1101" s="18">
        <v>65536</v>
      </c>
      <c r="AQ1101" s="18">
        <v>219432</v>
      </c>
      <c r="AR1101" s="18">
        <v>122066</v>
      </c>
      <c r="AS1101" t="s" s="10">
        <v>4281</v>
      </c>
      <c r="AT1101" s="11"/>
      <c r="AU1101" s="11"/>
      <c r="AV1101" s="11"/>
      <c r="AW1101" s="11"/>
      <c r="AX1101" s="11"/>
      <c r="AY1101" s="11"/>
      <c r="AZ1101" s="11"/>
      <c r="BA1101" s="11"/>
      <c r="BB1101" s="11"/>
      <c r="BC1101" s="11"/>
      <c r="BD1101" s="11"/>
      <c r="BE1101" s="11"/>
      <c r="BF1101" s="11"/>
      <c r="BG1101" s="11"/>
      <c r="BH1101" s="11"/>
      <c r="BI1101" s="11"/>
      <c r="BJ1101" s="11"/>
      <c r="BK1101" s="11"/>
      <c r="BL1101" s="11"/>
      <c r="BM1101" s="11"/>
      <c r="BN1101" s="11"/>
      <c r="BO1101" s="12"/>
      <c r="BP1101" s="8"/>
    </row>
    <row r="1102" ht="9" customHeight="1" hidden="1">
      <c r="A1102" t="s" s="13">
        <v>4332</v>
      </c>
      <c r="B1102" s="14"/>
      <c r="C1102" t="str" s="14" cm="1">
        <f t="array" ref="C1102">_xlfn.IFERROR((VLOOKUP(A1102,#REF!,2,FALSE)),"")</f>
      </c>
      <c r="D1102" t="s" s="15">
        <v>70</v>
      </c>
      <c r="E1102" t="s" s="15">
        <v>71</v>
      </c>
      <c r="F1102" s="14"/>
      <c r="G1102" s="14"/>
      <c r="H1102" s="14"/>
      <c r="I1102" t="s" s="15">
        <v>73</v>
      </c>
      <c r="J1102" t="s" s="15">
        <v>74</v>
      </c>
      <c r="K1102" t="s" s="15">
        <v>113</v>
      </c>
      <c r="L1102" t="s" s="15">
        <v>76</v>
      </c>
      <c r="M1102" t="s" s="15">
        <v>4333</v>
      </c>
      <c r="N1102" s="14"/>
      <c r="O1102" t="s" s="15">
        <v>71</v>
      </c>
      <c r="P1102" t="s" s="15">
        <v>469</v>
      </c>
      <c r="Q1102" t="s" s="15">
        <v>78</v>
      </c>
      <c r="R1102" t="s" s="15">
        <v>71</v>
      </c>
      <c r="S1102" s="14"/>
      <c r="T1102" s="14"/>
      <c r="U1102" s="14"/>
      <c r="V1102" t="s" s="15">
        <v>78</v>
      </c>
      <c r="W1102" t="s" s="15">
        <v>4334</v>
      </c>
      <c r="X1102" t="s" s="15">
        <v>78</v>
      </c>
      <c r="Y1102" s="14"/>
      <c r="Z1102" t="s" s="15">
        <v>76</v>
      </c>
      <c r="AA1102" s="14"/>
      <c r="AB1102" t="s" s="15">
        <v>76</v>
      </c>
      <c r="AC1102" s="14"/>
      <c r="AD1102" s="14"/>
      <c r="AE1102" s="14"/>
      <c r="AF1102" s="14"/>
      <c r="AG1102" s="14"/>
      <c r="AH1102" s="14"/>
      <c r="AI1102" t="s" s="15">
        <v>76</v>
      </c>
      <c r="AJ1102" t="s" s="15">
        <v>76</v>
      </c>
      <c r="AK1102" t="s" s="15">
        <v>79</v>
      </c>
      <c r="AL1102" t="s" s="15">
        <v>293</v>
      </c>
      <c r="AM1102" t="s" s="15">
        <v>294</v>
      </c>
      <c r="AN1102" s="14"/>
      <c r="AO1102" s="17">
        <v>4</v>
      </c>
      <c r="AP1102" s="17">
        <v>65536</v>
      </c>
      <c r="AQ1102" s="17">
        <v>219281</v>
      </c>
      <c r="AR1102" s="17">
        <v>121099</v>
      </c>
      <c r="AS1102" t="s" s="15">
        <v>4289</v>
      </c>
      <c r="AT1102" s="14"/>
      <c r="AU1102" s="14"/>
      <c r="AV1102" s="14"/>
      <c r="AW1102" s="14"/>
      <c r="AX1102" s="14"/>
      <c r="AY1102" s="14"/>
      <c r="AZ1102" s="14"/>
      <c r="BA1102" s="14"/>
      <c r="BB1102" s="14"/>
      <c r="BC1102" s="14"/>
      <c r="BD1102" s="14"/>
      <c r="BE1102" s="14"/>
      <c r="BF1102" s="14"/>
      <c r="BG1102" s="14"/>
      <c r="BH1102" s="14"/>
      <c r="BI1102" s="14"/>
      <c r="BJ1102" s="14"/>
      <c r="BK1102" s="14"/>
      <c r="BL1102" s="14"/>
      <c r="BM1102" s="14"/>
      <c r="BN1102" s="14"/>
      <c r="BO1102" s="16"/>
      <c r="BP1102" s="8"/>
    </row>
    <row r="1103" ht="9" customHeight="1" hidden="1">
      <c r="A1103" t="s" s="9">
        <v>4335</v>
      </c>
      <c r="B1103" s="11"/>
      <c r="C1103" t="str" s="11" cm="1">
        <f t="array" ref="C1103">_xlfn.IFERROR((VLOOKUP(A1103,#REF!,2,FALSE)),"")</f>
      </c>
      <c r="D1103" t="s" s="10">
        <v>70</v>
      </c>
      <c r="E1103" t="s" s="10">
        <v>71</v>
      </c>
      <c r="F1103" s="11"/>
      <c r="G1103" s="11"/>
      <c r="H1103" s="11"/>
      <c r="I1103" t="s" s="10">
        <v>82</v>
      </c>
      <c r="J1103" t="s" s="10">
        <v>82</v>
      </c>
      <c r="K1103" t="s" s="10">
        <v>82</v>
      </c>
      <c r="L1103" t="s" s="10">
        <v>76</v>
      </c>
      <c r="M1103" t="s" s="10">
        <v>77</v>
      </c>
      <c r="N1103" s="11"/>
      <c r="O1103" t="s" s="10">
        <v>71</v>
      </c>
      <c r="P1103" s="11"/>
      <c r="Q1103" t="s" s="10">
        <v>78</v>
      </c>
      <c r="R1103" t="s" s="10">
        <v>83</v>
      </c>
      <c r="S1103" s="11"/>
      <c r="T1103" s="11"/>
      <c r="U1103" s="11"/>
      <c r="V1103" t="s" s="10">
        <v>78</v>
      </c>
      <c r="W1103" s="11"/>
      <c r="X1103" t="s" s="10">
        <v>78</v>
      </c>
      <c r="Y1103" s="11"/>
      <c r="Z1103" t="s" s="10">
        <v>76</v>
      </c>
      <c r="AA1103" s="11"/>
      <c r="AB1103" t="s" s="10">
        <v>76</v>
      </c>
      <c r="AC1103" s="11"/>
      <c r="AD1103" s="11"/>
      <c r="AE1103" s="11"/>
      <c r="AF1103" s="11"/>
      <c r="AG1103" s="11"/>
      <c r="AH1103" s="11"/>
      <c r="AI1103" t="s" s="10">
        <v>76</v>
      </c>
      <c r="AJ1103" t="s" s="10">
        <v>76</v>
      </c>
      <c r="AK1103" t="s" s="10">
        <v>79</v>
      </c>
      <c r="AL1103" t="s" s="10">
        <v>293</v>
      </c>
      <c r="AM1103" t="s" s="10">
        <v>294</v>
      </c>
      <c r="AN1103" s="11"/>
      <c r="AO1103" s="18">
        <v>4</v>
      </c>
      <c r="AP1103" s="18">
        <v>65536</v>
      </c>
      <c r="AQ1103" s="18">
        <v>219255</v>
      </c>
      <c r="AR1103" s="18">
        <v>121596</v>
      </c>
      <c r="AS1103" t="s" s="10">
        <v>4336</v>
      </c>
      <c r="AT1103" s="11"/>
      <c r="AU1103" s="11"/>
      <c r="AV1103" s="11"/>
      <c r="AW1103" s="11"/>
      <c r="AX1103" s="11"/>
      <c r="AY1103" s="11"/>
      <c r="AZ1103" s="11"/>
      <c r="BA1103" s="11"/>
      <c r="BB1103" s="11"/>
      <c r="BC1103" s="11"/>
      <c r="BD1103" s="11"/>
      <c r="BE1103" s="11"/>
      <c r="BF1103" s="11"/>
      <c r="BG1103" s="11"/>
      <c r="BH1103" s="11"/>
      <c r="BI1103" s="11"/>
      <c r="BJ1103" s="11"/>
      <c r="BK1103" s="11"/>
      <c r="BL1103" s="11"/>
      <c r="BM1103" s="11"/>
      <c r="BN1103" s="11"/>
      <c r="BO1103" s="12"/>
      <c r="BP1103" s="8"/>
    </row>
    <row r="1104" ht="9" customHeight="1" hidden="1">
      <c r="A1104" t="s" s="13">
        <v>4337</v>
      </c>
      <c r="B1104" s="14"/>
      <c r="C1104" t="str" s="14" cm="1">
        <f t="array" ref="C1104">_xlfn.IFERROR((VLOOKUP(A1104,#REF!,2,FALSE)),"")</f>
      </c>
      <c r="D1104" s="14"/>
      <c r="E1104" t="s" s="15">
        <v>4338</v>
      </c>
      <c r="F1104" s="14"/>
      <c r="G1104" t="s" s="15">
        <v>4339</v>
      </c>
      <c r="H1104" t="s" s="15">
        <v>4339</v>
      </c>
      <c r="I1104" t="s" s="15">
        <v>111</v>
      </c>
      <c r="J1104" t="s" s="15">
        <v>122</v>
      </c>
      <c r="K1104" t="s" s="15">
        <v>351</v>
      </c>
      <c r="L1104" t="s" s="15">
        <v>76</v>
      </c>
      <c r="M1104" s="14"/>
      <c r="N1104" s="14"/>
      <c r="O1104" t="s" s="15">
        <v>286</v>
      </c>
      <c r="P1104" s="14"/>
      <c r="Q1104" s="14"/>
      <c r="R1104" t="s" s="15">
        <v>83</v>
      </c>
      <c r="S1104" s="14"/>
      <c r="T1104" s="14"/>
      <c r="U1104" s="14"/>
      <c r="V1104" s="14"/>
      <c r="W1104" s="14"/>
      <c r="X1104" s="14"/>
      <c r="Y1104" s="14"/>
      <c r="Z1104" t="s" s="15">
        <v>76</v>
      </c>
      <c r="AA1104" s="14"/>
      <c r="AB1104" t="s" s="15">
        <v>76</v>
      </c>
      <c r="AC1104" s="14"/>
      <c r="AD1104" s="14"/>
      <c r="AE1104" s="14"/>
      <c r="AF1104" s="14"/>
      <c r="AG1104" t="s" s="15">
        <v>299</v>
      </c>
      <c r="AH1104" t="s" s="15">
        <v>76</v>
      </c>
      <c r="AI1104" t="s" s="15">
        <v>76</v>
      </c>
      <c r="AJ1104" t="s" s="15">
        <v>76</v>
      </c>
      <c r="AK1104" t="s" s="15">
        <v>79</v>
      </c>
      <c r="AL1104" t="s" s="15">
        <v>293</v>
      </c>
      <c r="AM1104" t="s" s="15">
        <v>294</v>
      </c>
      <c r="AN1104" t="s" s="15">
        <v>2704</v>
      </c>
      <c r="AO1104" s="14"/>
      <c r="AP1104" s="14"/>
      <c r="AQ1104" s="14"/>
      <c r="AR1104" s="14"/>
      <c r="AS1104" t="s" s="15">
        <v>4340</v>
      </c>
      <c r="AT1104" s="14"/>
      <c r="AU1104" s="14"/>
      <c r="AV1104" s="14"/>
      <c r="AW1104" s="14"/>
      <c r="AX1104" s="14"/>
      <c r="AY1104" s="14"/>
      <c r="AZ1104" s="14"/>
      <c r="BA1104" s="14"/>
      <c r="BB1104" s="14"/>
      <c r="BC1104" s="14"/>
      <c r="BD1104" s="14"/>
      <c r="BE1104" s="14"/>
      <c r="BF1104" s="14"/>
      <c r="BG1104" s="14"/>
      <c r="BH1104" s="14"/>
      <c r="BI1104" s="14"/>
      <c r="BJ1104" s="14"/>
      <c r="BK1104" s="14"/>
      <c r="BL1104" s="14"/>
      <c r="BM1104" s="14"/>
      <c r="BN1104" t="s" s="15">
        <v>69</v>
      </c>
      <c r="BO1104" s="16"/>
      <c r="BP1104" s="8"/>
    </row>
    <row r="1105" ht="9" customHeight="1" hidden="1">
      <c r="A1105" t="s" s="9">
        <v>4341</v>
      </c>
      <c r="B1105" s="11"/>
      <c r="C1105" t="str" s="11" cm="1">
        <f t="array" ref="C1105">_xlfn.IFERROR((VLOOKUP(A1105,#REF!,2,FALSE)),"")</f>
      </c>
      <c r="D1105" s="11"/>
      <c r="E1105" t="s" s="10">
        <v>4342</v>
      </c>
      <c r="F1105" s="11"/>
      <c r="G1105" t="s" s="10">
        <v>4343</v>
      </c>
      <c r="H1105" t="s" s="10">
        <v>4343</v>
      </c>
      <c r="I1105" t="s" s="10">
        <v>111</v>
      </c>
      <c r="J1105" t="s" s="10">
        <v>122</v>
      </c>
      <c r="K1105" t="s" s="10">
        <v>351</v>
      </c>
      <c r="L1105" t="s" s="10">
        <v>76</v>
      </c>
      <c r="M1105" s="11"/>
      <c r="N1105" s="11"/>
      <c r="O1105" t="s" s="10">
        <v>286</v>
      </c>
      <c r="P1105" s="11"/>
      <c r="Q1105" s="11"/>
      <c r="R1105" t="s" s="10">
        <v>83</v>
      </c>
      <c r="S1105" s="11"/>
      <c r="T1105" s="11"/>
      <c r="U1105" s="11"/>
      <c r="V1105" s="11"/>
      <c r="W1105" s="11"/>
      <c r="X1105" s="11"/>
      <c r="Y1105" s="11"/>
      <c r="Z1105" t="s" s="10">
        <v>76</v>
      </c>
      <c r="AA1105" s="11"/>
      <c r="AB1105" t="s" s="10">
        <v>76</v>
      </c>
      <c r="AC1105" s="11"/>
      <c r="AD1105" s="11"/>
      <c r="AE1105" s="11"/>
      <c r="AF1105" s="11"/>
      <c r="AG1105" t="s" s="10">
        <v>299</v>
      </c>
      <c r="AH1105" t="s" s="10">
        <v>76</v>
      </c>
      <c r="AI1105" t="s" s="10">
        <v>76</v>
      </c>
      <c r="AJ1105" t="s" s="10">
        <v>76</v>
      </c>
      <c r="AK1105" t="s" s="10">
        <v>79</v>
      </c>
      <c r="AL1105" t="s" s="10">
        <v>293</v>
      </c>
      <c r="AM1105" t="s" s="10">
        <v>294</v>
      </c>
      <c r="AN1105" t="s" s="10">
        <v>2704</v>
      </c>
      <c r="AO1105" s="11"/>
      <c r="AP1105" s="11"/>
      <c r="AQ1105" s="11"/>
      <c r="AR1105" s="11"/>
      <c r="AS1105" t="s" s="10">
        <v>4344</v>
      </c>
      <c r="AT1105" s="11"/>
      <c r="AU1105" s="11"/>
      <c r="AV1105" s="11"/>
      <c r="AW1105" s="11"/>
      <c r="AX1105" s="11"/>
      <c r="AY1105" s="11"/>
      <c r="AZ1105" s="11"/>
      <c r="BA1105" s="11"/>
      <c r="BB1105" s="11"/>
      <c r="BC1105" s="11"/>
      <c r="BD1105" s="11"/>
      <c r="BE1105" s="11"/>
      <c r="BF1105" s="11"/>
      <c r="BG1105" s="11"/>
      <c r="BH1105" s="11"/>
      <c r="BI1105" s="11"/>
      <c r="BJ1105" s="11"/>
      <c r="BK1105" s="11"/>
      <c r="BL1105" s="11"/>
      <c r="BM1105" s="11"/>
      <c r="BN1105" t="s" s="10">
        <v>69</v>
      </c>
      <c r="BO1105" s="12"/>
      <c r="BP1105" s="8"/>
    </row>
    <row r="1106" ht="9" customHeight="1" hidden="1">
      <c r="A1106" t="s" s="13">
        <v>4345</v>
      </c>
      <c r="B1106" s="14"/>
      <c r="C1106" t="str" s="14" cm="1">
        <f t="array" ref="C1106">_xlfn.IFERROR((VLOOKUP(A1106,#REF!,2,FALSE)),"")</f>
      </c>
      <c r="D1106" s="14"/>
      <c r="E1106" t="s" s="15">
        <v>2258</v>
      </c>
      <c r="F1106" s="14"/>
      <c r="G1106" t="s" s="15">
        <v>4346</v>
      </c>
      <c r="H1106" t="s" s="15">
        <v>2571</v>
      </c>
      <c r="I1106" t="s" s="15">
        <v>111</v>
      </c>
      <c r="J1106" t="s" s="15">
        <v>469</v>
      </c>
      <c r="K1106" s="14"/>
      <c r="L1106" t="s" s="15">
        <v>83</v>
      </c>
      <c r="M1106" s="14"/>
      <c r="N1106" s="14"/>
      <c r="O1106" t="s" s="15">
        <v>1162</v>
      </c>
      <c r="P1106" s="14"/>
      <c r="Q1106" s="14"/>
      <c r="R1106" t="s" s="15">
        <v>76</v>
      </c>
      <c r="S1106" s="14"/>
      <c r="T1106" s="14"/>
      <c r="U1106" s="14"/>
      <c r="V1106" s="14"/>
      <c r="W1106" s="14"/>
      <c r="X1106" s="14"/>
      <c r="Y1106" s="14"/>
      <c r="Z1106" t="s" s="15">
        <v>83</v>
      </c>
      <c r="AA1106" s="14"/>
      <c r="AB1106" t="s" s="15">
        <v>83</v>
      </c>
      <c r="AC1106" s="14"/>
      <c r="AD1106" s="14"/>
      <c r="AE1106" s="14"/>
      <c r="AF1106" s="14"/>
      <c r="AG1106" t="s" s="15">
        <v>299</v>
      </c>
      <c r="AH1106" t="s" s="15">
        <v>83</v>
      </c>
      <c r="AI1106" t="s" s="15">
        <v>83</v>
      </c>
      <c r="AJ1106" t="s" s="15">
        <v>83</v>
      </c>
      <c r="AK1106" t="s" s="15">
        <v>83</v>
      </c>
      <c r="AL1106" t="s" s="15">
        <v>293</v>
      </c>
      <c r="AM1106" t="s" s="15">
        <v>294</v>
      </c>
      <c r="AN1106" t="s" s="15">
        <v>4347</v>
      </c>
      <c r="AO1106" s="14"/>
      <c r="AP1106" s="14"/>
      <c r="AQ1106" s="14"/>
      <c r="AR1106" s="14"/>
      <c r="AS1106" t="s" s="15">
        <v>4348</v>
      </c>
      <c r="AT1106" s="14"/>
      <c r="AU1106" s="14"/>
      <c r="AV1106" s="14"/>
      <c r="AW1106" s="14"/>
      <c r="AX1106" s="14"/>
      <c r="AY1106" s="14"/>
      <c r="AZ1106" s="14"/>
      <c r="BA1106" s="14"/>
      <c r="BB1106" s="14"/>
      <c r="BC1106" s="14"/>
      <c r="BD1106" s="14"/>
      <c r="BE1106" s="14"/>
      <c r="BF1106" s="14"/>
      <c r="BG1106" s="14"/>
      <c r="BH1106" s="14"/>
      <c r="BI1106" s="14"/>
      <c r="BJ1106" s="14"/>
      <c r="BK1106" s="14"/>
      <c r="BL1106" s="14"/>
      <c r="BM1106" s="14"/>
      <c r="BN1106" t="s" s="15">
        <v>78</v>
      </c>
      <c r="BO1106" s="16"/>
      <c r="BP1106" s="8"/>
    </row>
    <row r="1107" ht="15" customHeight="1" hidden="1">
      <c r="A1107" t="s" s="9">
        <v>4349</v>
      </c>
      <c r="B1107" s="11"/>
      <c r="C1107" t="str" s="11" cm="1">
        <f t="array" ref="C1107">_xlfn.IFERROR((VLOOKUP(A1107,#REF!,2,FALSE)),"")</f>
      </c>
      <c r="D1107" s="11"/>
      <c r="E1107" t="s" s="10">
        <v>2398</v>
      </c>
      <c r="F1107" s="11"/>
      <c r="G1107" t="s" s="10">
        <v>4350</v>
      </c>
      <c r="H1107" t="s" s="10">
        <v>2571</v>
      </c>
      <c r="I1107" t="s" s="10">
        <v>111</v>
      </c>
      <c r="J1107" t="s" s="10">
        <v>122</v>
      </c>
      <c r="K1107" t="s" s="10">
        <v>351</v>
      </c>
      <c r="L1107" t="s" s="10">
        <v>76</v>
      </c>
      <c r="M1107" s="11"/>
      <c r="N1107" s="11"/>
      <c r="O1107" t="s" s="10">
        <v>286</v>
      </c>
      <c r="P1107" s="11"/>
      <c r="Q1107" s="11"/>
      <c r="R1107" t="s" s="10">
        <v>83</v>
      </c>
      <c r="S1107" s="11"/>
      <c r="T1107" s="11"/>
      <c r="U1107" s="11"/>
      <c r="V1107" s="11"/>
      <c r="W1107" s="11"/>
      <c r="X1107" s="11"/>
      <c r="Y1107" s="11"/>
      <c r="Z1107" t="s" s="10">
        <v>76</v>
      </c>
      <c r="AA1107" s="11"/>
      <c r="AB1107" t="s" s="10">
        <v>76</v>
      </c>
      <c r="AC1107" s="11"/>
      <c r="AD1107" s="11"/>
      <c r="AE1107" s="11"/>
      <c r="AF1107" s="11"/>
      <c r="AG1107" t="s" s="10">
        <v>299</v>
      </c>
      <c r="AH1107" t="s" s="10">
        <v>83</v>
      </c>
      <c r="AI1107" t="s" s="10">
        <v>83</v>
      </c>
      <c r="AJ1107" t="s" s="10">
        <v>83</v>
      </c>
      <c r="AK1107" t="s" s="10">
        <v>83</v>
      </c>
      <c r="AL1107" t="s" s="10">
        <v>293</v>
      </c>
      <c r="AM1107" t="s" s="10">
        <v>294</v>
      </c>
      <c r="AN1107" t="s" s="10">
        <v>2704</v>
      </c>
      <c r="AO1107" s="11"/>
      <c r="AP1107" s="11"/>
      <c r="AQ1107" s="11"/>
      <c r="AR1107" s="11"/>
      <c r="AS1107" t="s" s="10">
        <v>4351</v>
      </c>
      <c r="AT1107" s="11"/>
      <c r="AU1107" s="11"/>
      <c r="AV1107" s="11"/>
      <c r="AW1107" s="11"/>
      <c r="AX1107" s="11"/>
      <c r="AY1107" s="11"/>
      <c r="AZ1107" s="11"/>
      <c r="BA1107" s="11"/>
      <c r="BB1107" s="11"/>
      <c r="BC1107" s="11"/>
      <c r="BD1107" s="11"/>
      <c r="BE1107" s="11"/>
      <c r="BF1107" s="11"/>
      <c r="BG1107" s="11"/>
      <c r="BH1107" s="11"/>
      <c r="BI1107" s="11"/>
      <c r="BJ1107" s="11"/>
      <c r="BK1107" s="11"/>
      <c r="BL1107" s="11"/>
      <c r="BM1107" s="11"/>
      <c r="BN1107" t="s" s="10">
        <v>69</v>
      </c>
      <c r="BO1107" s="12"/>
      <c r="BP1107" s="8"/>
    </row>
    <row r="1108" ht="9" customHeight="1" hidden="1">
      <c r="A1108" t="s" s="13">
        <v>4352</v>
      </c>
      <c r="B1108" s="14"/>
      <c r="C1108" t="str" s="14" cm="1">
        <f t="array" ref="C1108">_xlfn.IFERROR((VLOOKUP(A1108,#REF!,2,FALSE)),"")</f>
      </c>
      <c r="D1108" s="14"/>
      <c r="E1108" t="s" s="15">
        <v>2258</v>
      </c>
      <c r="F1108" s="14"/>
      <c r="G1108" t="s" s="15">
        <v>2715</v>
      </c>
      <c r="H1108" t="s" s="15">
        <v>516</v>
      </c>
      <c r="I1108" t="s" s="15">
        <v>111</v>
      </c>
      <c r="J1108" t="s" s="15">
        <v>469</v>
      </c>
      <c r="K1108" s="14"/>
      <c r="L1108" t="s" s="15">
        <v>83</v>
      </c>
      <c r="M1108" s="14"/>
      <c r="N1108" s="14"/>
      <c r="O1108" t="s" s="15">
        <v>1162</v>
      </c>
      <c r="P1108" s="14"/>
      <c r="Q1108" s="14"/>
      <c r="R1108" t="s" s="15">
        <v>76</v>
      </c>
      <c r="S1108" s="14"/>
      <c r="T1108" s="14"/>
      <c r="U1108" s="14"/>
      <c r="V1108" s="14"/>
      <c r="W1108" s="14"/>
      <c r="X1108" s="14"/>
      <c r="Y1108" s="14"/>
      <c r="Z1108" t="s" s="15">
        <v>83</v>
      </c>
      <c r="AA1108" s="14"/>
      <c r="AB1108" t="s" s="15">
        <v>83</v>
      </c>
      <c r="AC1108" s="14"/>
      <c r="AD1108" s="14"/>
      <c r="AE1108" s="14"/>
      <c r="AF1108" s="14"/>
      <c r="AG1108" t="s" s="15">
        <v>299</v>
      </c>
      <c r="AH1108" t="s" s="15">
        <v>83</v>
      </c>
      <c r="AI1108" t="s" s="15">
        <v>83</v>
      </c>
      <c r="AJ1108" t="s" s="15">
        <v>83</v>
      </c>
      <c r="AK1108" t="s" s="15">
        <v>83</v>
      </c>
      <c r="AL1108" t="s" s="15">
        <v>293</v>
      </c>
      <c r="AM1108" t="s" s="15">
        <v>294</v>
      </c>
      <c r="AN1108" t="s" s="15">
        <v>2700</v>
      </c>
      <c r="AO1108" s="14"/>
      <c r="AP1108" s="14"/>
      <c r="AQ1108" s="14"/>
      <c r="AR1108" s="14"/>
      <c r="AS1108" t="s" s="15">
        <v>2716</v>
      </c>
      <c r="AT1108" s="14"/>
      <c r="AU1108" s="14"/>
      <c r="AV1108" s="14"/>
      <c r="AW1108" s="14"/>
      <c r="AX1108" s="14"/>
      <c r="AY1108" s="14"/>
      <c r="AZ1108" s="14"/>
      <c r="BA1108" s="14"/>
      <c r="BB1108" s="14"/>
      <c r="BC1108" s="14"/>
      <c r="BD1108" s="14"/>
      <c r="BE1108" s="14"/>
      <c r="BF1108" s="14"/>
      <c r="BG1108" s="14"/>
      <c r="BH1108" s="14"/>
      <c r="BI1108" s="14"/>
      <c r="BJ1108" s="14"/>
      <c r="BK1108" s="14"/>
      <c r="BL1108" s="14"/>
      <c r="BM1108" s="14"/>
      <c r="BN1108" t="s" s="15">
        <v>78</v>
      </c>
      <c r="BO1108" s="16"/>
      <c r="BP1108" s="8"/>
    </row>
    <row r="1109" ht="15" customHeight="1" hidden="1">
      <c r="A1109" t="s" s="9">
        <v>4353</v>
      </c>
      <c r="B1109" s="11"/>
      <c r="C1109" t="str" s="11" cm="1">
        <f t="array" ref="C1109">_xlfn.IFERROR((VLOOKUP(A1109,#REF!,2,FALSE)),"")</f>
      </c>
      <c r="D1109" s="11"/>
      <c r="E1109" t="s" s="10">
        <v>2258</v>
      </c>
      <c r="F1109" s="11"/>
      <c r="G1109" t="s" s="10">
        <v>2723</v>
      </c>
      <c r="H1109" t="s" s="10">
        <v>2707</v>
      </c>
      <c r="I1109" t="s" s="10">
        <v>111</v>
      </c>
      <c r="J1109" t="s" s="10">
        <v>469</v>
      </c>
      <c r="K1109" s="11"/>
      <c r="L1109" t="s" s="10">
        <v>83</v>
      </c>
      <c r="M1109" s="11"/>
      <c r="N1109" s="11"/>
      <c r="O1109" t="s" s="10">
        <v>1162</v>
      </c>
      <c r="P1109" s="11"/>
      <c r="Q1109" s="11"/>
      <c r="R1109" t="s" s="10">
        <v>76</v>
      </c>
      <c r="S1109" s="11"/>
      <c r="T1109" s="11"/>
      <c r="U1109" s="11"/>
      <c r="V1109" s="11"/>
      <c r="W1109" s="11"/>
      <c r="X1109" s="11"/>
      <c r="Y1109" s="11"/>
      <c r="Z1109" t="s" s="10">
        <v>83</v>
      </c>
      <c r="AA1109" s="11"/>
      <c r="AB1109" t="s" s="10">
        <v>83</v>
      </c>
      <c r="AC1109" s="11"/>
      <c r="AD1109" s="11"/>
      <c r="AE1109" s="11"/>
      <c r="AF1109" s="11"/>
      <c r="AG1109" t="s" s="10">
        <v>299</v>
      </c>
      <c r="AH1109" t="s" s="10">
        <v>83</v>
      </c>
      <c r="AI1109" t="s" s="10">
        <v>83</v>
      </c>
      <c r="AJ1109" t="s" s="10">
        <v>83</v>
      </c>
      <c r="AK1109" t="s" s="10">
        <v>83</v>
      </c>
      <c r="AL1109" t="s" s="10">
        <v>293</v>
      </c>
      <c r="AM1109" t="s" s="10">
        <v>294</v>
      </c>
      <c r="AN1109" t="s" s="10">
        <v>2700</v>
      </c>
      <c r="AO1109" s="11"/>
      <c r="AP1109" s="11"/>
      <c r="AQ1109" s="11"/>
      <c r="AR1109" s="11"/>
      <c r="AS1109" t="s" s="10">
        <v>2724</v>
      </c>
      <c r="AT1109" s="11"/>
      <c r="AU1109" s="11"/>
      <c r="AV1109" s="11"/>
      <c r="AW1109" s="11"/>
      <c r="AX1109" s="11"/>
      <c r="AY1109" s="11"/>
      <c r="AZ1109" s="11"/>
      <c r="BA1109" s="11"/>
      <c r="BB1109" s="11"/>
      <c r="BC1109" s="11"/>
      <c r="BD1109" s="11"/>
      <c r="BE1109" s="11"/>
      <c r="BF1109" s="11"/>
      <c r="BG1109" s="11"/>
      <c r="BH1109" s="11"/>
      <c r="BI1109" s="11"/>
      <c r="BJ1109" s="11"/>
      <c r="BK1109" s="11"/>
      <c r="BL1109" s="11"/>
      <c r="BM1109" s="11"/>
      <c r="BN1109" t="s" s="10">
        <v>78</v>
      </c>
      <c r="BO1109" s="12"/>
      <c r="BP1109" s="8"/>
    </row>
    <row r="1110" ht="9" customHeight="1" hidden="1">
      <c r="A1110" t="s" s="13">
        <v>4354</v>
      </c>
      <c r="B1110" s="14"/>
      <c r="C1110" t="str" s="14" cm="1">
        <f t="array" ref="C1110">_xlfn.IFERROR((VLOOKUP(A1110,#REF!,2,FALSE)),"")</f>
      </c>
      <c r="D1110" t="s" s="15">
        <v>70</v>
      </c>
      <c r="E1110" t="s" s="15">
        <v>957</v>
      </c>
      <c r="F1110" s="14"/>
      <c r="G1110" t="s" s="15">
        <v>4190</v>
      </c>
      <c r="H1110" t="s" s="15">
        <v>4190</v>
      </c>
      <c r="I1110" t="s" s="15">
        <v>73</v>
      </c>
      <c r="J1110" t="s" s="15">
        <v>452</v>
      </c>
      <c r="K1110" t="s" s="15">
        <v>113</v>
      </c>
      <c r="L1110" t="s" s="15">
        <v>76</v>
      </c>
      <c r="M1110" t="s" s="15">
        <v>77</v>
      </c>
      <c r="N1110" s="14"/>
      <c r="O1110" t="s" s="15">
        <v>71</v>
      </c>
      <c r="P1110" s="14"/>
      <c r="Q1110" t="s" s="15">
        <v>69</v>
      </c>
      <c r="R1110" t="s" s="15">
        <v>71</v>
      </c>
      <c r="S1110" s="14"/>
      <c r="T1110" s="14"/>
      <c r="U1110" s="14"/>
      <c r="V1110" t="s" s="15">
        <v>78</v>
      </c>
      <c r="W1110" t="s" s="15">
        <v>4354</v>
      </c>
      <c r="X1110" t="s" s="15">
        <v>78</v>
      </c>
      <c r="Y1110" s="14"/>
      <c r="Z1110" t="s" s="15">
        <v>76</v>
      </c>
      <c r="AA1110" s="14"/>
      <c r="AB1110" t="s" s="15">
        <v>76</v>
      </c>
      <c r="AC1110" t="s" s="15">
        <v>4354</v>
      </c>
      <c r="AD1110" s="14"/>
      <c r="AE1110" s="14"/>
      <c r="AF1110" s="14"/>
      <c r="AG1110" t="s" s="15">
        <v>453</v>
      </c>
      <c r="AH1110" t="s" s="15">
        <v>106</v>
      </c>
      <c r="AI1110" t="s" s="15">
        <v>76</v>
      </c>
      <c r="AJ1110" t="s" s="15">
        <v>76</v>
      </c>
      <c r="AK1110" t="s" s="15">
        <v>79</v>
      </c>
      <c r="AL1110" t="s" s="15">
        <v>293</v>
      </c>
      <c r="AM1110" t="s" s="15">
        <v>294</v>
      </c>
      <c r="AN1110" s="14"/>
      <c r="AO1110" s="17">
        <v>8</v>
      </c>
      <c r="AP1110" s="17">
        <v>32768</v>
      </c>
      <c r="AQ1110" s="17">
        <v>203464</v>
      </c>
      <c r="AR1110" s="17">
        <v>104071</v>
      </c>
      <c r="AS1110" t="s" s="15">
        <v>4355</v>
      </c>
      <c r="AT1110" s="14"/>
      <c r="AU1110" s="14"/>
      <c r="AV1110" s="14"/>
      <c r="AW1110" s="14"/>
      <c r="AX1110" s="14"/>
      <c r="AY1110" s="14"/>
      <c r="AZ1110" s="14"/>
      <c r="BA1110" s="14"/>
      <c r="BB1110" s="14"/>
      <c r="BC1110" s="14"/>
      <c r="BD1110" s="14"/>
      <c r="BE1110" s="14"/>
      <c r="BF1110" s="14"/>
      <c r="BG1110" s="14"/>
      <c r="BH1110" s="14"/>
      <c r="BI1110" s="14"/>
      <c r="BJ1110" s="14"/>
      <c r="BK1110" s="14"/>
      <c r="BL1110" s="14"/>
      <c r="BM1110" s="14"/>
      <c r="BN1110" s="14"/>
      <c r="BO1110" s="16"/>
      <c r="BP1110" s="8"/>
    </row>
    <row r="1111" ht="9" customHeight="1" hidden="1">
      <c r="A1111" t="s" s="9">
        <v>4356</v>
      </c>
      <c r="B1111" s="11"/>
      <c r="C1111" t="str" s="11" cm="1">
        <f t="array" ref="C1111">_xlfn.IFERROR((VLOOKUP(A1111,#REF!,2,FALSE)),"")</f>
      </c>
      <c r="D1111" s="11"/>
      <c r="E1111" s="11"/>
      <c r="F1111" s="11"/>
      <c r="G1111" t="s" s="10">
        <v>4357</v>
      </c>
      <c r="H1111" t="s" s="10">
        <v>3128</v>
      </c>
      <c r="I1111" t="s" s="10">
        <v>111</v>
      </c>
      <c r="J1111" t="s" s="10">
        <v>122</v>
      </c>
      <c r="K1111" t="s" s="10">
        <v>113</v>
      </c>
      <c r="L1111" t="s" s="10">
        <v>2097</v>
      </c>
      <c r="M1111" t="s" s="10">
        <v>4357</v>
      </c>
      <c r="N1111" t="s" s="10">
        <v>4357</v>
      </c>
      <c r="O1111" s="11"/>
      <c r="P1111" t="s" s="10">
        <v>122</v>
      </c>
      <c r="Q1111" t="s" s="10">
        <v>69</v>
      </c>
      <c r="R1111" t="s" s="10">
        <v>323</v>
      </c>
      <c r="S1111" s="11"/>
      <c r="T1111" s="11"/>
      <c r="U1111" s="11"/>
      <c r="V1111" t="s" s="10">
        <v>69</v>
      </c>
      <c r="W1111" s="11"/>
      <c r="X1111" t="s" s="10">
        <v>69</v>
      </c>
      <c r="Y1111" s="11"/>
      <c r="Z1111" t="s" s="10">
        <v>205</v>
      </c>
      <c r="AA1111" s="11"/>
      <c r="AB1111" t="s" s="10">
        <v>2098</v>
      </c>
      <c r="AC1111" t="s" s="10">
        <v>4356</v>
      </c>
      <c r="AD1111" s="11"/>
      <c r="AE1111" s="11"/>
      <c r="AF1111" s="11"/>
      <c r="AG1111" t="s" s="10">
        <v>299</v>
      </c>
      <c r="AH1111" t="s" s="10">
        <v>114</v>
      </c>
      <c r="AI1111" t="s" s="10">
        <v>440</v>
      </c>
      <c r="AJ1111" s="11"/>
      <c r="AK1111" t="s" s="10">
        <v>292</v>
      </c>
      <c r="AL1111" t="s" s="10">
        <v>293</v>
      </c>
      <c r="AM1111" t="s" s="10">
        <v>294</v>
      </c>
      <c r="AN1111" t="s" s="10">
        <v>116</v>
      </c>
      <c r="AO1111" s="18">
        <v>8</v>
      </c>
      <c r="AP1111" s="18">
        <v>32768</v>
      </c>
      <c r="AQ1111" s="18">
        <v>203609</v>
      </c>
      <c r="AR1111" s="18">
        <v>159357</v>
      </c>
      <c r="AS1111" t="s" s="10">
        <v>4358</v>
      </c>
      <c r="AT1111" s="11"/>
      <c r="AU1111" s="11"/>
      <c r="AV1111" s="11"/>
      <c r="AW1111" s="11"/>
      <c r="AX1111" s="11"/>
      <c r="AY1111" s="11"/>
      <c r="AZ1111" s="11"/>
      <c r="BA1111" s="11"/>
      <c r="BB1111" s="11"/>
      <c r="BC1111" s="11"/>
      <c r="BD1111" t="s" s="10">
        <v>366</v>
      </c>
      <c r="BE1111" t="s" s="10">
        <v>367</v>
      </c>
      <c r="BF1111" s="18">
        <v>8</v>
      </c>
      <c r="BG1111" s="18">
        <v>32</v>
      </c>
      <c r="BH1111" s="11"/>
      <c r="BI1111" s="11"/>
      <c r="BJ1111" s="11"/>
      <c r="BK1111" s="11"/>
      <c r="BL1111" s="11"/>
      <c r="BM1111" s="11"/>
      <c r="BN1111" t="s" s="10">
        <v>78</v>
      </c>
      <c r="BO1111" s="12"/>
      <c r="BP1111" s="8"/>
    </row>
    <row r="1112" ht="9" customHeight="1" hidden="1">
      <c r="A1112" t="s" s="13">
        <v>4359</v>
      </c>
      <c r="B1112" s="14"/>
      <c r="C1112" t="str" s="14" cm="1">
        <f t="array" ref="C1112">_xlfn.IFERROR((VLOOKUP(A1112,#REF!,2,FALSE)),"")</f>
      </c>
      <c r="D1112" s="14"/>
      <c r="E1112" s="14"/>
      <c r="F1112" s="14"/>
      <c r="G1112" t="s" s="15">
        <v>4360</v>
      </c>
      <c r="H1112" t="s" s="15">
        <v>3128</v>
      </c>
      <c r="I1112" t="s" s="15">
        <v>111</v>
      </c>
      <c r="J1112" t="s" s="15">
        <v>122</v>
      </c>
      <c r="K1112" t="s" s="15">
        <v>113</v>
      </c>
      <c r="L1112" t="s" s="15">
        <v>2097</v>
      </c>
      <c r="M1112" t="s" s="15">
        <v>4360</v>
      </c>
      <c r="N1112" t="s" s="15">
        <v>4360</v>
      </c>
      <c r="O1112" s="14"/>
      <c r="P1112" t="s" s="15">
        <v>122</v>
      </c>
      <c r="Q1112" t="s" s="15">
        <v>69</v>
      </c>
      <c r="R1112" t="s" s="15">
        <v>323</v>
      </c>
      <c r="S1112" s="14"/>
      <c r="T1112" s="14"/>
      <c r="U1112" s="14"/>
      <c r="V1112" t="s" s="15">
        <v>69</v>
      </c>
      <c r="W1112" s="14"/>
      <c r="X1112" t="s" s="15">
        <v>69</v>
      </c>
      <c r="Y1112" s="14"/>
      <c r="Z1112" t="s" s="15">
        <v>205</v>
      </c>
      <c r="AA1112" s="14"/>
      <c r="AB1112" t="s" s="15">
        <v>2098</v>
      </c>
      <c r="AC1112" t="s" s="15">
        <v>4359</v>
      </c>
      <c r="AD1112" s="14"/>
      <c r="AE1112" s="14"/>
      <c r="AF1112" s="14"/>
      <c r="AG1112" t="s" s="15">
        <v>299</v>
      </c>
      <c r="AH1112" t="s" s="15">
        <v>114</v>
      </c>
      <c r="AI1112" t="s" s="15">
        <v>440</v>
      </c>
      <c r="AJ1112" s="14"/>
      <c r="AK1112" t="s" s="15">
        <v>292</v>
      </c>
      <c r="AL1112" t="s" s="15">
        <v>293</v>
      </c>
      <c r="AM1112" t="s" s="15">
        <v>294</v>
      </c>
      <c r="AN1112" t="s" s="15">
        <v>116</v>
      </c>
      <c r="AO1112" s="17">
        <v>8</v>
      </c>
      <c r="AP1112" s="17">
        <v>33792</v>
      </c>
      <c r="AQ1112" s="17">
        <v>203608</v>
      </c>
      <c r="AR1112" s="17">
        <v>161645</v>
      </c>
      <c r="AS1112" t="s" s="15">
        <v>4361</v>
      </c>
      <c r="AT1112" s="14"/>
      <c r="AU1112" s="14"/>
      <c r="AV1112" s="14"/>
      <c r="AW1112" s="14"/>
      <c r="AX1112" s="14"/>
      <c r="AY1112" s="14"/>
      <c r="AZ1112" s="14"/>
      <c r="BA1112" s="14"/>
      <c r="BB1112" s="14"/>
      <c r="BC1112" s="14"/>
      <c r="BD1112" t="s" s="15">
        <v>366</v>
      </c>
      <c r="BE1112" t="s" s="15">
        <v>367</v>
      </c>
      <c r="BF1112" s="17">
        <v>8</v>
      </c>
      <c r="BG1112" s="17">
        <v>32</v>
      </c>
      <c r="BH1112" s="14"/>
      <c r="BI1112" s="14"/>
      <c r="BJ1112" s="14"/>
      <c r="BK1112" s="14"/>
      <c r="BL1112" s="14"/>
      <c r="BM1112" s="14"/>
      <c r="BN1112" t="s" s="15">
        <v>78</v>
      </c>
      <c r="BO1112" s="16"/>
      <c r="BP1112" s="8"/>
    </row>
    <row r="1113" ht="9" customHeight="1" hidden="1">
      <c r="A1113" t="s" s="9">
        <v>4362</v>
      </c>
      <c r="B1113" s="11"/>
      <c r="C1113" t="str" s="11" cm="1">
        <f t="array" ref="C1113">_xlfn.IFERROR((VLOOKUP(A1113,#REF!,2,FALSE)),"")</f>
      </c>
      <c r="D1113" s="11"/>
      <c r="E1113" s="11"/>
      <c r="F1113" s="11"/>
      <c r="G1113" t="s" s="10">
        <v>4363</v>
      </c>
      <c r="H1113" t="s" s="10">
        <v>3128</v>
      </c>
      <c r="I1113" t="s" s="10">
        <v>111</v>
      </c>
      <c r="J1113" t="s" s="10">
        <v>122</v>
      </c>
      <c r="K1113" t="s" s="10">
        <v>113</v>
      </c>
      <c r="L1113" t="s" s="10">
        <v>2097</v>
      </c>
      <c r="M1113" t="s" s="10">
        <v>4363</v>
      </c>
      <c r="N1113" t="s" s="10">
        <v>4363</v>
      </c>
      <c r="O1113" s="11"/>
      <c r="P1113" t="s" s="10">
        <v>122</v>
      </c>
      <c r="Q1113" t="s" s="10">
        <v>69</v>
      </c>
      <c r="R1113" t="s" s="10">
        <v>323</v>
      </c>
      <c r="S1113" s="11"/>
      <c r="T1113" s="11"/>
      <c r="U1113" s="11"/>
      <c r="V1113" t="s" s="10">
        <v>69</v>
      </c>
      <c r="W1113" s="11"/>
      <c r="X1113" t="s" s="10">
        <v>69</v>
      </c>
      <c r="Y1113" s="11"/>
      <c r="Z1113" t="s" s="10">
        <v>205</v>
      </c>
      <c r="AA1113" s="11"/>
      <c r="AB1113" t="s" s="10">
        <v>2098</v>
      </c>
      <c r="AC1113" t="s" s="10">
        <v>4362</v>
      </c>
      <c r="AD1113" s="11"/>
      <c r="AE1113" s="11"/>
      <c r="AF1113" s="11"/>
      <c r="AG1113" t="s" s="10">
        <v>299</v>
      </c>
      <c r="AH1113" t="s" s="10">
        <v>114</v>
      </c>
      <c r="AI1113" t="s" s="10">
        <v>440</v>
      </c>
      <c r="AJ1113" s="11"/>
      <c r="AK1113" t="s" s="10">
        <v>292</v>
      </c>
      <c r="AL1113" t="s" s="10">
        <v>293</v>
      </c>
      <c r="AM1113" t="s" s="10">
        <v>294</v>
      </c>
      <c r="AN1113" t="s" s="10">
        <v>116</v>
      </c>
      <c r="AO1113" s="18">
        <v>8</v>
      </c>
      <c r="AP1113" s="18">
        <v>32768</v>
      </c>
      <c r="AQ1113" s="18">
        <v>276709</v>
      </c>
      <c r="AR1113" s="18">
        <v>216947</v>
      </c>
      <c r="AS1113" t="s" s="10">
        <v>4364</v>
      </c>
      <c r="AT1113" s="11"/>
      <c r="AU1113" s="11"/>
      <c r="AV1113" s="11"/>
      <c r="AW1113" s="11"/>
      <c r="AX1113" s="11"/>
      <c r="AY1113" s="11"/>
      <c r="AZ1113" s="11"/>
      <c r="BA1113" s="11"/>
      <c r="BB1113" s="11"/>
      <c r="BC1113" s="11"/>
      <c r="BD1113" t="s" s="10">
        <v>366</v>
      </c>
      <c r="BE1113" t="s" s="10">
        <v>367</v>
      </c>
      <c r="BF1113" s="18">
        <v>8</v>
      </c>
      <c r="BG1113" s="18">
        <v>32</v>
      </c>
      <c r="BH1113" s="11"/>
      <c r="BI1113" s="11"/>
      <c r="BJ1113" s="11"/>
      <c r="BK1113" s="11"/>
      <c r="BL1113" s="11"/>
      <c r="BM1113" s="11"/>
      <c r="BN1113" t="s" s="10">
        <v>78</v>
      </c>
      <c r="BO1113" s="12"/>
      <c r="BP1113" s="8"/>
    </row>
    <row r="1114" ht="9" customHeight="1" hidden="1">
      <c r="A1114" t="s" s="13">
        <v>4365</v>
      </c>
      <c r="B1114" s="14"/>
      <c r="C1114" t="str" s="14" cm="1">
        <f t="array" ref="C1114">_xlfn.IFERROR((VLOOKUP(A1114,#REF!,2,FALSE)),"")</f>
      </c>
      <c r="D1114" s="14"/>
      <c r="E1114" s="14"/>
      <c r="F1114" s="14"/>
      <c r="G1114" t="s" s="15">
        <v>4366</v>
      </c>
      <c r="H1114" t="s" s="15">
        <v>3128</v>
      </c>
      <c r="I1114" t="s" s="15">
        <v>111</v>
      </c>
      <c r="J1114" t="s" s="15">
        <v>122</v>
      </c>
      <c r="K1114" t="s" s="15">
        <v>113</v>
      </c>
      <c r="L1114" t="s" s="15">
        <v>2097</v>
      </c>
      <c r="M1114" t="s" s="15">
        <v>4366</v>
      </c>
      <c r="N1114" t="s" s="15">
        <v>4366</v>
      </c>
      <c r="O1114" s="14"/>
      <c r="P1114" t="s" s="15">
        <v>122</v>
      </c>
      <c r="Q1114" t="s" s="15">
        <v>69</v>
      </c>
      <c r="R1114" t="s" s="15">
        <v>323</v>
      </c>
      <c r="S1114" s="14"/>
      <c r="T1114" s="14"/>
      <c r="U1114" s="14"/>
      <c r="V1114" t="s" s="15">
        <v>69</v>
      </c>
      <c r="W1114" s="14"/>
      <c r="X1114" t="s" s="15">
        <v>69</v>
      </c>
      <c r="Y1114" s="14"/>
      <c r="Z1114" t="s" s="15">
        <v>205</v>
      </c>
      <c r="AA1114" s="14"/>
      <c r="AB1114" t="s" s="15">
        <v>2098</v>
      </c>
      <c r="AC1114" t="s" s="15">
        <v>4365</v>
      </c>
      <c r="AD1114" s="14"/>
      <c r="AE1114" s="14"/>
      <c r="AF1114" s="14"/>
      <c r="AG1114" t="s" s="15">
        <v>299</v>
      </c>
      <c r="AH1114" t="s" s="15">
        <v>114</v>
      </c>
      <c r="AI1114" t="s" s="15">
        <v>440</v>
      </c>
      <c r="AJ1114" s="14"/>
      <c r="AK1114" t="s" s="15">
        <v>292</v>
      </c>
      <c r="AL1114" t="s" s="15">
        <v>293</v>
      </c>
      <c r="AM1114" t="s" s="15">
        <v>294</v>
      </c>
      <c r="AN1114" t="s" s="15">
        <v>116</v>
      </c>
      <c r="AO1114" s="17">
        <v>8</v>
      </c>
      <c r="AP1114" s="17">
        <v>33792</v>
      </c>
      <c r="AQ1114" s="17">
        <v>203608</v>
      </c>
      <c r="AR1114" s="17">
        <v>162308</v>
      </c>
      <c r="AS1114" t="s" s="15">
        <v>4367</v>
      </c>
      <c r="AT1114" s="14"/>
      <c r="AU1114" s="14"/>
      <c r="AV1114" s="14"/>
      <c r="AW1114" s="14"/>
      <c r="AX1114" s="14"/>
      <c r="AY1114" s="14"/>
      <c r="AZ1114" s="14"/>
      <c r="BA1114" s="14"/>
      <c r="BB1114" s="14"/>
      <c r="BC1114" s="14"/>
      <c r="BD1114" t="s" s="15">
        <v>366</v>
      </c>
      <c r="BE1114" t="s" s="15">
        <v>367</v>
      </c>
      <c r="BF1114" s="17">
        <v>8</v>
      </c>
      <c r="BG1114" s="17">
        <v>32</v>
      </c>
      <c r="BH1114" s="14"/>
      <c r="BI1114" s="14"/>
      <c r="BJ1114" s="14"/>
      <c r="BK1114" s="14"/>
      <c r="BL1114" s="14"/>
      <c r="BM1114" s="14"/>
      <c r="BN1114" t="s" s="15">
        <v>78</v>
      </c>
      <c r="BO1114" s="16"/>
      <c r="BP1114" s="8"/>
    </row>
    <row r="1115" ht="9" customHeight="1" hidden="1">
      <c r="A1115" t="s" s="9">
        <v>4368</v>
      </c>
      <c r="B1115" s="11"/>
      <c r="C1115" t="str" s="11" cm="1">
        <f t="array" ref="C1115">_xlfn.IFERROR((VLOOKUP(A1115,#REF!,2,FALSE)),"")</f>
      </c>
      <c r="D1115" s="11"/>
      <c r="E1115" s="11"/>
      <c r="F1115" s="11"/>
      <c r="G1115" t="s" s="10">
        <v>4357</v>
      </c>
      <c r="H1115" t="s" s="10">
        <v>3128</v>
      </c>
      <c r="I1115" t="s" s="10">
        <v>111</v>
      </c>
      <c r="J1115" t="s" s="10">
        <v>322</v>
      </c>
      <c r="K1115" t="s" s="10">
        <v>113</v>
      </c>
      <c r="L1115" t="s" s="10">
        <v>2097</v>
      </c>
      <c r="M1115" t="s" s="10">
        <v>4357</v>
      </c>
      <c r="N1115" t="s" s="10">
        <v>4357</v>
      </c>
      <c r="O1115" s="11"/>
      <c r="P1115" t="s" s="10">
        <v>322</v>
      </c>
      <c r="Q1115" t="s" s="10">
        <v>69</v>
      </c>
      <c r="R1115" t="s" s="10">
        <v>323</v>
      </c>
      <c r="S1115" s="11"/>
      <c r="T1115" s="11"/>
      <c r="U1115" s="11"/>
      <c r="V1115" t="s" s="10">
        <v>69</v>
      </c>
      <c r="W1115" s="11"/>
      <c r="X1115" t="s" s="10">
        <v>69</v>
      </c>
      <c r="Y1115" s="11"/>
      <c r="Z1115" t="s" s="10">
        <v>205</v>
      </c>
      <c r="AA1115" s="11"/>
      <c r="AB1115" t="s" s="10">
        <v>2098</v>
      </c>
      <c r="AC1115" t="s" s="10">
        <v>4368</v>
      </c>
      <c r="AD1115" s="11"/>
      <c r="AE1115" s="11"/>
      <c r="AF1115" s="11"/>
      <c r="AG1115" t="s" s="10">
        <v>299</v>
      </c>
      <c r="AH1115" t="s" s="10">
        <v>114</v>
      </c>
      <c r="AI1115" t="s" s="10">
        <v>440</v>
      </c>
      <c r="AJ1115" s="11"/>
      <c r="AK1115" t="s" s="10">
        <v>292</v>
      </c>
      <c r="AL1115" t="s" s="10">
        <v>293</v>
      </c>
      <c r="AM1115" t="s" s="10">
        <v>294</v>
      </c>
      <c r="AN1115" t="s" s="10">
        <v>116</v>
      </c>
      <c r="AO1115" s="18">
        <v>8</v>
      </c>
      <c r="AP1115" s="18">
        <v>32768</v>
      </c>
      <c r="AQ1115" s="18">
        <v>214852</v>
      </c>
      <c r="AR1115" s="18">
        <v>148726</v>
      </c>
      <c r="AS1115" t="s" s="10">
        <v>4369</v>
      </c>
      <c r="AT1115" s="11"/>
      <c r="AU1115" s="11"/>
      <c r="AV1115" s="11"/>
      <c r="AW1115" s="11"/>
      <c r="AX1115" s="11"/>
      <c r="AY1115" s="11"/>
      <c r="AZ1115" s="11"/>
      <c r="BA1115" s="11"/>
      <c r="BB1115" s="11"/>
      <c r="BC1115" s="11"/>
      <c r="BD1115" t="s" s="10">
        <v>366</v>
      </c>
      <c r="BE1115" t="s" s="10">
        <v>367</v>
      </c>
      <c r="BF1115" s="18">
        <v>8</v>
      </c>
      <c r="BG1115" s="18">
        <v>32</v>
      </c>
      <c r="BH1115" s="11"/>
      <c r="BI1115" s="11"/>
      <c r="BJ1115" s="11"/>
      <c r="BK1115" s="11"/>
      <c r="BL1115" s="11"/>
      <c r="BM1115" s="11"/>
      <c r="BN1115" t="s" s="10">
        <v>78</v>
      </c>
      <c r="BO1115" s="12"/>
      <c r="BP1115" s="8"/>
    </row>
    <row r="1116" ht="9" customHeight="1" hidden="1">
      <c r="A1116" t="s" s="13">
        <v>4370</v>
      </c>
      <c r="B1116" s="14"/>
      <c r="C1116" t="str" s="14" cm="1">
        <f t="array" ref="C1116">_xlfn.IFERROR((VLOOKUP(A1116,#REF!,2,FALSE)),"")</f>
      </c>
      <c r="D1116" t="s" s="15">
        <v>70</v>
      </c>
      <c r="E1116" t="s" s="15">
        <v>450</v>
      </c>
      <c r="F1116" s="14"/>
      <c r="G1116" t="s" s="15">
        <v>4371</v>
      </c>
      <c r="H1116" t="s" s="15">
        <v>4372</v>
      </c>
      <c r="I1116" t="s" s="15">
        <v>111</v>
      </c>
      <c r="J1116" t="s" s="15">
        <v>452</v>
      </c>
      <c r="K1116" t="s" s="15">
        <v>127</v>
      </c>
      <c r="L1116" t="s" s="15">
        <v>76</v>
      </c>
      <c r="M1116" t="s" s="15">
        <v>4371</v>
      </c>
      <c r="N1116" s="14"/>
      <c r="O1116" s="14"/>
      <c r="P1116" t="s" s="15">
        <v>452</v>
      </c>
      <c r="Q1116" t="s" s="15">
        <v>69</v>
      </c>
      <c r="R1116" t="s" s="15">
        <v>83</v>
      </c>
      <c r="S1116" s="14"/>
      <c r="T1116" s="14"/>
      <c r="U1116" s="14"/>
      <c r="V1116" t="s" s="15">
        <v>78</v>
      </c>
      <c r="W1116" s="14"/>
      <c r="X1116" t="s" s="15">
        <v>78</v>
      </c>
      <c r="Y1116" s="14"/>
      <c r="Z1116" t="s" s="15">
        <v>76</v>
      </c>
      <c r="AA1116" s="14"/>
      <c r="AB1116" t="s" s="15">
        <v>76</v>
      </c>
      <c r="AC1116" t="s" s="15">
        <v>4370</v>
      </c>
      <c r="AD1116" t="s" s="15">
        <v>1188</v>
      </c>
      <c r="AE1116" s="14"/>
      <c r="AF1116" s="14"/>
      <c r="AG1116" t="s" s="15">
        <v>453</v>
      </c>
      <c r="AH1116" t="s" s="15">
        <v>106</v>
      </c>
      <c r="AI1116" t="s" s="15">
        <v>76</v>
      </c>
      <c r="AJ1116" t="s" s="15">
        <v>76</v>
      </c>
      <c r="AK1116" t="s" s="15">
        <v>79</v>
      </c>
      <c r="AL1116" t="s" s="15">
        <v>293</v>
      </c>
      <c r="AM1116" t="s" s="15">
        <v>294</v>
      </c>
      <c r="AN1116" s="14"/>
      <c r="AO1116" s="17">
        <v>4</v>
      </c>
      <c r="AP1116" s="17">
        <v>16384</v>
      </c>
      <c r="AQ1116" s="17">
        <v>733445</v>
      </c>
      <c r="AR1116" s="17">
        <v>557285</v>
      </c>
      <c r="AS1116" t="s" s="15">
        <v>1188</v>
      </c>
      <c r="AT1116" s="14"/>
      <c r="AU1116" s="14"/>
      <c r="AV1116" s="14"/>
      <c r="AW1116" s="14"/>
      <c r="AX1116" s="14"/>
      <c r="AY1116" s="14"/>
      <c r="AZ1116" s="14"/>
      <c r="BA1116" s="14"/>
      <c r="BB1116" s="14"/>
      <c r="BC1116" s="14"/>
      <c r="BD1116" s="14"/>
      <c r="BE1116" s="14"/>
      <c r="BF1116" s="14"/>
      <c r="BG1116" s="14"/>
      <c r="BH1116" s="14"/>
      <c r="BI1116" s="14"/>
      <c r="BJ1116" s="14"/>
      <c r="BK1116" s="14"/>
      <c r="BL1116" s="14"/>
      <c r="BM1116" s="14"/>
      <c r="BN1116" t="s" s="15">
        <v>78</v>
      </c>
      <c r="BO1116" s="16"/>
      <c r="BP1116" s="8"/>
    </row>
    <row r="1117" ht="9" customHeight="1" hidden="1">
      <c r="A1117" t="s" s="9">
        <v>4373</v>
      </c>
      <c r="B1117" s="11"/>
      <c r="C1117" t="str" s="11" cm="1">
        <f t="array" ref="C1117">_xlfn.IFERROR((VLOOKUP(A1117,#REF!,2,FALSE)),"")</f>
      </c>
      <c r="D1117" t="s" s="10">
        <v>70</v>
      </c>
      <c r="E1117" t="s" s="10">
        <v>450</v>
      </c>
      <c r="F1117" s="11"/>
      <c r="G1117" t="s" s="10">
        <v>4374</v>
      </c>
      <c r="H1117" t="s" s="10">
        <v>4375</v>
      </c>
      <c r="I1117" t="s" s="10">
        <v>111</v>
      </c>
      <c r="J1117" t="s" s="10">
        <v>452</v>
      </c>
      <c r="K1117" t="s" s="10">
        <v>113</v>
      </c>
      <c r="L1117" t="s" s="10">
        <v>76</v>
      </c>
      <c r="M1117" t="s" s="10">
        <v>4374</v>
      </c>
      <c r="N1117" s="11"/>
      <c r="O1117" s="11"/>
      <c r="P1117" t="s" s="10">
        <v>452</v>
      </c>
      <c r="Q1117" t="s" s="10">
        <v>69</v>
      </c>
      <c r="R1117" t="s" s="10">
        <v>83</v>
      </c>
      <c r="S1117" s="11"/>
      <c r="T1117" s="11"/>
      <c r="U1117" s="11"/>
      <c r="V1117" t="s" s="10">
        <v>69</v>
      </c>
      <c r="W1117" s="11"/>
      <c r="X1117" t="s" s="10">
        <v>78</v>
      </c>
      <c r="Y1117" s="11"/>
      <c r="Z1117" t="s" s="10">
        <v>76</v>
      </c>
      <c r="AA1117" s="11"/>
      <c r="AB1117" t="s" s="10">
        <v>76</v>
      </c>
      <c r="AC1117" t="s" s="10">
        <v>4373</v>
      </c>
      <c r="AD1117" t="s" s="10">
        <v>4376</v>
      </c>
      <c r="AE1117" s="11"/>
      <c r="AF1117" s="11"/>
      <c r="AG1117" t="s" s="10">
        <v>453</v>
      </c>
      <c r="AH1117" t="s" s="10">
        <v>106</v>
      </c>
      <c r="AI1117" t="s" s="10">
        <v>76</v>
      </c>
      <c r="AJ1117" t="s" s="10">
        <v>76</v>
      </c>
      <c r="AK1117" t="s" s="10">
        <v>79</v>
      </c>
      <c r="AL1117" t="s" s="10">
        <v>293</v>
      </c>
      <c r="AM1117" t="s" s="10">
        <v>294</v>
      </c>
      <c r="AN1117" t="s" s="10">
        <v>187</v>
      </c>
      <c r="AO1117" s="18">
        <v>8</v>
      </c>
      <c r="AP1117" s="18">
        <v>10240</v>
      </c>
      <c r="AQ1117" s="18">
        <v>1443945</v>
      </c>
      <c r="AR1117" s="18">
        <v>957725</v>
      </c>
      <c r="AS1117" t="s" s="10">
        <v>4377</v>
      </c>
      <c r="AT1117" s="11"/>
      <c r="AU1117" s="11"/>
      <c r="AV1117" s="11"/>
      <c r="AW1117" s="11"/>
      <c r="AX1117" s="11"/>
      <c r="AY1117" s="11"/>
      <c r="AZ1117" s="11"/>
      <c r="BA1117" s="11"/>
      <c r="BB1117" s="11"/>
      <c r="BC1117" s="11"/>
      <c r="BD1117" s="11"/>
      <c r="BE1117" s="11"/>
      <c r="BF1117" s="11"/>
      <c r="BG1117" s="11"/>
      <c r="BH1117" s="11"/>
      <c r="BI1117" s="11"/>
      <c r="BJ1117" s="11"/>
      <c r="BK1117" s="11"/>
      <c r="BL1117" s="11"/>
      <c r="BM1117" s="11"/>
      <c r="BN1117" t="s" s="10">
        <v>78</v>
      </c>
      <c r="BO1117" s="12"/>
      <c r="BP1117" s="8"/>
    </row>
    <row r="1118" ht="9" customHeight="1" hidden="1">
      <c r="A1118" t="s" s="13">
        <v>4378</v>
      </c>
      <c r="B1118" s="14"/>
      <c r="C1118" t="str" s="14" cm="1">
        <f t="array" ref="C1118">_xlfn.IFERROR((VLOOKUP(A1118,#REF!,2,FALSE)),"")</f>
      </c>
      <c r="D1118" t="s" s="15">
        <v>70</v>
      </c>
      <c r="E1118" t="s" s="15">
        <v>450</v>
      </c>
      <c r="F1118" s="14"/>
      <c r="G1118" t="s" s="15">
        <v>4379</v>
      </c>
      <c r="H1118" t="s" s="15">
        <v>550</v>
      </c>
      <c r="I1118" t="s" s="15">
        <v>111</v>
      </c>
      <c r="J1118" t="s" s="15">
        <v>452</v>
      </c>
      <c r="K1118" t="s" s="15">
        <v>113</v>
      </c>
      <c r="L1118" t="s" s="15">
        <v>518</v>
      </c>
      <c r="M1118" t="s" s="15">
        <v>4379</v>
      </c>
      <c r="N1118" s="14"/>
      <c r="O1118" s="14"/>
      <c r="P1118" t="s" s="15">
        <v>452</v>
      </c>
      <c r="Q1118" t="s" s="15">
        <v>69</v>
      </c>
      <c r="R1118" t="s" s="15">
        <v>83</v>
      </c>
      <c r="S1118" s="14"/>
      <c r="T1118" t="s" s="15">
        <v>69</v>
      </c>
      <c r="U1118" s="14"/>
      <c r="V1118" t="s" s="15">
        <v>69</v>
      </c>
      <c r="W1118" s="14"/>
      <c r="X1118" t="s" s="15">
        <v>78</v>
      </c>
      <c r="Y1118" s="14"/>
      <c r="Z1118" t="s" s="15">
        <v>552</v>
      </c>
      <c r="AA1118" s="14"/>
      <c r="AB1118" t="s" s="15">
        <v>553</v>
      </c>
      <c r="AC1118" t="s" s="15">
        <v>4378</v>
      </c>
      <c r="AD1118" s="14"/>
      <c r="AE1118" s="14"/>
      <c r="AF1118" s="14"/>
      <c r="AG1118" t="s" s="15">
        <v>453</v>
      </c>
      <c r="AH1118" s="14"/>
      <c r="AI1118" t="s" s="15">
        <v>440</v>
      </c>
      <c r="AJ1118" s="14"/>
      <c r="AK1118" t="s" s="15">
        <v>524</v>
      </c>
      <c r="AL1118" t="s" s="15">
        <v>293</v>
      </c>
      <c r="AM1118" t="s" s="15">
        <v>294</v>
      </c>
      <c r="AN1118" t="s" s="15">
        <v>128</v>
      </c>
      <c r="AO1118" s="17">
        <v>8</v>
      </c>
      <c r="AP1118" s="17">
        <v>20480</v>
      </c>
      <c r="AQ1118" s="17">
        <v>328095</v>
      </c>
      <c r="AR1118" s="17">
        <v>296812</v>
      </c>
      <c r="AS1118" t="s" s="15">
        <v>4380</v>
      </c>
      <c r="AT1118" s="14"/>
      <c r="AU1118" s="14"/>
      <c r="AV1118" s="14"/>
      <c r="AW1118" s="14"/>
      <c r="AX1118" s="14"/>
      <c r="AY1118" s="14"/>
      <c r="AZ1118" s="14"/>
      <c r="BA1118" s="14"/>
      <c r="BB1118" s="14"/>
      <c r="BC1118" s="14"/>
      <c r="BD1118" s="14"/>
      <c r="BE1118" s="14"/>
      <c r="BF1118" s="14"/>
      <c r="BG1118" s="14"/>
      <c r="BH1118" s="14"/>
      <c r="BI1118" s="14"/>
      <c r="BJ1118" s="14"/>
      <c r="BK1118" s="14"/>
      <c r="BL1118" s="14"/>
      <c r="BM1118" s="14"/>
      <c r="BN1118" t="s" s="15">
        <v>78</v>
      </c>
      <c r="BO1118" s="16"/>
      <c r="BP1118" s="8"/>
    </row>
    <row r="1119" ht="9" customHeight="1" hidden="1">
      <c r="A1119" t="s" s="9">
        <v>4381</v>
      </c>
      <c r="B1119" s="11"/>
      <c r="C1119" t="str" s="11" cm="1">
        <f t="array" ref="C1119">_xlfn.IFERROR((VLOOKUP(A1119,#REF!,2,FALSE)),"")</f>
      </c>
      <c r="D1119" t="s" s="10">
        <v>70</v>
      </c>
      <c r="E1119" t="s" s="10">
        <v>450</v>
      </c>
      <c r="F1119" s="11"/>
      <c r="G1119" t="s" s="10">
        <v>4382</v>
      </c>
      <c r="H1119" t="s" s="10">
        <v>550</v>
      </c>
      <c r="I1119" t="s" s="10">
        <v>111</v>
      </c>
      <c r="J1119" t="s" s="10">
        <v>452</v>
      </c>
      <c r="K1119" t="s" s="10">
        <v>113</v>
      </c>
      <c r="L1119" t="s" s="10">
        <v>518</v>
      </c>
      <c r="M1119" t="s" s="10">
        <v>4382</v>
      </c>
      <c r="N1119" s="11"/>
      <c r="O1119" s="11"/>
      <c r="P1119" t="s" s="10">
        <v>452</v>
      </c>
      <c r="Q1119" t="s" s="10">
        <v>69</v>
      </c>
      <c r="R1119" t="s" s="10">
        <v>83</v>
      </c>
      <c r="S1119" s="11"/>
      <c r="T1119" t="s" s="10">
        <v>69</v>
      </c>
      <c r="U1119" s="11"/>
      <c r="V1119" t="s" s="10">
        <v>69</v>
      </c>
      <c r="W1119" s="11"/>
      <c r="X1119" t="s" s="10">
        <v>78</v>
      </c>
      <c r="Y1119" s="11"/>
      <c r="Z1119" t="s" s="10">
        <v>552</v>
      </c>
      <c r="AA1119" s="11"/>
      <c r="AB1119" t="s" s="10">
        <v>553</v>
      </c>
      <c r="AC1119" t="s" s="10">
        <v>4381</v>
      </c>
      <c r="AD1119" s="11"/>
      <c r="AE1119" s="11"/>
      <c r="AF1119" s="11"/>
      <c r="AG1119" t="s" s="10">
        <v>453</v>
      </c>
      <c r="AH1119" s="11"/>
      <c r="AI1119" t="s" s="10">
        <v>440</v>
      </c>
      <c r="AJ1119" s="11"/>
      <c r="AK1119" t="s" s="10">
        <v>524</v>
      </c>
      <c r="AL1119" t="s" s="10">
        <v>293</v>
      </c>
      <c r="AM1119" t="s" s="10">
        <v>294</v>
      </c>
      <c r="AN1119" t="s" s="10">
        <v>128</v>
      </c>
      <c r="AO1119" s="18">
        <v>8</v>
      </c>
      <c r="AP1119" s="18">
        <v>8192</v>
      </c>
      <c r="AQ1119" s="18">
        <v>223641</v>
      </c>
      <c r="AR1119" s="18">
        <v>144035</v>
      </c>
      <c r="AS1119" t="s" s="10">
        <v>4383</v>
      </c>
      <c r="AT1119" s="11"/>
      <c r="AU1119" s="11"/>
      <c r="AV1119" s="11"/>
      <c r="AW1119" s="11"/>
      <c r="AX1119" s="11"/>
      <c r="AY1119" s="11"/>
      <c r="AZ1119" s="11"/>
      <c r="BA1119" s="11"/>
      <c r="BB1119" s="11"/>
      <c r="BC1119" s="11"/>
      <c r="BD1119" s="11"/>
      <c r="BE1119" s="11"/>
      <c r="BF1119" s="11"/>
      <c r="BG1119" s="11"/>
      <c r="BH1119" s="11"/>
      <c r="BI1119" s="11"/>
      <c r="BJ1119" s="11"/>
      <c r="BK1119" s="11"/>
      <c r="BL1119" s="11"/>
      <c r="BM1119" s="11"/>
      <c r="BN1119" t="s" s="10">
        <v>78</v>
      </c>
      <c r="BO1119" s="12"/>
      <c r="BP1119" s="8"/>
    </row>
    <row r="1120" ht="9" customHeight="1" hidden="1">
      <c r="A1120" t="s" s="13">
        <v>4384</v>
      </c>
      <c r="B1120" s="14"/>
      <c r="C1120" t="str" s="14" cm="1">
        <f t="array" ref="C1120">_xlfn.IFERROR((VLOOKUP(A1120,#REF!,2,FALSE)),"")</f>
      </c>
      <c r="D1120" t="s" s="15">
        <v>70</v>
      </c>
      <c r="E1120" t="s" s="15">
        <v>450</v>
      </c>
      <c r="F1120" s="14"/>
      <c r="G1120" t="s" s="15">
        <v>4385</v>
      </c>
      <c r="H1120" t="s" s="15">
        <v>4386</v>
      </c>
      <c r="I1120" t="s" s="15">
        <v>111</v>
      </c>
      <c r="J1120" t="s" s="15">
        <v>452</v>
      </c>
      <c r="K1120" t="s" s="15">
        <v>113</v>
      </c>
      <c r="L1120" t="s" s="15">
        <v>76</v>
      </c>
      <c r="M1120" t="s" s="15">
        <v>4385</v>
      </c>
      <c r="N1120" s="14"/>
      <c r="O1120" s="14"/>
      <c r="P1120" t="s" s="15">
        <v>452</v>
      </c>
      <c r="Q1120" t="s" s="15">
        <v>69</v>
      </c>
      <c r="R1120" t="s" s="15">
        <v>83</v>
      </c>
      <c r="S1120" s="14"/>
      <c r="T1120" s="14"/>
      <c r="U1120" s="14"/>
      <c r="V1120" t="s" s="15">
        <v>69</v>
      </c>
      <c r="W1120" s="14"/>
      <c r="X1120" t="s" s="15">
        <v>78</v>
      </c>
      <c r="Y1120" s="14"/>
      <c r="Z1120" t="s" s="15">
        <v>76</v>
      </c>
      <c r="AA1120" s="14"/>
      <c r="AB1120" t="s" s="15">
        <v>76</v>
      </c>
      <c r="AC1120" t="s" s="15">
        <v>4384</v>
      </c>
      <c r="AD1120" s="14"/>
      <c r="AE1120" s="14"/>
      <c r="AF1120" s="14"/>
      <c r="AG1120" t="s" s="15">
        <v>453</v>
      </c>
      <c r="AH1120" t="s" s="15">
        <v>106</v>
      </c>
      <c r="AI1120" t="s" s="15">
        <v>76</v>
      </c>
      <c r="AJ1120" t="s" s="15">
        <v>76</v>
      </c>
      <c r="AK1120" t="s" s="15">
        <v>79</v>
      </c>
      <c r="AL1120" t="s" s="15">
        <v>293</v>
      </c>
      <c r="AM1120" t="s" s="15">
        <v>294</v>
      </c>
      <c r="AN1120" t="s" s="15">
        <v>128</v>
      </c>
      <c r="AO1120" s="17">
        <v>4</v>
      </c>
      <c r="AP1120" s="17">
        <v>32768</v>
      </c>
      <c r="AQ1120" s="17">
        <v>289177</v>
      </c>
      <c r="AR1120" s="17">
        <v>194641</v>
      </c>
      <c r="AS1120" t="s" s="15">
        <v>4387</v>
      </c>
      <c r="AT1120" s="14"/>
      <c r="AU1120" s="14"/>
      <c r="AV1120" s="14"/>
      <c r="AW1120" s="14"/>
      <c r="AX1120" s="14"/>
      <c r="AY1120" s="14"/>
      <c r="AZ1120" s="14"/>
      <c r="BA1120" s="14"/>
      <c r="BB1120" s="14"/>
      <c r="BC1120" s="14"/>
      <c r="BD1120" s="14"/>
      <c r="BE1120" s="14"/>
      <c r="BF1120" s="14"/>
      <c r="BG1120" s="14"/>
      <c r="BH1120" s="14"/>
      <c r="BI1120" s="14"/>
      <c r="BJ1120" s="14"/>
      <c r="BK1120" s="14"/>
      <c r="BL1120" s="14"/>
      <c r="BM1120" s="14"/>
      <c r="BN1120" t="s" s="15">
        <v>78</v>
      </c>
      <c r="BO1120" s="16"/>
      <c r="BP1120" s="8"/>
    </row>
    <row r="1121" ht="9" customHeight="1" hidden="1">
      <c r="A1121" t="s" s="9">
        <v>4388</v>
      </c>
      <c r="B1121" s="11"/>
      <c r="C1121" t="str" s="11" cm="1">
        <f t="array" ref="C1121">_xlfn.IFERROR((VLOOKUP(A1121,#REF!,2,FALSE)),"")</f>
      </c>
      <c r="D1121" t="s" s="10">
        <v>70</v>
      </c>
      <c r="E1121" t="s" s="10">
        <v>450</v>
      </c>
      <c r="F1121" s="11"/>
      <c r="G1121" t="s" s="10">
        <v>4389</v>
      </c>
      <c r="H1121" t="s" s="10">
        <v>4390</v>
      </c>
      <c r="I1121" t="s" s="10">
        <v>111</v>
      </c>
      <c r="J1121" t="s" s="10">
        <v>452</v>
      </c>
      <c r="K1121" t="s" s="10">
        <v>113</v>
      </c>
      <c r="L1121" t="s" s="10">
        <v>76</v>
      </c>
      <c r="M1121" t="s" s="10">
        <v>4389</v>
      </c>
      <c r="N1121" s="11"/>
      <c r="O1121" s="11"/>
      <c r="P1121" t="s" s="10">
        <v>452</v>
      </c>
      <c r="Q1121" t="s" s="10">
        <v>69</v>
      </c>
      <c r="R1121" t="s" s="10">
        <v>83</v>
      </c>
      <c r="S1121" s="11"/>
      <c r="T1121" s="11"/>
      <c r="U1121" s="11"/>
      <c r="V1121" t="s" s="10">
        <v>69</v>
      </c>
      <c r="W1121" s="11"/>
      <c r="X1121" t="s" s="10">
        <v>78</v>
      </c>
      <c r="Y1121" s="11"/>
      <c r="Z1121" t="s" s="10">
        <v>76</v>
      </c>
      <c r="AA1121" s="11"/>
      <c r="AB1121" t="s" s="10">
        <v>76</v>
      </c>
      <c r="AC1121" t="s" s="10">
        <v>4388</v>
      </c>
      <c r="AD1121" s="11"/>
      <c r="AE1121" s="11"/>
      <c r="AF1121" s="11"/>
      <c r="AG1121" t="s" s="10">
        <v>453</v>
      </c>
      <c r="AH1121" t="s" s="10">
        <v>106</v>
      </c>
      <c r="AI1121" t="s" s="10">
        <v>76</v>
      </c>
      <c r="AJ1121" t="s" s="10">
        <v>76</v>
      </c>
      <c r="AK1121" t="s" s="10">
        <v>79</v>
      </c>
      <c r="AL1121" t="s" s="10">
        <v>293</v>
      </c>
      <c r="AM1121" t="s" s="10">
        <v>294</v>
      </c>
      <c r="AN1121" t="s" s="10">
        <v>1138</v>
      </c>
      <c r="AO1121" s="18">
        <v>4</v>
      </c>
      <c r="AP1121" s="18">
        <v>16384</v>
      </c>
      <c r="AQ1121" s="18">
        <v>119194</v>
      </c>
      <c r="AR1121" s="18">
        <v>105999</v>
      </c>
      <c r="AS1121" t="s" s="10">
        <v>4391</v>
      </c>
      <c r="AT1121" s="11"/>
      <c r="AU1121" s="11"/>
      <c r="AV1121" s="11"/>
      <c r="AW1121" s="11"/>
      <c r="AX1121" s="11"/>
      <c r="AY1121" s="11"/>
      <c r="AZ1121" s="11"/>
      <c r="BA1121" s="11"/>
      <c r="BB1121" s="11"/>
      <c r="BC1121" s="11"/>
      <c r="BD1121" s="11"/>
      <c r="BE1121" s="11"/>
      <c r="BF1121" s="11"/>
      <c r="BG1121" s="11"/>
      <c r="BH1121" s="11"/>
      <c r="BI1121" s="11"/>
      <c r="BJ1121" s="11"/>
      <c r="BK1121" s="11"/>
      <c r="BL1121" s="11"/>
      <c r="BM1121" s="11"/>
      <c r="BN1121" t="s" s="10">
        <v>78</v>
      </c>
      <c r="BO1121" s="12"/>
      <c r="BP1121" s="8"/>
    </row>
    <row r="1122" ht="9" customHeight="1" hidden="1">
      <c r="A1122" t="s" s="13">
        <v>4392</v>
      </c>
      <c r="B1122" s="14"/>
      <c r="C1122" t="str" s="14" cm="1">
        <f t="array" ref="C1122">_xlfn.IFERROR((VLOOKUP(A1122,#REF!,2,FALSE)),"")</f>
      </c>
      <c r="D1122" t="s" s="15">
        <v>70</v>
      </c>
      <c r="E1122" t="s" s="15">
        <v>71</v>
      </c>
      <c r="F1122" s="14"/>
      <c r="G1122" s="14"/>
      <c r="H1122" s="14"/>
      <c r="I1122" t="s" s="15">
        <v>111</v>
      </c>
      <c r="J1122" t="s" s="15">
        <v>452</v>
      </c>
      <c r="K1122" t="s" s="15">
        <v>113</v>
      </c>
      <c r="L1122" t="s" s="15">
        <v>76</v>
      </c>
      <c r="M1122" t="s" s="15">
        <v>4393</v>
      </c>
      <c r="N1122" s="14"/>
      <c r="O1122" t="s" s="15">
        <v>71</v>
      </c>
      <c r="P1122" t="s" s="15">
        <v>452</v>
      </c>
      <c r="Q1122" t="s" s="15">
        <v>78</v>
      </c>
      <c r="R1122" t="s" s="15">
        <v>83</v>
      </c>
      <c r="S1122" s="14"/>
      <c r="T1122" s="14"/>
      <c r="U1122" s="14"/>
      <c r="V1122" t="s" s="15">
        <v>78</v>
      </c>
      <c r="W1122" s="14"/>
      <c r="X1122" t="s" s="15">
        <v>78</v>
      </c>
      <c r="Y1122" s="14"/>
      <c r="Z1122" t="s" s="15">
        <v>76</v>
      </c>
      <c r="AA1122" s="14"/>
      <c r="AB1122" t="s" s="15">
        <v>76</v>
      </c>
      <c r="AC1122" s="14"/>
      <c r="AD1122" s="14"/>
      <c r="AE1122" s="14"/>
      <c r="AF1122" s="14"/>
      <c r="AG1122" s="14"/>
      <c r="AH1122" s="14"/>
      <c r="AI1122" t="s" s="15">
        <v>76</v>
      </c>
      <c r="AJ1122" t="s" s="15">
        <v>76</v>
      </c>
      <c r="AK1122" t="s" s="15">
        <v>79</v>
      </c>
      <c r="AL1122" t="s" s="15">
        <v>293</v>
      </c>
      <c r="AM1122" t="s" s="15">
        <v>294</v>
      </c>
      <c r="AN1122" s="14"/>
      <c r="AO1122" s="17">
        <v>8</v>
      </c>
      <c r="AP1122" s="17">
        <v>8192</v>
      </c>
      <c r="AQ1122" s="17">
        <v>213414</v>
      </c>
      <c r="AR1122" s="17">
        <v>132293</v>
      </c>
      <c r="AS1122" t="s" s="15">
        <v>4394</v>
      </c>
      <c r="AT1122" s="14"/>
      <c r="AU1122" s="14"/>
      <c r="AV1122" s="14"/>
      <c r="AW1122" s="14"/>
      <c r="AX1122" s="14"/>
      <c r="AY1122" s="14"/>
      <c r="AZ1122" s="14"/>
      <c r="BA1122" s="14"/>
      <c r="BB1122" s="14"/>
      <c r="BC1122" s="14"/>
      <c r="BD1122" s="14"/>
      <c r="BE1122" s="14"/>
      <c r="BF1122" s="14"/>
      <c r="BG1122" s="14"/>
      <c r="BH1122" s="14"/>
      <c r="BI1122" s="14"/>
      <c r="BJ1122" s="14"/>
      <c r="BK1122" s="14"/>
      <c r="BL1122" s="14"/>
      <c r="BM1122" s="14"/>
      <c r="BN1122" t="s" s="15">
        <v>78</v>
      </c>
      <c r="BO1122" s="16"/>
      <c r="BP1122" s="8"/>
    </row>
    <row r="1123" ht="9" customHeight="1" hidden="1">
      <c r="A1123" t="s" s="9">
        <v>4395</v>
      </c>
      <c r="B1123" s="11"/>
      <c r="C1123" t="str" s="11" cm="1">
        <f t="array" ref="C1123">_xlfn.IFERROR((VLOOKUP(A1123,#REF!,2,FALSE)),"")</f>
      </c>
      <c r="D1123" t="s" s="10">
        <v>70</v>
      </c>
      <c r="E1123" t="s" s="10">
        <v>450</v>
      </c>
      <c r="F1123" s="11"/>
      <c r="G1123" t="s" s="10">
        <v>4396</v>
      </c>
      <c r="H1123" t="s" s="10">
        <v>4397</v>
      </c>
      <c r="I1123" t="s" s="10">
        <v>111</v>
      </c>
      <c r="J1123" t="s" s="10">
        <v>452</v>
      </c>
      <c r="K1123" t="s" s="10">
        <v>113</v>
      </c>
      <c r="L1123" t="s" s="10">
        <v>76</v>
      </c>
      <c r="M1123" t="s" s="10">
        <v>4396</v>
      </c>
      <c r="N1123" s="11"/>
      <c r="O1123" s="11"/>
      <c r="P1123" t="s" s="10">
        <v>452</v>
      </c>
      <c r="Q1123" t="s" s="10">
        <v>69</v>
      </c>
      <c r="R1123" t="s" s="10">
        <v>83</v>
      </c>
      <c r="S1123" s="11"/>
      <c r="T1123" s="11"/>
      <c r="U1123" s="11"/>
      <c r="V1123" t="s" s="10">
        <v>69</v>
      </c>
      <c r="W1123" s="11"/>
      <c r="X1123" t="s" s="10">
        <v>78</v>
      </c>
      <c r="Y1123" s="11"/>
      <c r="Z1123" t="s" s="10">
        <v>76</v>
      </c>
      <c r="AA1123" s="11"/>
      <c r="AB1123" t="s" s="10">
        <v>76</v>
      </c>
      <c r="AC1123" t="s" s="10">
        <v>4395</v>
      </c>
      <c r="AD1123" s="11"/>
      <c r="AE1123" s="11"/>
      <c r="AF1123" s="11"/>
      <c r="AG1123" t="s" s="10">
        <v>453</v>
      </c>
      <c r="AH1123" t="s" s="10">
        <v>106</v>
      </c>
      <c r="AI1123" t="s" s="10">
        <v>76</v>
      </c>
      <c r="AJ1123" t="s" s="10">
        <v>76</v>
      </c>
      <c r="AK1123" t="s" s="10">
        <v>79</v>
      </c>
      <c r="AL1123" t="s" s="10">
        <v>293</v>
      </c>
      <c r="AM1123" t="s" s="10">
        <v>294</v>
      </c>
      <c r="AN1123" t="s" s="10">
        <v>128</v>
      </c>
      <c r="AO1123" s="18">
        <v>8</v>
      </c>
      <c r="AP1123" s="18">
        <v>16384</v>
      </c>
      <c r="AQ1123" s="18">
        <v>170396</v>
      </c>
      <c r="AR1123" s="18">
        <v>101276</v>
      </c>
      <c r="AS1123" t="s" s="10">
        <v>4398</v>
      </c>
      <c r="AT1123" s="11"/>
      <c r="AU1123" s="11"/>
      <c r="AV1123" s="11"/>
      <c r="AW1123" s="11"/>
      <c r="AX1123" s="11"/>
      <c r="AY1123" s="11"/>
      <c r="AZ1123" s="11"/>
      <c r="BA1123" s="11"/>
      <c r="BB1123" s="11"/>
      <c r="BC1123" s="11"/>
      <c r="BD1123" s="11"/>
      <c r="BE1123" s="11"/>
      <c r="BF1123" s="11"/>
      <c r="BG1123" s="11"/>
      <c r="BH1123" s="11"/>
      <c r="BI1123" s="11"/>
      <c r="BJ1123" s="11"/>
      <c r="BK1123" s="11"/>
      <c r="BL1123" s="11"/>
      <c r="BM1123" s="11"/>
      <c r="BN1123" t="s" s="10">
        <v>78</v>
      </c>
      <c r="BO1123" s="12"/>
      <c r="BP1123" s="8"/>
    </row>
    <row r="1124" ht="9" customHeight="1" hidden="1">
      <c r="A1124" t="s" s="13">
        <v>4399</v>
      </c>
      <c r="B1124" s="14"/>
      <c r="C1124" t="str" s="14" cm="1">
        <f t="array" ref="C1124">_xlfn.IFERROR((VLOOKUP(A1124,#REF!,2,FALSE)),"")</f>
      </c>
      <c r="D1124" t="s" s="15">
        <v>70</v>
      </c>
      <c r="E1124" t="s" s="15">
        <v>71</v>
      </c>
      <c r="F1124" s="14"/>
      <c r="G1124" s="14"/>
      <c r="H1124" s="14"/>
      <c r="I1124" t="s" s="15">
        <v>111</v>
      </c>
      <c r="J1124" t="s" s="15">
        <v>452</v>
      </c>
      <c r="K1124" t="s" s="15">
        <v>113</v>
      </c>
      <c r="L1124" t="s" s="15">
        <v>76</v>
      </c>
      <c r="M1124" t="s" s="15">
        <v>4400</v>
      </c>
      <c r="N1124" s="14"/>
      <c r="O1124" t="s" s="15">
        <v>71</v>
      </c>
      <c r="P1124" t="s" s="15">
        <v>452</v>
      </c>
      <c r="Q1124" t="s" s="15">
        <v>78</v>
      </c>
      <c r="R1124" t="s" s="15">
        <v>83</v>
      </c>
      <c r="S1124" s="14"/>
      <c r="T1124" s="14"/>
      <c r="U1124" s="14"/>
      <c r="V1124" t="s" s="15">
        <v>78</v>
      </c>
      <c r="W1124" s="14"/>
      <c r="X1124" t="s" s="15">
        <v>78</v>
      </c>
      <c r="Y1124" s="14"/>
      <c r="Z1124" t="s" s="15">
        <v>76</v>
      </c>
      <c r="AA1124" s="14"/>
      <c r="AB1124" t="s" s="15">
        <v>76</v>
      </c>
      <c r="AC1124" s="14"/>
      <c r="AD1124" s="14"/>
      <c r="AE1124" s="14"/>
      <c r="AF1124" s="14"/>
      <c r="AG1124" s="14"/>
      <c r="AH1124" s="14"/>
      <c r="AI1124" t="s" s="15">
        <v>76</v>
      </c>
      <c r="AJ1124" t="s" s="15">
        <v>76</v>
      </c>
      <c r="AK1124" t="s" s="15">
        <v>79</v>
      </c>
      <c r="AL1124" t="s" s="15">
        <v>293</v>
      </c>
      <c r="AM1124" t="s" s="15">
        <v>294</v>
      </c>
      <c r="AN1124" s="14"/>
      <c r="AO1124" s="17">
        <v>8</v>
      </c>
      <c r="AP1124" s="17">
        <v>8192</v>
      </c>
      <c r="AQ1124" s="17">
        <v>213422</v>
      </c>
      <c r="AR1124" s="17">
        <v>126723</v>
      </c>
      <c r="AS1124" t="s" s="15">
        <v>4401</v>
      </c>
      <c r="AT1124" s="14"/>
      <c r="AU1124" s="14"/>
      <c r="AV1124" s="14"/>
      <c r="AW1124" s="14"/>
      <c r="AX1124" s="14"/>
      <c r="AY1124" s="14"/>
      <c r="AZ1124" s="14"/>
      <c r="BA1124" s="14"/>
      <c r="BB1124" s="14"/>
      <c r="BC1124" s="14"/>
      <c r="BD1124" s="14"/>
      <c r="BE1124" s="14"/>
      <c r="BF1124" s="14"/>
      <c r="BG1124" s="14"/>
      <c r="BH1124" s="14"/>
      <c r="BI1124" s="14"/>
      <c r="BJ1124" s="14"/>
      <c r="BK1124" s="14"/>
      <c r="BL1124" s="14"/>
      <c r="BM1124" s="14"/>
      <c r="BN1124" t="s" s="15">
        <v>78</v>
      </c>
      <c r="BO1124" s="16"/>
      <c r="BP1124" s="8"/>
    </row>
    <row r="1125" ht="9" customHeight="1" hidden="1">
      <c r="A1125" t="s" s="9">
        <v>4402</v>
      </c>
      <c r="B1125" s="11"/>
      <c r="C1125" t="str" s="11" cm="1">
        <f t="array" ref="C1125">_xlfn.IFERROR((VLOOKUP(A1125,#REF!,2,FALSE)),"")</f>
      </c>
      <c r="D1125" t="s" s="10">
        <v>70</v>
      </c>
      <c r="E1125" t="s" s="10">
        <v>450</v>
      </c>
      <c r="F1125" s="11"/>
      <c r="G1125" t="s" s="10">
        <v>3618</v>
      </c>
      <c r="H1125" t="s" s="10">
        <v>82</v>
      </c>
      <c r="I1125" t="s" s="10">
        <v>111</v>
      </c>
      <c r="J1125" t="s" s="10">
        <v>452</v>
      </c>
      <c r="K1125" t="s" s="10">
        <v>113</v>
      </c>
      <c r="L1125" t="s" s="10">
        <v>76</v>
      </c>
      <c r="M1125" t="s" s="10">
        <v>3618</v>
      </c>
      <c r="N1125" s="11"/>
      <c r="O1125" s="11"/>
      <c r="P1125" t="s" s="10">
        <v>452</v>
      </c>
      <c r="Q1125" t="s" s="10">
        <v>69</v>
      </c>
      <c r="R1125" t="s" s="10">
        <v>83</v>
      </c>
      <c r="S1125" t="s" s="10">
        <v>69</v>
      </c>
      <c r="T1125" s="11"/>
      <c r="U1125" s="11"/>
      <c r="V1125" t="s" s="10">
        <v>78</v>
      </c>
      <c r="W1125" s="11"/>
      <c r="X1125" t="s" s="10">
        <v>78</v>
      </c>
      <c r="Y1125" s="11"/>
      <c r="Z1125" t="s" s="10">
        <v>76</v>
      </c>
      <c r="AA1125" s="11"/>
      <c r="AB1125" t="s" s="10">
        <v>76</v>
      </c>
      <c r="AC1125" t="s" s="10">
        <v>4402</v>
      </c>
      <c r="AD1125" s="11"/>
      <c r="AE1125" s="11"/>
      <c r="AF1125" s="11"/>
      <c r="AG1125" t="s" s="10">
        <v>453</v>
      </c>
      <c r="AH1125" t="s" s="10">
        <v>106</v>
      </c>
      <c r="AI1125" t="s" s="10">
        <v>76</v>
      </c>
      <c r="AJ1125" t="s" s="10">
        <v>76</v>
      </c>
      <c r="AK1125" t="s" s="10">
        <v>79</v>
      </c>
      <c r="AL1125" t="s" s="10">
        <v>293</v>
      </c>
      <c r="AM1125" t="s" s="10">
        <v>294</v>
      </c>
      <c r="AN1125" s="11"/>
      <c r="AO1125" s="18">
        <v>4</v>
      </c>
      <c r="AP1125" s="18">
        <v>8192</v>
      </c>
      <c r="AQ1125" s="18">
        <v>248299</v>
      </c>
      <c r="AR1125" s="18">
        <v>160671</v>
      </c>
      <c r="AS1125" t="s" s="10">
        <v>4403</v>
      </c>
      <c r="AT1125" s="11"/>
      <c r="AU1125" s="11"/>
      <c r="AV1125" s="11"/>
      <c r="AW1125" s="11"/>
      <c r="AX1125" s="11"/>
      <c r="AY1125" s="11"/>
      <c r="AZ1125" s="11"/>
      <c r="BA1125" s="11"/>
      <c r="BB1125" s="11"/>
      <c r="BC1125" s="11"/>
      <c r="BD1125" s="11"/>
      <c r="BE1125" s="11"/>
      <c r="BF1125" s="11"/>
      <c r="BG1125" s="11"/>
      <c r="BH1125" s="11"/>
      <c r="BI1125" s="11"/>
      <c r="BJ1125" s="11"/>
      <c r="BK1125" s="11"/>
      <c r="BL1125" s="11"/>
      <c r="BM1125" s="11"/>
      <c r="BN1125" t="s" s="10">
        <v>78</v>
      </c>
      <c r="BO1125" s="12"/>
      <c r="BP1125" s="8"/>
    </row>
    <row r="1126" ht="9" customHeight="1" hidden="1">
      <c r="A1126" t="s" s="13">
        <v>4404</v>
      </c>
      <c r="B1126" s="14"/>
      <c r="C1126" t="str" s="14" cm="1">
        <f t="array" ref="C1126">_xlfn.IFERROR((VLOOKUP(A1126,#REF!,2,FALSE)),"")</f>
      </c>
      <c r="D1126" t="s" s="15">
        <v>70</v>
      </c>
      <c r="E1126" t="s" s="15">
        <v>450</v>
      </c>
      <c r="F1126" s="14"/>
      <c r="G1126" t="s" s="15">
        <v>4405</v>
      </c>
      <c r="H1126" t="s" s="15">
        <v>4405</v>
      </c>
      <c r="I1126" t="s" s="15">
        <v>111</v>
      </c>
      <c r="J1126" t="s" s="15">
        <v>452</v>
      </c>
      <c r="K1126" t="s" s="15">
        <v>113</v>
      </c>
      <c r="L1126" t="s" s="15">
        <v>76</v>
      </c>
      <c r="M1126" t="s" s="15">
        <v>4405</v>
      </c>
      <c r="N1126" s="14"/>
      <c r="O1126" s="14"/>
      <c r="P1126" t="s" s="15">
        <v>452</v>
      </c>
      <c r="Q1126" t="s" s="15">
        <v>69</v>
      </c>
      <c r="R1126" t="s" s="15">
        <v>83</v>
      </c>
      <c r="S1126" s="14"/>
      <c r="T1126" s="14"/>
      <c r="U1126" s="14"/>
      <c r="V1126" t="s" s="15">
        <v>69</v>
      </c>
      <c r="W1126" s="14"/>
      <c r="X1126" t="s" s="15">
        <v>78</v>
      </c>
      <c r="Y1126" s="14"/>
      <c r="Z1126" t="s" s="15">
        <v>76</v>
      </c>
      <c r="AA1126" s="14"/>
      <c r="AB1126" t="s" s="15">
        <v>76</v>
      </c>
      <c r="AC1126" t="s" s="15">
        <v>4404</v>
      </c>
      <c r="AD1126" s="14"/>
      <c r="AE1126" s="14"/>
      <c r="AF1126" s="14"/>
      <c r="AG1126" t="s" s="15">
        <v>453</v>
      </c>
      <c r="AH1126" t="s" s="15">
        <v>106</v>
      </c>
      <c r="AI1126" t="s" s="15">
        <v>76</v>
      </c>
      <c r="AJ1126" t="s" s="15">
        <v>76</v>
      </c>
      <c r="AK1126" t="s" s="15">
        <v>79</v>
      </c>
      <c r="AL1126" t="s" s="15">
        <v>293</v>
      </c>
      <c r="AM1126" t="s" s="15">
        <v>294</v>
      </c>
      <c r="AN1126" t="s" s="15">
        <v>128</v>
      </c>
      <c r="AO1126" s="17">
        <v>4</v>
      </c>
      <c r="AP1126" s="17">
        <v>8192</v>
      </c>
      <c r="AQ1126" s="17">
        <v>294496</v>
      </c>
      <c r="AR1126" s="17">
        <v>294496</v>
      </c>
      <c r="AS1126" t="s" s="15">
        <v>4406</v>
      </c>
      <c r="AT1126" s="14"/>
      <c r="AU1126" s="14"/>
      <c r="AV1126" s="14"/>
      <c r="AW1126" s="14"/>
      <c r="AX1126" s="14"/>
      <c r="AY1126" s="14"/>
      <c r="AZ1126" s="14"/>
      <c r="BA1126" s="14"/>
      <c r="BB1126" s="14"/>
      <c r="BC1126" s="14"/>
      <c r="BD1126" s="14"/>
      <c r="BE1126" s="14"/>
      <c r="BF1126" s="14"/>
      <c r="BG1126" s="14"/>
      <c r="BH1126" s="14"/>
      <c r="BI1126" s="14"/>
      <c r="BJ1126" s="14"/>
      <c r="BK1126" s="14"/>
      <c r="BL1126" s="14"/>
      <c r="BM1126" s="14"/>
      <c r="BN1126" t="s" s="15">
        <v>78</v>
      </c>
      <c r="BO1126" s="16"/>
      <c r="BP1126" s="8"/>
    </row>
    <row r="1127" ht="9" customHeight="1" hidden="1">
      <c r="A1127" t="s" s="9">
        <v>4407</v>
      </c>
      <c r="B1127" s="11"/>
      <c r="C1127" t="str" s="11" cm="1">
        <f t="array" ref="C1127">_xlfn.IFERROR((VLOOKUP(A1127,#REF!,2,FALSE)),"")</f>
      </c>
      <c r="D1127" t="s" s="10">
        <v>70</v>
      </c>
      <c r="E1127" s="11"/>
      <c r="F1127" s="11"/>
      <c r="G1127" t="s" s="10">
        <v>4408</v>
      </c>
      <c r="H1127" t="s" s="10">
        <v>4409</v>
      </c>
      <c r="I1127" t="s" s="10">
        <v>111</v>
      </c>
      <c r="J1127" t="s" s="10">
        <v>122</v>
      </c>
      <c r="K1127" t="s" s="10">
        <v>127</v>
      </c>
      <c r="L1127" t="s" s="10">
        <v>76</v>
      </c>
      <c r="M1127" t="s" s="10">
        <v>4410</v>
      </c>
      <c r="N1127" t="s" s="10">
        <v>4408</v>
      </c>
      <c r="O1127" s="11"/>
      <c r="P1127" t="s" s="10">
        <v>122</v>
      </c>
      <c r="Q1127" t="s" s="10">
        <v>69</v>
      </c>
      <c r="R1127" t="s" s="10">
        <v>83</v>
      </c>
      <c r="S1127" s="11"/>
      <c r="T1127" s="11"/>
      <c r="U1127" s="11"/>
      <c r="V1127" t="s" s="10">
        <v>69</v>
      </c>
      <c r="W1127" s="11"/>
      <c r="X1127" t="s" s="10">
        <v>78</v>
      </c>
      <c r="Y1127" s="11"/>
      <c r="Z1127" t="s" s="10">
        <v>76</v>
      </c>
      <c r="AA1127" s="11"/>
      <c r="AB1127" t="s" s="10">
        <v>76</v>
      </c>
      <c r="AC1127" t="s" s="10">
        <v>4407</v>
      </c>
      <c r="AD1127" s="11"/>
      <c r="AE1127" s="11"/>
      <c r="AF1127" s="11"/>
      <c r="AG1127" s="11"/>
      <c r="AH1127" s="11"/>
      <c r="AI1127" t="s" s="10">
        <v>76</v>
      </c>
      <c r="AJ1127" t="s" s="10">
        <v>76</v>
      </c>
      <c r="AK1127" t="s" s="10">
        <v>79</v>
      </c>
      <c r="AL1127" t="s" s="10">
        <v>115</v>
      </c>
      <c r="AM1127" s="11"/>
      <c r="AN1127" t="s" s="10">
        <v>128</v>
      </c>
      <c r="AO1127" s="11"/>
      <c r="AP1127" s="11"/>
      <c r="AQ1127" s="11"/>
      <c r="AR1127" s="11"/>
      <c r="AS1127" t="s" s="10">
        <v>4411</v>
      </c>
      <c r="AT1127" s="11"/>
      <c r="AU1127" s="11"/>
      <c r="AV1127" s="11"/>
      <c r="AW1127" s="11"/>
      <c r="AX1127" s="11"/>
      <c r="AY1127" s="11"/>
      <c r="AZ1127" s="11"/>
      <c r="BA1127" s="11"/>
      <c r="BB1127" s="11"/>
      <c r="BC1127" s="11"/>
      <c r="BD1127" s="11"/>
      <c r="BE1127" s="11"/>
      <c r="BF1127" s="11"/>
      <c r="BG1127" s="11"/>
      <c r="BH1127" s="11"/>
      <c r="BI1127" s="11"/>
      <c r="BJ1127" s="11"/>
      <c r="BK1127" s="11"/>
      <c r="BL1127" s="11"/>
      <c r="BM1127" s="11"/>
      <c r="BN1127" s="11"/>
      <c r="BO1127" s="12"/>
      <c r="BP1127" s="8"/>
    </row>
    <row r="1128" ht="9" customHeight="1" hidden="1">
      <c r="A1128" t="s" s="13">
        <v>4412</v>
      </c>
      <c r="B1128" s="14"/>
      <c r="C1128" t="str" s="14" cm="1">
        <f t="array" ref="C1128">_xlfn.IFERROR((VLOOKUP(A1128,#REF!,2,FALSE)),"")</f>
      </c>
      <c r="D1128" s="14"/>
      <c r="E1128" t="s" s="15">
        <v>1706</v>
      </c>
      <c r="F1128" s="14"/>
      <c r="G1128" t="s" s="15">
        <v>3124</v>
      </c>
      <c r="H1128" t="s" s="15">
        <v>3128</v>
      </c>
      <c r="I1128" t="s" s="15">
        <v>73</v>
      </c>
      <c r="J1128" t="s" s="15">
        <v>74</v>
      </c>
      <c r="K1128" t="s" s="15">
        <v>113</v>
      </c>
      <c r="L1128" t="s" s="15">
        <v>2097</v>
      </c>
      <c r="M1128" t="s" s="15">
        <v>3124</v>
      </c>
      <c r="N1128" t="s" s="15">
        <v>3124</v>
      </c>
      <c r="O1128" s="14"/>
      <c r="P1128" t="s" s="15">
        <v>517</v>
      </c>
      <c r="Q1128" t="s" s="15">
        <v>69</v>
      </c>
      <c r="R1128" t="s" s="15">
        <v>83</v>
      </c>
      <c r="S1128" s="14"/>
      <c r="T1128" s="14"/>
      <c r="U1128" s="14"/>
      <c r="V1128" t="s" s="15">
        <v>69</v>
      </c>
      <c r="W1128" s="14"/>
      <c r="X1128" t="s" s="15">
        <v>69</v>
      </c>
      <c r="Y1128" s="14"/>
      <c r="Z1128" t="s" s="15">
        <v>205</v>
      </c>
      <c r="AA1128" s="14"/>
      <c r="AB1128" t="s" s="15">
        <v>2098</v>
      </c>
      <c r="AC1128" t="s" s="15">
        <v>4412</v>
      </c>
      <c r="AD1128" s="14"/>
      <c r="AE1128" s="14"/>
      <c r="AF1128" s="14"/>
      <c r="AG1128" t="s" s="15">
        <v>299</v>
      </c>
      <c r="AH1128" t="s" s="15">
        <v>114</v>
      </c>
      <c r="AI1128" t="s" s="15">
        <v>440</v>
      </c>
      <c r="AJ1128" s="14"/>
      <c r="AK1128" t="s" s="15">
        <v>292</v>
      </c>
      <c r="AL1128" t="s" s="15">
        <v>293</v>
      </c>
      <c r="AM1128" t="s" s="15">
        <v>294</v>
      </c>
      <c r="AN1128" t="s" s="15">
        <v>650</v>
      </c>
      <c r="AO1128" s="17">
        <v>8</v>
      </c>
      <c r="AP1128" s="17">
        <v>32768</v>
      </c>
      <c r="AQ1128" s="17">
        <v>205347</v>
      </c>
      <c r="AR1128" s="17">
        <v>129255</v>
      </c>
      <c r="AS1128" t="s" s="15">
        <v>4413</v>
      </c>
      <c r="AT1128" s="14"/>
      <c r="AU1128" s="14"/>
      <c r="AV1128" s="14"/>
      <c r="AW1128" s="14"/>
      <c r="AX1128" s="14"/>
      <c r="AY1128" s="14"/>
      <c r="AZ1128" s="14"/>
      <c r="BA1128" s="14"/>
      <c r="BB1128" s="14"/>
      <c r="BC1128" s="14"/>
      <c r="BD1128" t="s" s="15">
        <v>366</v>
      </c>
      <c r="BE1128" t="s" s="15">
        <v>367</v>
      </c>
      <c r="BF1128" s="17">
        <v>8</v>
      </c>
      <c r="BG1128" s="17">
        <v>32</v>
      </c>
      <c r="BH1128" s="14"/>
      <c r="BI1128" s="14"/>
      <c r="BJ1128" s="14"/>
      <c r="BK1128" s="14"/>
      <c r="BL1128" s="14"/>
      <c r="BM1128" s="14"/>
      <c r="BN1128" s="14"/>
      <c r="BO1128" s="16"/>
      <c r="BP1128" s="8"/>
    </row>
    <row r="1129" ht="9" customHeight="1" hidden="1">
      <c r="A1129" t="s" s="9">
        <v>4414</v>
      </c>
      <c r="B1129" s="11"/>
      <c r="C1129" t="str" s="11" cm="1">
        <f t="array" ref="C1129">_xlfn.IFERROR((VLOOKUP(A1129,#REF!,2,FALSE)),"")</f>
      </c>
      <c r="D1129" s="11"/>
      <c r="E1129" s="11"/>
      <c r="F1129" s="11"/>
      <c r="G1129" t="s" s="10">
        <v>4415</v>
      </c>
      <c r="H1129" t="s" s="10">
        <v>3128</v>
      </c>
      <c r="I1129" t="s" s="10">
        <v>111</v>
      </c>
      <c r="J1129" t="s" s="10">
        <v>122</v>
      </c>
      <c r="K1129" t="s" s="10">
        <v>113</v>
      </c>
      <c r="L1129" t="s" s="10">
        <v>2097</v>
      </c>
      <c r="M1129" t="s" s="10">
        <v>4415</v>
      </c>
      <c r="N1129" t="s" s="10">
        <v>4415</v>
      </c>
      <c r="O1129" s="11"/>
      <c r="P1129" t="s" s="10">
        <v>517</v>
      </c>
      <c r="Q1129" t="s" s="10">
        <v>69</v>
      </c>
      <c r="R1129" t="s" s="10">
        <v>83</v>
      </c>
      <c r="S1129" s="11"/>
      <c r="T1129" s="11"/>
      <c r="U1129" s="11"/>
      <c r="V1129" t="s" s="10">
        <v>69</v>
      </c>
      <c r="W1129" s="11"/>
      <c r="X1129" t="s" s="10">
        <v>69</v>
      </c>
      <c r="Y1129" s="11"/>
      <c r="Z1129" t="s" s="10">
        <v>205</v>
      </c>
      <c r="AA1129" s="11"/>
      <c r="AB1129" t="s" s="10">
        <v>2098</v>
      </c>
      <c r="AC1129" t="s" s="10">
        <v>4414</v>
      </c>
      <c r="AD1129" s="11"/>
      <c r="AE1129" s="11"/>
      <c r="AF1129" s="11"/>
      <c r="AG1129" t="s" s="10">
        <v>299</v>
      </c>
      <c r="AH1129" t="s" s="10">
        <v>114</v>
      </c>
      <c r="AI1129" t="s" s="10">
        <v>440</v>
      </c>
      <c r="AJ1129" s="11"/>
      <c r="AK1129" t="s" s="10">
        <v>292</v>
      </c>
      <c r="AL1129" t="s" s="10">
        <v>293</v>
      </c>
      <c r="AM1129" t="s" s="10">
        <v>294</v>
      </c>
      <c r="AN1129" t="s" s="10">
        <v>650</v>
      </c>
      <c r="AO1129" s="18">
        <v>8</v>
      </c>
      <c r="AP1129" s="18">
        <v>32768</v>
      </c>
      <c r="AQ1129" s="18">
        <v>192429</v>
      </c>
      <c r="AR1129" s="18">
        <v>119566</v>
      </c>
      <c r="AS1129" t="s" s="10">
        <v>4416</v>
      </c>
      <c r="AT1129" s="11"/>
      <c r="AU1129" s="11"/>
      <c r="AV1129" s="11"/>
      <c r="AW1129" s="11"/>
      <c r="AX1129" s="11"/>
      <c r="AY1129" s="11"/>
      <c r="AZ1129" s="11"/>
      <c r="BA1129" s="11"/>
      <c r="BB1129" s="11"/>
      <c r="BC1129" s="11"/>
      <c r="BD1129" t="s" s="10">
        <v>366</v>
      </c>
      <c r="BE1129" t="s" s="10">
        <v>367</v>
      </c>
      <c r="BF1129" s="18">
        <v>8</v>
      </c>
      <c r="BG1129" s="18">
        <v>32</v>
      </c>
      <c r="BH1129" s="11"/>
      <c r="BI1129" s="11"/>
      <c r="BJ1129" s="11"/>
      <c r="BK1129" s="11"/>
      <c r="BL1129" s="11"/>
      <c r="BM1129" s="11"/>
      <c r="BN1129" t="s" s="10">
        <v>78</v>
      </c>
      <c r="BO1129" s="12"/>
      <c r="BP1129" s="8"/>
    </row>
    <row r="1130" ht="9" customHeight="1" hidden="1">
      <c r="A1130" t="s" s="13">
        <v>4417</v>
      </c>
      <c r="B1130" s="14"/>
      <c r="C1130" t="str" s="14" cm="1">
        <f t="array" ref="C1130">_xlfn.IFERROR((VLOOKUP(A1130,#REF!,2,FALSE)),"")</f>
      </c>
      <c r="D1130" s="14"/>
      <c r="E1130" t="s" s="15">
        <v>2974</v>
      </c>
      <c r="F1130" s="14"/>
      <c r="G1130" t="s" s="15">
        <v>4418</v>
      </c>
      <c r="H1130" t="s" s="15">
        <v>4419</v>
      </c>
      <c r="I1130" t="s" s="15">
        <v>111</v>
      </c>
      <c r="J1130" t="s" s="15">
        <v>122</v>
      </c>
      <c r="K1130" t="s" s="15">
        <v>113</v>
      </c>
      <c r="L1130" t="s" s="15">
        <v>76</v>
      </c>
      <c r="M1130" t="s" s="15">
        <v>77</v>
      </c>
      <c r="N1130" s="14"/>
      <c r="O1130" s="14"/>
      <c r="P1130" s="14"/>
      <c r="Q1130" t="s" s="15">
        <v>69</v>
      </c>
      <c r="R1130" t="s" s="15">
        <v>83</v>
      </c>
      <c r="S1130" s="14"/>
      <c r="T1130" s="14"/>
      <c r="U1130" s="14"/>
      <c r="V1130" t="s" s="15">
        <v>69</v>
      </c>
      <c r="W1130" s="14"/>
      <c r="X1130" t="s" s="15">
        <v>78</v>
      </c>
      <c r="Y1130" s="14"/>
      <c r="Z1130" t="s" s="15">
        <v>76</v>
      </c>
      <c r="AA1130" s="14"/>
      <c r="AB1130" t="s" s="15">
        <v>76</v>
      </c>
      <c r="AC1130" t="s" s="15">
        <v>4417</v>
      </c>
      <c r="AD1130" t="s" s="15">
        <v>4420</v>
      </c>
      <c r="AE1130" s="14"/>
      <c r="AF1130" s="14"/>
      <c r="AG1130" s="14"/>
      <c r="AH1130" s="14"/>
      <c r="AI1130" t="s" s="15">
        <v>76</v>
      </c>
      <c r="AJ1130" t="s" s="15">
        <v>76</v>
      </c>
      <c r="AK1130" t="s" s="15">
        <v>79</v>
      </c>
      <c r="AL1130" t="s" s="15">
        <v>293</v>
      </c>
      <c r="AM1130" t="s" s="15">
        <v>294</v>
      </c>
      <c r="AN1130" t="s" s="15">
        <v>128</v>
      </c>
      <c r="AO1130" s="17">
        <v>4</v>
      </c>
      <c r="AP1130" s="17">
        <v>4096</v>
      </c>
      <c r="AQ1130" s="17">
        <v>280660</v>
      </c>
      <c r="AR1130" s="17">
        <v>280660</v>
      </c>
      <c r="AS1130" t="s" s="15">
        <v>4421</v>
      </c>
      <c r="AT1130" s="14"/>
      <c r="AU1130" s="14"/>
      <c r="AV1130" s="14"/>
      <c r="AW1130" s="14"/>
      <c r="AX1130" s="14"/>
      <c r="AY1130" s="14"/>
      <c r="AZ1130" s="14"/>
      <c r="BA1130" s="14"/>
      <c r="BB1130" s="14"/>
      <c r="BC1130" s="14"/>
      <c r="BD1130" s="14"/>
      <c r="BE1130" s="14"/>
      <c r="BF1130" s="14"/>
      <c r="BG1130" s="14"/>
      <c r="BH1130" s="14"/>
      <c r="BI1130" s="14"/>
      <c r="BJ1130" s="14"/>
      <c r="BK1130" s="14"/>
      <c r="BL1130" s="14"/>
      <c r="BM1130" s="14"/>
      <c r="BN1130" t="s" s="15">
        <v>78</v>
      </c>
      <c r="BO1130" s="16"/>
      <c r="BP1130" s="8"/>
    </row>
    <row r="1131" ht="9" customHeight="1" hidden="1">
      <c r="A1131" t="s" s="9">
        <v>4422</v>
      </c>
      <c r="B1131" s="11"/>
      <c r="C1131" t="str" s="11" cm="1">
        <f t="array" ref="C1131">_xlfn.IFERROR((VLOOKUP(A1131,#REF!,2,FALSE)),"")</f>
      </c>
      <c r="D1131" t="s" s="10">
        <v>70</v>
      </c>
      <c r="E1131" t="s" s="10">
        <v>195</v>
      </c>
      <c r="F1131" s="11"/>
      <c r="G1131" t="s" s="10">
        <v>4408</v>
      </c>
      <c r="H1131" t="s" s="10">
        <v>4409</v>
      </c>
      <c r="I1131" t="s" s="10">
        <v>73</v>
      </c>
      <c r="J1131" t="s" s="10">
        <v>74</v>
      </c>
      <c r="K1131" t="s" s="10">
        <v>127</v>
      </c>
      <c r="L1131" t="s" s="10">
        <v>76</v>
      </c>
      <c r="M1131" t="s" s="10">
        <v>77</v>
      </c>
      <c r="N1131" t="s" s="10">
        <v>4408</v>
      </c>
      <c r="O1131" t="s" s="10">
        <v>71</v>
      </c>
      <c r="P1131" s="11"/>
      <c r="Q1131" t="s" s="10">
        <v>69</v>
      </c>
      <c r="R1131" t="s" s="10">
        <v>339</v>
      </c>
      <c r="S1131" s="11"/>
      <c r="T1131" s="11"/>
      <c r="U1131" s="11"/>
      <c r="V1131" t="s" s="10">
        <v>69</v>
      </c>
      <c r="W1131" s="11"/>
      <c r="X1131" t="s" s="10">
        <v>78</v>
      </c>
      <c r="Y1131" s="11"/>
      <c r="Z1131" t="s" s="10">
        <v>76</v>
      </c>
      <c r="AA1131" s="11"/>
      <c r="AB1131" t="s" s="10">
        <v>76</v>
      </c>
      <c r="AC1131" t="s" s="10">
        <v>4422</v>
      </c>
      <c r="AD1131" s="11"/>
      <c r="AE1131" s="11"/>
      <c r="AF1131" s="11"/>
      <c r="AG1131" s="11"/>
      <c r="AH1131" s="11"/>
      <c r="AI1131" t="s" s="10">
        <v>76</v>
      </c>
      <c r="AJ1131" t="s" s="10">
        <v>76</v>
      </c>
      <c r="AK1131" t="s" s="10">
        <v>79</v>
      </c>
      <c r="AL1131" t="s" s="10">
        <v>115</v>
      </c>
      <c r="AM1131" t="s" s="10">
        <v>196</v>
      </c>
      <c r="AN1131" t="s" s="10">
        <v>128</v>
      </c>
      <c r="AO1131" s="11"/>
      <c r="AP1131" s="11"/>
      <c r="AQ1131" s="11"/>
      <c r="AR1131" s="11"/>
      <c r="AS1131" t="s" s="10">
        <v>4423</v>
      </c>
      <c r="AT1131" s="11"/>
      <c r="AU1131" s="11"/>
      <c r="AV1131" s="11"/>
      <c r="AW1131" s="11"/>
      <c r="AX1131" s="11"/>
      <c r="AY1131" s="11"/>
      <c r="AZ1131" s="11"/>
      <c r="BA1131" s="11"/>
      <c r="BB1131" s="11"/>
      <c r="BC1131" s="11"/>
      <c r="BD1131" s="11"/>
      <c r="BE1131" s="11"/>
      <c r="BF1131" s="11"/>
      <c r="BG1131" s="11"/>
      <c r="BH1131" s="11"/>
      <c r="BI1131" s="11"/>
      <c r="BJ1131" s="11"/>
      <c r="BK1131" s="11"/>
      <c r="BL1131" s="11"/>
      <c r="BM1131" s="11"/>
      <c r="BN1131" s="11"/>
      <c r="BO1131" s="12"/>
      <c r="BP1131" s="8"/>
    </row>
    <row r="1132" ht="9" customHeight="1" hidden="1">
      <c r="A1132" t="s" s="13">
        <v>4424</v>
      </c>
      <c r="B1132" s="14"/>
      <c r="C1132" t="str" s="14" cm="1">
        <f t="array" ref="C1132">_xlfn.IFERROR((VLOOKUP(A1132,#REF!,2,FALSE)),"")</f>
      </c>
      <c r="D1132" t="s" s="15">
        <v>70</v>
      </c>
      <c r="E1132" t="s" s="15">
        <v>195</v>
      </c>
      <c r="F1132" s="14"/>
      <c r="G1132" t="s" s="15">
        <v>4408</v>
      </c>
      <c r="H1132" t="s" s="15">
        <v>4409</v>
      </c>
      <c r="I1132" t="s" s="15">
        <v>73</v>
      </c>
      <c r="J1132" t="s" s="15">
        <v>74</v>
      </c>
      <c r="K1132" t="s" s="15">
        <v>127</v>
      </c>
      <c r="L1132" t="s" s="15">
        <v>76</v>
      </c>
      <c r="M1132" t="s" s="15">
        <v>77</v>
      </c>
      <c r="N1132" t="s" s="15">
        <v>4408</v>
      </c>
      <c r="O1132" t="s" s="15">
        <v>71</v>
      </c>
      <c r="P1132" s="14"/>
      <c r="Q1132" t="s" s="15">
        <v>69</v>
      </c>
      <c r="R1132" t="s" s="15">
        <v>339</v>
      </c>
      <c r="S1132" s="14"/>
      <c r="T1132" s="14"/>
      <c r="U1132" s="14"/>
      <c r="V1132" t="s" s="15">
        <v>69</v>
      </c>
      <c r="W1132" s="14"/>
      <c r="X1132" t="s" s="15">
        <v>78</v>
      </c>
      <c r="Y1132" s="14"/>
      <c r="Z1132" t="s" s="15">
        <v>76</v>
      </c>
      <c r="AA1132" s="14"/>
      <c r="AB1132" t="s" s="15">
        <v>76</v>
      </c>
      <c r="AC1132" t="s" s="15">
        <v>4424</v>
      </c>
      <c r="AD1132" s="14"/>
      <c r="AE1132" s="14"/>
      <c r="AF1132" s="14"/>
      <c r="AG1132" s="14"/>
      <c r="AH1132" s="14"/>
      <c r="AI1132" t="s" s="15">
        <v>76</v>
      </c>
      <c r="AJ1132" t="s" s="15">
        <v>76</v>
      </c>
      <c r="AK1132" t="s" s="15">
        <v>79</v>
      </c>
      <c r="AL1132" t="s" s="15">
        <v>115</v>
      </c>
      <c r="AM1132" t="s" s="15">
        <v>196</v>
      </c>
      <c r="AN1132" t="s" s="15">
        <v>128</v>
      </c>
      <c r="AO1132" s="14"/>
      <c r="AP1132" s="14"/>
      <c r="AQ1132" s="14"/>
      <c r="AR1132" s="14"/>
      <c r="AS1132" t="s" s="15">
        <v>4425</v>
      </c>
      <c r="AT1132" s="14"/>
      <c r="AU1132" s="14"/>
      <c r="AV1132" s="14"/>
      <c r="AW1132" s="14"/>
      <c r="AX1132" s="14"/>
      <c r="AY1132" s="14"/>
      <c r="AZ1132" s="14"/>
      <c r="BA1132" s="14"/>
      <c r="BB1132" s="14"/>
      <c r="BC1132" s="14"/>
      <c r="BD1132" s="14"/>
      <c r="BE1132" s="14"/>
      <c r="BF1132" s="14"/>
      <c r="BG1132" s="14"/>
      <c r="BH1132" s="14"/>
      <c r="BI1132" s="14"/>
      <c r="BJ1132" s="14"/>
      <c r="BK1132" s="14"/>
      <c r="BL1132" s="14"/>
      <c r="BM1132" s="14"/>
      <c r="BN1132" s="14"/>
      <c r="BO1132" s="16"/>
      <c r="BP1132" s="8"/>
    </row>
    <row r="1133" ht="9" customHeight="1" hidden="1">
      <c r="A1133" t="s" s="9">
        <v>4426</v>
      </c>
      <c r="B1133" s="11"/>
      <c r="C1133" t="str" s="11" cm="1">
        <f t="array" ref="C1133">_xlfn.IFERROR((VLOOKUP(A1133,#REF!,2,FALSE)),"")</f>
      </c>
      <c r="D1133" t="s" s="10">
        <v>70</v>
      </c>
      <c r="E1133" t="s" s="10">
        <v>195</v>
      </c>
      <c r="F1133" s="11"/>
      <c r="G1133" t="s" s="10">
        <v>4408</v>
      </c>
      <c r="H1133" t="s" s="10">
        <v>4409</v>
      </c>
      <c r="I1133" t="s" s="10">
        <v>73</v>
      </c>
      <c r="J1133" t="s" s="10">
        <v>74</v>
      </c>
      <c r="K1133" t="s" s="10">
        <v>127</v>
      </c>
      <c r="L1133" t="s" s="10">
        <v>76</v>
      </c>
      <c r="M1133" t="s" s="10">
        <v>77</v>
      </c>
      <c r="N1133" t="s" s="10">
        <v>4408</v>
      </c>
      <c r="O1133" t="s" s="10">
        <v>71</v>
      </c>
      <c r="P1133" s="11"/>
      <c r="Q1133" t="s" s="10">
        <v>69</v>
      </c>
      <c r="R1133" t="s" s="10">
        <v>339</v>
      </c>
      <c r="S1133" s="11"/>
      <c r="T1133" s="11"/>
      <c r="U1133" s="11"/>
      <c r="V1133" t="s" s="10">
        <v>69</v>
      </c>
      <c r="W1133" s="11"/>
      <c r="X1133" t="s" s="10">
        <v>78</v>
      </c>
      <c r="Y1133" s="11"/>
      <c r="Z1133" t="s" s="10">
        <v>76</v>
      </c>
      <c r="AA1133" s="11"/>
      <c r="AB1133" t="s" s="10">
        <v>76</v>
      </c>
      <c r="AC1133" t="s" s="10">
        <v>4426</v>
      </c>
      <c r="AD1133" s="11"/>
      <c r="AE1133" s="11"/>
      <c r="AF1133" s="11"/>
      <c r="AG1133" s="11"/>
      <c r="AH1133" s="11"/>
      <c r="AI1133" t="s" s="10">
        <v>76</v>
      </c>
      <c r="AJ1133" t="s" s="10">
        <v>76</v>
      </c>
      <c r="AK1133" t="s" s="10">
        <v>79</v>
      </c>
      <c r="AL1133" t="s" s="10">
        <v>115</v>
      </c>
      <c r="AM1133" t="s" s="10">
        <v>196</v>
      </c>
      <c r="AN1133" t="s" s="10">
        <v>128</v>
      </c>
      <c r="AO1133" s="11"/>
      <c r="AP1133" s="11"/>
      <c r="AQ1133" s="11"/>
      <c r="AR1133" s="11"/>
      <c r="AS1133" t="s" s="10">
        <v>4427</v>
      </c>
      <c r="AT1133" s="11"/>
      <c r="AU1133" s="11"/>
      <c r="AV1133" s="11"/>
      <c r="AW1133" s="11"/>
      <c r="AX1133" s="11"/>
      <c r="AY1133" s="11"/>
      <c r="AZ1133" s="11"/>
      <c r="BA1133" s="11"/>
      <c r="BB1133" s="11"/>
      <c r="BC1133" s="11"/>
      <c r="BD1133" s="11"/>
      <c r="BE1133" s="11"/>
      <c r="BF1133" s="11"/>
      <c r="BG1133" s="11"/>
      <c r="BH1133" s="11"/>
      <c r="BI1133" s="11"/>
      <c r="BJ1133" s="11"/>
      <c r="BK1133" s="11"/>
      <c r="BL1133" s="11"/>
      <c r="BM1133" s="11"/>
      <c r="BN1133" s="11"/>
      <c r="BO1133" s="12"/>
      <c r="BP1133" s="8"/>
    </row>
    <row r="1134" ht="9" customHeight="1" hidden="1">
      <c r="A1134" t="s" s="13">
        <v>4428</v>
      </c>
      <c r="B1134" s="14"/>
      <c r="C1134" t="str" s="14" cm="1">
        <f t="array" ref="C1134">_xlfn.IFERROR((VLOOKUP(A1134,#REF!,2,FALSE)),"")</f>
      </c>
      <c r="D1134" t="s" s="15">
        <v>70</v>
      </c>
      <c r="E1134" t="s" s="15">
        <v>71</v>
      </c>
      <c r="F1134" s="14"/>
      <c r="G1134" s="14"/>
      <c r="H1134" s="14"/>
      <c r="I1134" t="s" s="15">
        <v>73</v>
      </c>
      <c r="J1134" t="s" s="15">
        <v>74</v>
      </c>
      <c r="K1134" t="s" s="15">
        <v>127</v>
      </c>
      <c r="L1134" t="s" s="15">
        <v>76</v>
      </c>
      <c r="M1134" t="s" s="15">
        <v>77</v>
      </c>
      <c r="N1134" s="14"/>
      <c r="O1134" t="s" s="15">
        <v>71</v>
      </c>
      <c r="P1134" s="14"/>
      <c r="Q1134" t="s" s="15">
        <v>78</v>
      </c>
      <c r="R1134" t="s" s="15">
        <v>71</v>
      </c>
      <c r="S1134" s="14"/>
      <c r="T1134" s="14"/>
      <c r="U1134" s="14"/>
      <c r="V1134" t="s" s="15">
        <v>69</v>
      </c>
      <c r="W1134" t="s" s="15">
        <v>4428</v>
      </c>
      <c r="X1134" t="s" s="15">
        <v>78</v>
      </c>
      <c r="Y1134" s="14"/>
      <c r="Z1134" t="s" s="15">
        <v>76</v>
      </c>
      <c r="AA1134" s="14"/>
      <c r="AB1134" t="s" s="15">
        <v>76</v>
      </c>
      <c r="AC1134" s="14"/>
      <c r="AD1134" s="14"/>
      <c r="AE1134" s="14"/>
      <c r="AF1134" s="14"/>
      <c r="AG1134" s="14"/>
      <c r="AH1134" s="14"/>
      <c r="AI1134" t="s" s="15">
        <v>76</v>
      </c>
      <c r="AJ1134" t="s" s="15">
        <v>76</v>
      </c>
      <c r="AK1134" t="s" s="15">
        <v>79</v>
      </c>
      <c r="AL1134" t="s" s="15">
        <v>115</v>
      </c>
      <c r="AM1134" s="14"/>
      <c r="AN1134" t="s" s="15">
        <v>128</v>
      </c>
      <c r="AO1134" s="14"/>
      <c r="AP1134" s="14"/>
      <c r="AQ1134" s="14"/>
      <c r="AR1134" s="14"/>
      <c r="AS1134" t="s" s="15">
        <v>4429</v>
      </c>
      <c r="AT1134" s="14"/>
      <c r="AU1134" s="14"/>
      <c r="AV1134" s="14"/>
      <c r="AW1134" s="14"/>
      <c r="AX1134" s="14"/>
      <c r="AY1134" s="14"/>
      <c r="AZ1134" s="14"/>
      <c r="BA1134" s="14"/>
      <c r="BB1134" s="14"/>
      <c r="BC1134" s="14"/>
      <c r="BD1134" s="14"/>
      <c r="BE1134" s="14"/>
      <c r="BF1134" s="14"/>
      <c r="BG1134" s="14"/>
      <c r="BH1134" s="14"/>
      <c r="BI1134" s="14"/>
      <c r="BJ1134" s="14"/>
      <c r="BK1134" s="14"/>
      <c r="BL1134" s="14"/>
      <c r="BM1134" s="14"/>
      <c r="BN1134" s="14"/>
      <c r="BO1134" s="16"/>
      <c r="BP1134" s="8"/>
    </row>
    <row r="1135" ht="9" customHeight="1" hidden="1">
      <c r="A1135" t="s" s="9">
        <v>4430</v>
      </c>
      <c r="B1135" s="11"/>
      <c r="C1135" t="str" s="11" cm="1">
        <f t="array" ref="C1135">_xlfn.IFERROR((VLOOKUP(A1135,#REF!,2,FALSE)),"")</f>
      </c>
      <c r="D1135" t="s" s="10">
        <v>70</v>
      </c>
      <c r="E1135" t="s" s="10">
        <v>195</v>
      </c>
      <c r="F1135" s="11"/>
      <c r="G1135" t="s" s="10">
        <v>4408</v>
      </c>
      <c r="H1135" t="s" s="10">
        <v>4409</v>
      </c>
      <c r="I1135" t="s" s="10">
        <v>73</v>
      </c>
      <c r="J1135" t="s" s="10">
        <v>74</v>
      </c>
      <c r="K1135" t="s" s="10">
        <v>127</v>
      </c>
      <c r="L1135" t="s" s="10">
        <v>76</v>
      </c>
      <c r="M1135" t="s" s="10">
        <v>77</v>
      </c>
      <c r="N1135" t="s" s="10">
        <v>4408</v>
      </c>
      <c r="O1135" t="s" s="10">
        <v>71</v>
      </c>
      <c r="P1135" s="11"/>
      <c r="Q1135" t="s" s="10">
        <v>69</v>
      </c>
      <c r="R1135" t="s" s="10">
        <v>339</v>
      </c>
      <c r="S1135" s="11"/>
      <c r="T1135" s="11"/>
      <c r="U1135" s="11"/>
      <c r="V1135" t="s" s="10">
        <v>69</v>
      </c>
      <c r="W1135" s="11"/>
      <c r="X1135" t="s" s="10">
        <v>78</v>
      </c>
      <c r="Y1135" s="11"/>
      <c r="Z1135" t="s" s="10">
        <v>76</v>
      </c>
      <c r="AA1135" s="11"/>
      <c r="AB1135" t="s" s="10">
        <v>76</v>
      </c>
      <c r="AC1135" t="s" s="10">
        <v>4430</v>
      </c>
      <c r="AD1135" s="11"/>
      <c r="AE1135" s="11"/>
      <c r="AF1135" s="11"/>
      <c r="AG1135" s="11"/>
      <c r="AH1135" s="11"/>
      <c r="AI1135" t="s" s="10">
        <v>76</v>
      </c>
      <c r="AJ1135" t="s" s="10">
        <v>76</v>
      </c>
      <c r="AK1135" t="s" s="10">
        <v>79</v>
      </c>
      <c r="AL1135" t="s" s="10">
        <v>115</v>
      </c>
      <c r="AM1135" t="s" s="10">
        <v>196</v>
      </c>
      <c r="AN1135" t="s" s="10">
        <v>128</v>
      </c>
      <c r="AO1135" s="11"/>
      <c r="AP1135" s="11"/>
      <c r="AQ1135" s="11"/>
      <c r="AR1135" s="11"/>
      <c r="AS1135" t="s" s="10">
        <v>4431</v>
      </c>
      <c r="AT1135" s="11"/>
      <c r="AU1135" s="11"/>
      <c r="AV1135" s="11"/>
      <c r="AW1135" s="11"/>
      <c r="AX1135" s="11"/>
      <c r="AY1135" s="11"/>
      <c r="AZ1135" s="11"/>
      <c r="BA1135" s="11"/>
      <c r="BB1135" s="11"/>
      <c r="BC1135" s="11"/>
      <c r="BD1135" s="11"/>
      <c r="BE1135" s="11"/>
      <c r="BF1135" s="11"/>
      <c r="BG1135" s="11"/>
      <c r="BH1135" s="11"/>
      <c r="BI1135" s="11"/>
      <c r="BJ1135" s="11"/>
      <c r="BK1135" s="11"/>
      <c r="BL1135" s="11"/>
      <c r="BM1135" s="11"/>
      <c r="BN1135" s="11"/>
      <c r="BO1135" s="12"/>
      <c r="BP1135" s="8"/>
    </row>
    <row r="1136" ht="9" customHeight="1" hidden="1">
      <c r="A1136" t="s" s="13">
        <v>4432</v>
      </c>
      <c r="B1136" s="14"/>
      <c r="C1136" t="str" s="14" cm="1">
        <f t="array" ref="C1136">_xlfn.IFERROR((VLOOKUP(A1136,#REF!,2,FALSE)),"")</f>
      </c>
      <c r="D1136" t="s" s="15">
        <v>70</v>
      </c>
      <c r="E1136" t="s" s="15">
        <v>195</v>
      </c>
      <c r="F1136" s="14"/>
      <c r="G1136" t="s" s="15">
        <v>4408</v>
      </c>
      <c r="H1136" t="s" s="15">
        <v>4409</v>
      </c>
      <c r="I1136" t="s" s="15">
        <v>73</v>
      </c>
      <c r="J1136" t="s" s="15">
        <v>74</v>
      </c>
      <c r="K1136" t="s" s="15">
        <v>127</v>
      </c>
      <c r="L1136" t="s" s="15">
        <v>76</v>
      </c>
      <c r="M1136" t="s" s="15">
        <v>77</v>
      </c>
      <c r="N1136" t="s" s="15">
        <v>4408</v>
      </c>
      <c r="O1136" t="s" s="15">
        <v>71</v>
      </c>
      <c r="P1136" s="14"/>
      <c r="Q1136" t="s" s="15">
        <v>69</v>
      </c>
      <c r="R1136" t="s" s="15">
        <v>339</v>
      </c>
      <c r="S1136" s="14"/>
      <c r="T1136" s="14"/>
      <c r="U1136" s="14"/>
      <c r="V1136" t="s" s="15">
        <v>69</v>
      </c>
      <c r="W1136" s="14"/>
      <c r="X1136" t="s" s="15">
        <v>78</v>
      </c>
      <c r="Y1136" s="14"/>
      <c r="Z1136" t="s" s="15">
        <v>76</v>
      </c>
      <c r="AA1136" s="14"/>
      <c r="AB1136" t="s" s="15">
        <v>76</v>
      </c>
      <c r="AC1136" t="s" s="15">
        <v>4432</v>
      </c>
      <c r="AD1136" s="14"/>
      <c r="AE1136" s="14"/>
      <c r="AF1136" s="14"/>
      <c r="AG1136" s="14"/>
      <c r="AH1136" s="14"/>
      <c r="AI1136" t="s" s="15">
        <v>76</v>
      </c>
      <c r="AJ1136" t="s" s="15">
        <v>76</v>
      </c>
      <c r="AK1136" t="s" s="15">
        <v>79</v>
      </c>
      <c r="AL1136" t="s" s="15">
        <v>115</v>
      </c>
      <c r="AM1136" t="s" s="15">
        <v>196</v>
      </c>
      <c r="AN1136" t="s" s="15">
        <v>128</v>
      </c>
      <c r="AO1136" s="14"/>
      <c r="AP1136" s="14"/>
      <c r="AQ1136" s="14"/>
      <c r="AR1136" s="14"/>
      <c r="AS1136" t="s" s="15">
        <v>4433</v>
      </c>
      <c r="AT1136" s="14"/>
      <c r="AU1136" s="14"/>
      <c r="AV1136" s="14"/>
      <c r="AW1136" s="14"/>
      <c r="AX1136" s="14"/>
      <c r="AY1136" s="14"/>
      <c r="AZ1136" s="14"/>
      <c r="BA1136" s="14"/>
      <c r="BB1136" s="14"/>
      <c r="BC1136" s="14"/>
      <c r="BD1136" s="14"/>
      <c r="BE1136" s="14"/>
      <c r="BF1136" s="14"/>
      <c r="BG1136" s="14"/>
      <c r="BH1136" s="14"/>
      <c r="BI1136" s="14"/>
      <c r="BJ1136" s="14"/>
      <c r="BK1136" s="14"/>
      <c r="BL1136" s="14"/>
      <c r="BM1136" s="14"/>
      <c r="BN1136" s="14"/>
      <c r="BO1136" s="16"/>
      <c r="BP1136" s="8"/>
    </row>
    <row r="1137" ht="9" customHeight="1" hidden="1">
      <c r="A1137" t="s" s="9">
        <v>4434</v>
      </c>
      <c r="B1137" s="11"/>
      <c r="C1137" t="str" s="11" cm="1">
        <f t="array" ref="C1137">_xlfn.IFERROR((VLOOKUP(A1137,#REF!,2,FALSE)),"")</f>
      </c>
      <c r="D1137" t="s" s="10">
        <v>70</v>
      </c>
      <c r="E1137" t="s" s="10">
        <v>195</v>
      </c>
      <c r="F1137" s="11"/>
      <c r="G1137" t="s" s="10">
        <v>4408</v>
      </c>
      <c r="H1137" t="s" s="10">
        <v>4409</v>
      </c>
      <c r="I1137" t="s" s="10">
        <v>73</v>
      </c>
      <c r="J1137" t="s" s="10">
        <v>74</v>
      </c>
      <c r="K1137" t="s" s="10">
        <v>127</v>
      </c>
      <c r="L1137" t="s" s="10">
        <v>76</v>
      </c>
      <c r="M1137" t="s" s="10">
        <v>77</v>
      </c>
      <c r="N1137" t="s" s="10">
        <v>4408</v>
      </c>
      <c r="O1137" t="s" s="10">
        <v>71</v>
      </c>
      <c r="P1137" s="11"/>
      <c r="Q1137" t="s" s="10">
        <v>69</v>
      </c>
      <c r="R1137" t="s" s="10">
        <v>339</v>
      </c>
      <c r="S1137" s="11"/>
      <c r="T1137" s="11"/>
      <c r="U1137" s="11"/>
      <c r="V1137" t="s" s="10">
        <v>69</v>
      </c>
      <c r="W1137" s="11"/>
      <c r="X1137" t="s" s="10">
        <v>78</v>
      </c>
      <c r="Y1137" s="11"/>
      <c r="Z1137" t="s" s="10">
        <v>76</v>
      </c>
      <c r="AA1137" s="11"/>
      <c r="AB1137" t="s" s="10">
        <v>76</v>
      </c>
      <c r="AC1137" t="s" s="10">
        <v>4434</v>
      </c>
      <c r="AD1137" s="11"/>
      <c r="AE1137" s="11"/>
      <c r="AF1137" s="11"/>
      <c r="AG1137" s="11"/>
      <c r="AH1137" s="11"/>
      <c r="AI1137" t="s" s="10">
        <v>76</v>
      </c>
      <c r="AJ1137" t="s" s="10">
        <v>76</v>
      </c>
      <c r="AK1137" t="s" s="10">
        <v>79</v>
      </c>
      <c r="AL1137" t="s" s="10">
        <v>115</v>
      </c>
      <c r="AM1137" t="s" s="10">
        <v>196</v>
      </c>
      <c r="AN1137" t="s" s="10">
        <v>128</v>
      </c>
      <c r="AO1137" s="11"/>
      <c r="AP1137" s="11"/>
      <c r="AQ1137" s="11"/>
      <c r="AR1137" s="11"/>
      <c r="AS1137" t="s" s="10">
        <v>4435</v>
      </c>
      <c r="AT1137" s="11"/>
      <c r="AU1137" s="11"/>
      <c r="AV1137" s="11"/>
      <c r="AW1137" s="11"/>
      <c r="AX1137" s="11"/>
      <c r="AY1137" s="11"/>
      <c r="AZ1137" s="11"/>
      <c r="BA1137" s="11"/>
      <c r="BB1137" s="11"/>
      <c r="BC1137" s="11"/>
      <c r="BD1137" s="11"/>
      <c r="BE1137" s="11"/>
      <c r="BF1137" s="11"/>
      <c r="BG1137" s="11"/>
      <c r="BH1137" s="11"/>
      <c r="BI1137" s="11"/>
      <c r="BJ1137" s="11"/>
      <c r="BK1137" s="11"/>
      <c r="BL1137" s="11"/>
      <c r="BM1137" s="11"/>
      <c r="BN1137" s="11"/>
      <c r="BO1137" s="12"/>
      <c r="BP1137" s="8"/>
    </row>
    <row r="1138" ht="9" customHeight="1" hidden="1">
      <c r="A1138" t="s" s="13">
        <v>4436</v>
      </c>
      <c r="B1138" s="14"/>
      <c r="C1138" t="str" s="14" cm="1">
        <f t="array" ref="C1138">_xlfn.IFERROR((VLOOKUP(A1138,#REF!,2,FALSE)),"")</f>
      </c>
      <c r="D1138" t="s" s="15">
        <v>70</v>
      </c>
      <c r="E1138" t="s" s="15">
        <v>195</v>
      </c>
      <c r="F1138" s="14"/>
      <c r="G1138" t="s" s="15">
        <v>4408</v>
      </c>
      <c r="H1138" t="s" s="15">
        <v>4409</v>
      </c>
      <c r="I1138" t="s" s="15">
        <v>73</v>
      </c>
      <c r="J1138" t="s" s="15">
        <v>74</v>
      </c>
      <c r="K1138" t="s" s="15">
        <v>127</v>
      </c>
      <c r="L1138" t="s" s="15">
        <v>76</v>
      </c>
      <c r="M1138" t="s" s="15">
        <v>77</v>
      </c>
      <c r="N1138" t="s" s="15">
        <v>4408</v>
      </c>
      <c r="O1138" t="s" s="15">
        <v>71</v>
      </c>
      <c r="P1138" s="14"/>
      <c r="Q1138" t="s" s="15">
        <v>69</v>
      </c>
      <c r="R1138" t="s" s="15">
        <v>339</v>
      </c>
      <c r="S1138" s="14"/>
      <c r="T1138" s="14"/>
      <c r="U1138" s="14"/>
      <c r="V1138" t="s" s="15">
        <v>69</v>
      </c>
      <c r="W1138" s="14"/>
      <c r="X1138" t="s" s="15">
        <v>78</v>
      </c>
      <c r="Y1138" s="14"/>
      <c r="Z1138" t="s" s="15">
        <v>76</v>
      </c>
      <c r="AA1138" s="14"/>
      <c r="AB1138" t="s" s="15">
        <v>76</v>
      </c>
      <c r="AC1138" t="s" s="15">
        <v>4436</v>
      </c>
      <c r="AD1138" s="14"/>
      <c r="AE1138" s="14"/>
      <c r="AF1138" s="14"/>
      <c r="AG1138" s="14"/>
      <c r="AH1138" s="14"/>
      <c r="AI1138" t="s" s="15">
        <v>76</v>
      </c>
      <c r="AJ1138" t="s" s="15">
        <v>76</v>
      </c>
      <c r="AK1138" t="s" s="15">
        <v>79</v>
      </c>
      <c r="AL1138" t="s" s="15">
        <v>115</v>
      </c>
      <c r="AM1138" t="s" s="15">
        <v>196</v>
      </c>
      <c r="AN1138" t="s" s="15">
        <v>128</v>
      </c>
      <c r="AO1138" s="14"/>
      <c r="AP1138" s="14"/>
      <c r="AQ1138" s="14"/>
      <c r="AR1138" s="14"/>
      <c r="AS1138" t="s" s="15">
        <v>4437</v>
      </c>
      <c r="AT1138" s="14"/>
      <c r="AU1138" s="14"/>
      <c r="AV1138" s="14"/>
      <c r="AW1138" s="14"/>
      <c r="AX1138" s="14"/>
      <c r="AY1138" s="14"/>
      <c r="AZ1138" s="14"/>
      <c r="BA1138" s="14"/>
      <c r="BB1138" s="14"/>
      <c r="BC1138" s="14"/>
      <c r="BD1138" s="14"/>
      <c r="BE1138" s="14"/>
      <c r="BF1138" s="14"/>
      <c r="BG1138" s="14"/>
      <c r="BH1138" s="14"/>
      <c r="BI1138" s="14"/>
      <c r="BJ1138" s="14"/>
      <c r="BK1138" s="14"/>
      <c r="BL1138" s="14"/>
      <c r="BM1138" s="14"/>
      <c r="BN1138" s="14"/>
      <c r="BO1138" s="16"/>
      <c r="BP1138" s="8"/>
    </row>
    <row r="1139" ht="9" customHeight="1" hidden="1">
      <c r="A1139" t="s" s="9">
        <v>4438</v>
      </c>
      <c r="B1139" s="11"/>
      <c r="C1139" t="str" s="11" cm="1">
        <f t="array" ref="C1139">_xlfn.IFERROR((VLOOKUP(A1139,#REF!,2,FALSE)),"")</f>
      </c>
      <c r="D1139" t="s" s="10">
        <v>70</v>
      </c>
      <c r="E1139" t="s" s="10">
        <v>195</v>
      </c>
      <c r="F1139" s="11"/>
      <c r="G1139" t="s" s="10">
        <v>4408</v>
      </c>
      <c r="H1139" t="s" s="10">
        <v>4409</v>
      </c>
      <c r="I1139" t="s" s="10">
        <v>73</v>
      </c>
      <c r="J1139" t="s" s="10">
        <v>74</v>
      </c>
      <c r="K1139" t="s" s="10">
        <v>127</v>
      </c>
      <c r="L1139" t="s" s="10">
        <v>76</v>
      </c>
      <c r="M1139" t="s" s="10">
        <v>77</v>
      </c>
      <c r="N1139" t="s" s="10">
        <v>4408</v>
      </c>
      <c r="O1139" t="s" s="10">
        <v>71</v>
      </c>
      <c r="P1139" s="11"/>
      <c r="Q1139" t="s" s="10">
        <v>69</v>
      </c>
      <c r="R1139" t="s" s="10">
        <v>339</v>
      </c>
      <c r="S1139" s="11"/>
      <c r="T1139" s="11"/>
      <c r="U1139" s="11"/>
      <c r="V1139" t="s" s="10">
        <v>69</v>
      </c>
      <c r="W1139" s="11"/>
      <c r="X1139" t="s" s="10">
        <v>78</v>
      </c>
      <c r="Y1139" s="11"/>
      <c r="Z1139" t="s" s="10">
        <v>76</v>
      </c>
      <c r="AA1139" s="11"/>
      <c r="AB1139" t="s" s="10">
        <v>76</v>
      </c>
      <c r="AC1139" t="s" s="10">
        <v>4438</v>
      </c>
      <c r="AD1139" s="11"/>
      <c r="AE1139" s="11"/>
      <c r="AF1139" s="11"/>
      <c r="AG1139" s="11"/>
      <c r="AH1139" s="11"/>
      <c r="AI1139" t="s" s="10">
        <v>76</v>
      </c>
      <c r="AJ1139" t="s" s="10">
        <v>76</v>
      </c>
      <c r="AK1139" t="s" s="10">
        <v>79</v>
      </c>
      <c r="AL1139" t="s" s="10">
        <v>115</v>
      </c>
      <c r="AM1139" t="s" s="10">
        <v>196</v>
      </c>
      <c r="AN1139" t="s" s="10">
        <v>128</v>
      </c>
      <c r="AO1139" s="11"/>
      <c r="AP1139" s="11"/>
      <c r="AQ1139" s="11"/>
      <c r="AR1139" s="11"/>
      <c r="AS1139" t="s" s="10">
        <v>4439</v>
      </c>
      <c r="AT1139" s="11"/>
      <c r="AU1139" s="11"/>
      <c r="AV1139" s="11"/>
      <c r="AW1139" s="11"/>
      <c r="AX1139" s="11"/>
      <c r="AY1139" s="11"/>
      <c r="AZ1139" s="11"/>
      <c r="BA1139" s="11"/>
      <c r="BB1139" s="11"/>
      <c r="BC1139" s="11"/>
      <c r="BD1139" s="11"/>
      <c r="BE1139" s="11"/>
      <c r="BF1139" s="11"/>
      <c r="BG1139" s="11"/>
      <c r="BH1139" s="11"/>
      <c r="BI1139" s="11"/>
      <c r="BJ1139" s="11"/>
      <c r="BK1139" s="11"/>
      <c r="BL1139" s="11"/>
      <c r="BM1139" s="11"/>
      <c r="BN1139" s="11"/>
      <c r="BO1139" s="12"/>
      <c r="BP1139" s="8"/>
    </row>
    <row r="1140" ht="9" customHeight="1" hidden="1">
      <c r="A1140" t="s" s="13">
        <v>4440</v>
      </c>
      <c r="B1140" s="14"/>
      <c r="C1140" t="str" s="14" cm="1">
        <f t="array" ref="C1140">_xlfn.IFERROR((VLOOKUP(A1140,#REF!,2,FALSE)),"")</f>
      </c>
      <c r="D1140" t="s" s="15">
        <v>70</v>
      </c>
      <c r="E1140" t="s" s="15">
        <v>71</v>
      </c>
      <c r="F1140" s="14"/>
      <c r="G1140" s="14"/>
      <c r="H1140" s="14"/>
      <c r="I1140" t="s" s="15">
        <v>73</v>
      </c>
      <c r="J1140" t="s" s="15">
        <v>74</v>
      </c>
      <c r="K1140" t="s" s="15">
        <v>127</v>
      </c>
      <c r="L1140" t="s" s="15">
        <v>76</v>
      </c>
      <c r="M1140" t="s" s="15">
        <v>77</v>
      </c>
      <c r="N1140" s="14"/>
      <c r="O1140" t="s" s="15">
        <v>71</v>
      </c>
      <c r="P1140" s="14"/>
      <c r="Q1140" t="s" s="15">
        <v>78</v>
      </c>
      <c r="R1140" t="s" s="15">
        <v>71</v>
      </c>
      <c r="S1140" s="14"/>
      <c r="T1140" s="14"/>
      <c r="U1140" s="14"/>
      <c r="V1140" t="s" s="15">
        <v>78</v>
      </c>
      <c r="W1140" t="s" s="15">
        <v>4440</v>
      </c>
      <c r="X1140" t="s" s="15">
        <v>78</v>
      </c>
      <c r="Y1140" s="14"/>
      <c r="Z1140" t="s" s="15">
        <v>76</v>
      </c>
      <c r="AA1140" s="14"/>
      <c r="AB1140" t="s" s="15">
        <v>76</v>
      </c>
      <c r="AC1140" s="14"/>
      <c r="AD1140" s="14"/>
      <c r="AE1140" s="14"/>
      <c r="AF1140" s="14"/>
      <c r="AG1140" s="14"/>
      <c r="AH1140" s="14"/>
      <c r="AI1140" t="s" s="15">
        <v>76</v>
      </c>
      <c r="AJ1140" t="s" s="15">
        <v>76</v>
      </c>
      <c r="AK1140" t="s" s="15">
        <v>79</v>
      </c>
      <c r="AL1140" t="s" s="15">
        <v>115</v>
      </c>
      <c r="AM1140" s="14"/>
      <c r="AN1140" s="14"/>
      <c r="AO1140" s="14"/>
      <c r="AP1140" s="14"/>
      <c r="AQ1140" s="14"/>
      <c r="AR1140" s="14"/>
      <c r="AS1140" t="s" s="15">
        <v>4441</v>
      </c>
      <c r="AT1140" s="14"/>
      <c r="AU1140" s="14"/>
      <c r="AV1140" s="14"/>
      <c r="AW1140" s="14"/>
      <c r="AX1140" s="14"/>
      <c r="AY1140" s="14"/>
      <c r="AZ1140" s="14"/>
      <c r="BA1140" s="14"/>
      <c r="BB1140" s="14"/>
      <c r="BC1140" s="14"/>
      <c r="BD1140" s="14"/>
      <c r="BE1140" s="14"/>
      <c r="BF1140" s="14"/>
      <c r="BG1140" s="14"/>
      <c r="BH1140" s="14"/>
      <c r="BI1140" s="14"/>
      <c r="BJ1140" s="14"/>
      <c r="BK1140" s="14"/>
      <c r="BL1140" s="14"/>
      <c r="BM1140" s="14"/>
      <c r="BN1140" s="14"/>
      <c r="BO1140" s="16"/>
      <c r="BP1140" s="8"/>
    </row>
    <row r="1141" ht="9" customHeight="1" hidden="1">
      <c r="A1141" t="s" s="9">
        <v>4442</v>
      </c>
      <c r="B1141" s="11"/>
      <c r="C1141" t="str" s="11" cm="1">
        <f t="array" ref="C1141">_xlfn.IFERROR((VLOOKUP(A1141,#REF!,2,FALSE)),"")</f>
      </c>
      <c r="D1141" t="s" s="10">
        <v>70</v>
      </c>
      <c r="E1141" t="s" s="10">
        <v>195</v>
      </c>
      <c r="F1141" s="11"/>
      <c r="G1141" t="s" s="10">
        <v>4408</v>
      </c>
      <c r="H1141" t="s" s="10">
        <v>4409</v>
      </c>
      <c r="I1141" t="s" s="10">
        <v>73</v>
      </c>
      <c r="J1141" t="s" s="10">
        <v>74</v>
      </c>
      <c r="K1141" t="s" s="10">
        <v>127</v>
      </c>
      <c r="L1141" t="s" s="10">
        <v>76</v>
      </c>
      <c r="M1141" t="s" s="10">
        <v>77</v>
      </c>
      <c r="N1141" t="s" s="10">
        <v>4408</v>
      </c>
      <c r="O1141" t="s" s="10">
        <v>71</v>
      </c>
      <c r="P1141" s="11"/>
      <c r="Q1141" t="s" s="10">
        <v>69</v>
      </c>
      <c r="R1141" t="s" s="10">
        <v>339</v>
      </c>
      <c r="S1141" s="11"/>
      <c r="T1141" s="11"/>
      <c r="U1141" s="11"/>
      <c r="V1141" t="s" s="10">
        <v>69</v>
      </c>
      <c r="W1141" s="11"/>
      <c r="X1141" t="s" s="10">
        <v>78</v>
      </c>
      <c r="Y1141" s="11"/>
      <c r="Z1141" t="s" s="10">
        <v>76</v>
      </c>
      <c r="AA1141" s="11"/>
      <c r="AB1141" t="s" s="10">
        <v>76</v>
      </c>
      <c r="AC1141" t="s" s="10">
        <v>4442</v>
      </c>
      <c r="AD1141" s="11"/>
      <c r="AE1141" s="11"/>
      <c r="AF1141" s="11"/>
      <c r="AG1141" s="11"/>
      <c r="AH1141" s="11"/>
      <c r="AI1141" t="s" s="10">
        <v>76</v>
      </c>
      <c r="AJ1141" t="s" s="10">
        <v>76</v>
      </c>
      <c r="AK1141" t="s" s="10">
        <v>79</v>
      </c>
      <c r="AL1141" t="s" s="10">
        <v>115</v>
      </c>
      <c r="AM1141" t="s" s="10">
        <v>196</v>
      </c>
      <c r="AN1141" t="s" s="10">
        <v>128</v>
      </c>
      <c r="AO1141" s="11"/>
      <c r="AP1141" s="11"/>
      <c r="AQ1141" s="11"/>
      <c r="AR1141" s="11"/>
      <c r="AS1141" t="s" s="10">
        <v>4443</v>
      </c>
      <c r="AT1141" s="11"/>
      <c r="AU1141" s="11"/>
      <c r="AV1141" s="11"/>
      <c r="AW1141" s="11"/>
      <c r="AX1141" s="11"/>
      <c r="AY1141" s="11"/>
      <c r="AZ1141" s="11"/>
      <c r="BA1141" s="11"/>
      <c r="BB1141" s="11"/>
      <c r="BC1141" s="11"/>
      <c r="BD1141" s="11"/>
      <c r="BE1141" s="11"/>
      <c r="BF1141" s="11"/>
      <c r="BG1141" s="11"/>
      <c r="BH1141" s="11"/>
      <c r="BI1141" s="11"/>
      <c r="BJ1141" s="11"/>
      <c r="BK1141" s="11"/>
      <c r="BL1141" s="11"/>
      <c r="BM1141" s="11"/>
      <c r="BN1141" s="11"/>
      <c r="BO1141" s="12"/>
      <c r="BP1141" s="8"/>
    </row>
    <row r="1142" ht="9" customHeight="1" hidden="1">
      <c r="A1142" t="s" s="13">
        <v>4444</v>
      </c>
      <c r="B1142" s="14"/>
      <c r="C1142" t="str" s="14" cm="1">
        <f t="array" ref="C1142">_xlfn.IFERROR((VLOOKUP(A1142,#REF!,2,FALSE)),"")</f>
      </c>
      <c r="D1142" t="s" s="15">
        <v>70</v>
      </c>
      <c r="E1142" t="s" s="15">
        <v>195</v>
      </c>
      <c r="F1142" s="14"/>
      <c r="G1142" t="s" s="15">
        <v>4408</v>
      </c>
      <c r="H1142" t="s" s="15">
        <v>4409</v>
      </c>
      <c r="I1142" t="s" s="15">
        <v>73</v>
      </c>
      <c r="J1142" t="s" s="15">
        <v>74</v>
      </c>
      <c r="K1142" t="s" s="15">
        <v>127</v>
      </c>
      <c r="L1142" t="s" s="15">
        <v>76</v>
      </c>
      <c r="M1142" t="s" s="15">
        <v>77</v>
      </c>
      <c r="N1142" t="s" s="15">
        <v>4408</v>
      </c>
      <c r="O1142" t="s" s="15">
        <v>71</v>
      </c>
      <c r="P1142" s="14"/>
      <c r="Q1142" t="s" s="15">
        <v>69</v>
      </c>
      <c r="R1142" t="s" s="15">
        <v>339</v>
      </c>
      <c r="S1142" s="14"/>
      <c r="T1142" s="14"/>
      <c r="U1142" s="14"/>
      <c r="V1142" t="s" s="15">
        <v>69</v>
      </c>
      <c r="W1142" s="14"/>
      <c r="X1142" t="s" s="15">
        <v>78</v>
      </c>
      <c r="Y1142" s="14"/>
      <c r="Z1142" t="s" s="15">
        <v>76</v>
      </c>
      <c r="AA1142" s="14"/>
      <c r="AB1142" t="s" s="15">
        <v>76</v>
      </c>
      <c r="AC1142" t="s" s="15">
        <v>4444</v>
      </c>
      <c r="AD1142" s="14"/>
      <c r="AE1142" s="14"/>
      <c r="AF1142" s="14"/>
      <c r="AG1142" s="14"/>
      <c r="AH1142" s="14"/>
      <c r="AI1142" t="s" s="15">
        <v>76</v>
      </c>
      <c r="AJ1142" t="s" s="15">
        <v>76</v>
      </c>
      <c r="AK1142" t="s" s="15">
        <v>79</v>
      </c>
      <c r="AL1142" t="s" s="15">
        <v>115</v>
      </c>
      <c r="AM1142" t="s" s="15">
        <v>196</v>
      </c>
      <c r="AN1142" t="s" s="15">
        <v>128</v>
      </c>
      <c r="AO1142" s="14"/>
      <c r="AP1142" s="14"/>
      <c r="AQ1142" s="14"/>
      <c r="AR1142" s="14"/>
      <c r="AS1142" t="s" s="15">
        <v>4445</v>
      </c>
      <c r="AT1142" s="14"/>
      <c r="AU1142" s="14"/>
      <c r="AV1142" s="14"/>
      <c r="AW1142" s="14"/>
      <c r="AX1142" s="14"/>
      <c r="AY1142" s="14"/>
      <c r="AZ1142" s="14"/>
      <c r="BA1142" s="14"/>
      <c r="BB1142" s="14"/>
      <c r="BC1142" s="14"/>
      <c r="BD1142" s="14"/>
      <c r="BE1142" s="14"/>
      <c r="BF1142" s="14"/>
      <c r="BG1142" s="14"/>
      <c r="BH1142" s="14"/>
      <c r="BI1142" s="14"/>
      <c r="BJ1142" s="14"/>
      <c r="BK1142" s="14"/>
      <c r="BL1142" s="14"/>
      <c r="BM1142" s="14"/>
      <c r="BN1142" s="14"/>
      <c r="BO1142" s="16"/>
      <c r="BP1142" s="8"/>
    </row>
    <row r="1143" ht="9" customHeight="1" hidden="1">
      <c r="A1143" t="s" s="9">
        <v>4446</v>
      </c>
      <c r="B1143" s="11"/>
      <c r="C1143" t="str" s="11" cm="1">
        <f t="array" ref="C1143">_xlfn.IFERROR((VLOOKUP(A1143,#REF!,2,FALSE)),"")</f>
      </c>
      <c r="D1143" t="s" s="10">
        <v>70</v>
      </c>
      <c r="E1143" t="s" s="10">
        <v>71</v>
      </c>
      <c r="F1143" s="11"/>
      <c r="G1143" s="11"/>
      <c r="H1143" s="11"/>
      <c r="I1143" t="s" s="10">
        <v>73</v>
      </c>
      <c r="J1143" t="s" s="10">
        <v>74</v>
      </c>
      <c r="K1143" t="s" s="10">
        <v>127</v>
      </c>
      <c r="L1143" t="s" s="10">
        <v>76</v>
      </c>
      <c r="M1143" t="s" s="10">
        <v>77</v>
      </c>
      <c r="N1143" s="11"/>
      <c r="O1143" t="s" s="10">
        <v>71</v>
      </c>
      <c r="P1143" s="11"/>
      <c r="Q1143" t="s" s="10">
        <v>78</v>
      </c>
      <c r="R1143" t="s" s="10">
        <v>71</v>
      </c>
      <c r="S1143" s="11"/>
      <c r="T1143" s="11"/>
      <c r="U1143" s="11"/>
      <c r="V1143" t="s" s="10">
        <v>69</v>
      </c>
      <c r="W1143" t="s" s="10">
        <v>4447</v>
      </c>
      <c r="X1143" t="s" s="10">
        <v>78</v>
      </c>
      <c r="Y1143" s="11"/>
      <c r="Z1143" t="s" s="10">
        <v>76</v>
      </c>
      <c r="AA1143" s="11"/>
      <c r="AB1143" t="s" s="10">
        <v>76</v>
      </c>
      <c r="AC1143" s="11"/>
      <c r="AD1143" s="11"/>
      <c r="AE1143" s="11"/>
      <c r="AF1143" s="11"/>
      <c r="AG1143" s="11"/>
      <c r="AH1143" s="11"/>
      <c r="AI1143" t="s" s="10">
        <v>76</v>
      </c>
      <c r="AJ1143" t="s" s="10">
        <v>76</v>
      </c>
      <c r="AK1143" t="s" s="10">
        <v>79</v>
      </c>
      <c r="AL1143" t="s" s="10">
        <v>115</v>
      </c>
      <c r="AM1143" s="11"/>
      <c r="AN1143" t="s" s="10">
        <v>128</v>
      </c>
      <c r="AO1143" s="11"/>
      <c r="AP1143" s="11"/>
      <c r="AQ1143" s="11"/>
      <c r="AR1143" s="11"/>
      <c r="AS1143" t="s" s="10">
        <v>4448</v>
      </c>
      <c r="AT1143" s="11"/>
      <c r="AU1143" s="11"/>
      <c r="AV1143" s="11"/>
      <c r="AW1143" s="11"/>
      <c r="AX1143" s="11"/>
      <c r="AY1143" s="11"/>
      <c r="AZ1143" s="11"/>
      <c r="BA1143" s="11"/>
      <c r="BB1143" s="11"/>
      <c r="BC1143" s="11"/>
      <c r="BD1143" s="11"/>
      <c r="BE1143" s="11"/>
      <c r="BF1143" s="11"/>
      <c r="BG1143" s="11"/>
      <c r="BH1143" s="11"/>
      <c r="BI1143" s="11"/>
      <c r="BJ1143" s="11"/>
      <c r="BK1143" s="11"/>
      <c r="BL1143" s="11"/>
      <c r="BM1143" s="11"/>
      <c r="BN1143" s="11"/>
      <c r="BO1143" s="12"/>
      <c r="BP1143" s="8"/>
    </row>
    <row r="1144" ht="9" customHeight="1" hidden="1">
      <c r="A1144" t="s" s="13">
        <v>4449</v>
      </c>
      <c r="B1144" s="14"/>
      <c r="C1144" t="str" s="14" cm="1">
        <f t="array" ref="C1144">_xlfn.IFERROR((VLOOKUP(A1144,#REF!,2,FALSE)),"")</f>
      </c>
      <c r="D1144" s="14"/>
      <c r="E1144" t="s" s="15">
        <v>195</v>
      </c>
      <c r="F1144" s="14"/>
      <c r="G1144" t="s" s="15">
        <v>4450</v>
      </c>
      <c r="H1144" t="s" s="15">
        <v>4451</v>
      </c>
      <c r="I1144" t="s" s="15">
        <v>73</v>
      </c>
      <c r="J1144" t="s" s="15">
        <v>74</v>
      </c>
      <c r="K1144" t="s" s="15">
        <v>127</v>
      </c>
      <c r="L1144" t="s" s="15">
        <v>76</v>
      </c>
      <c r="M1144" t="s" s="15">
        <v>77</v>
      </c>
      <c r="N1144" t="s" s="15">
        <v>4450</v>
      </c>
      <c r="O1144" t="s" s="15">
        <v>71</v>
      </c>
      <c r="P1144" s="14"/>
      <c r="Q1144" t="s" s="15">
        <v>69</v>
      </c>
      <c r="R1144" t="s" s="15">
        <v>339</v>
      </c>
      <c r="S1144" s="14"/>
      <c r="T1144" s="14"/>
      <c r="U1144" s="14"/>
      <c r="V1144" t="s" s="15">
        <v>69</v>
      </c>
      <c r="W1144" s="14"/>
      <c r="X1144" t="s" s="15">
        <v>69</v>
      </c>
      <c r="Y1144" s="14"/>
      <c r="Z1144" t="s" s="15">
        <v>76</v>
      </c>
      <c r="AA1144" s="14"/>
      <c r="AB1144" t="s" s="15">
        <v>76</v>
      </c>
      <c r="AC1144" t="s" s="15">
        <v>4449</v>
      </c>
      <c r="AD1144" s="14"/>
      <c r="AE1144" s="14"/>
      <c r="AF1144" s="14"/>
      <c r="AG1144" s="14"/>
      <c r="AH1144" s="14"/>
      <c r="AI1144" t="s" s="15">
        <v>76</v>
      </c>
      <c r="AJ1144" t="s" s="15">
        <v>76</v>
      </c>
      <c r="AK1144" t="s" s="15">
        <v>79</v>
      </c>
      <c r="AL1144" t="s" s="15">
        <v>115</v>
      </c>
      <c r="AM1144" t="s" s="15">
        <v>196</v>
      </c>
      <c r="AN1144" t="s" s="15">
        <v>128</v>
      </c>
      <c r="AO1144" s="14"/>
      <c r="AP1144" s="14"/>
      <c r="AQ1144" s="14"/>
      <c r="AR1144" s="14"/>
      <c r="AS1144" t="s" s="15">
        <v>4452</v>
      </c>
      <c r="AT1144" s="14"/>
      <c r="AU1144" s="14"/>
      <c r="AV1144" s="14"/>
      <c r="AW1144" s="14"/>
      <c r="AX1144" s="14"/>
      <c r="AY1144" s="14"/>
      <c r="AZ1144" s="14"/>
      <c r="BA1144" s="14"/>
      <c r="BB1144" s="14"/>
      <c r="BC1144" s="14"/>
      <c r="BD1144" s="14"/>
      <c r="BE1144" s="14"/>
      <c r="BF1144" s="14"/>
      <c r="BG1144" s="14"/>
      <c r="BH1144" s="14"/>
      <c r="BI1144" s="14"/>
      <c r="BJ1144" s="14"/>
      <c r="BK1144" s="14"/>
      <c r="BL1144" s="14"/>
      <c r="BM1144" s="14"/>
      <c r="BN1144" s="14"/>
      <c r="BO1144" s="16"/>
      <c r="BP1144" s="8"/>
    </row>
    <row r="1145" ht="9" customHeight="1" hidden="1">
      <c r="A1145" t="s" s="9">
        <v>4453</v>
      </c>
      <c r="B1145" s="11"/>
      <c r="C1145" t="str" s="11" cm="1">
        <f t="array" ref="C1145">_xlfn.IFERROR((VLOOKUP(A1145,#REF!,2,FALSE)),"")</f>
      </c>
      <c r="D1145" t="s" s="10">
        <v>70</v>
      </c>
      <c r="E1145" t="s" s="10">
        <v>195</v>
      </c>
      <c r="F1145" s="11"/>
      <c r="G1145" t="s" s="10">
        <v>4408</v>
      </c>
      <c r="H1145" t="s" s="10">
        <v>4409</v>
      </c>
      <c r="I1145" t="s" s="10">
        <v>73</v>
      </c>
      <c r="J1145" t="s" s="10">
        <v>74</v>
      </c>
      <c r="K1145" t="s" s="10">
        <v>127</v>
      </c>
      <c r="L1145" t="s" s="10">
        <v>76</v>
      </c>
      <c r="M1145" t="s" s="10">
        <v>77</v>
      </c>
      <c r="N1145" t="s" s="10">
        <v>4408</v>
      </c>
      <c r="O1145" t="s" s="10">
        <v>71</v>
      </c>
      <c r="P1145" s="11"/>
      <c r="Q1145" t="s" s="10">
        <v>69</v>
      </c>
      <c r="R1145" t="s" s="10">
        <v>339</v>
      </c>
      <c r="S1145" s="11"/>
      <c r="T1145" s="11"/>
      <c r="U1145" s="11"/>
      <c r="V1145" t="s" s="10">
        <v>69</v>
      </c>
      <c r="W1145" s="11"/>
      <c r="X1145" t="s" s="10">
        <v>78</v>
      </c>
      <c r="Y1145" s="11"/>
      <c r="Z1145" t="s" s="10">
        <v>76</v>
      </c>
      <c r="AA1145" s="11"/>
      <c r="AB1145" t="s" s="10">
        <v>76</v>
      </c>
      <c r="AC1145" t="s" s="10">
        <v>4453</v>
      </c>
      <c r="AD1145" s="11"/>
      <c r="AE1145" s="11"/>
      <c r="AF1145" s="11"/>
      <c r="AG1145" s="11"/>
      <c r="AH1145" s="11"/>
      <c r="AI1145" t="s" s="10">
        <v>76</v>
      </c>
      <c r="AJ1145" t="s" s="10">
        <v>76</v>
      </c>
      <c r="AK1145" t="s" s="10">
        <v>79</v>
      </c>
      <c r="AL1145" t="s" s="10">
        <v>115</v>
      </c>
      <c r="AM1145" t="s" s="10">
        <v>196</v>
      </c>
      <c r="AN1145" t="s" s="10">
        <v>128</v>
      </c>
      <c r="AO1145" s="11"/>
      <c r="AP1145" s="11"/>
      <c r="AQ1145" s="11"/>
      <c r="AR1145" s="11"/>
      <c r="AS1145" t="s" s="10">
        <v>4454</v>
      </c>
      <c r="AT1145" s="11"/>
      <c r="AU1145" s="11"/>
      <c r="AV1145" s="11"/>
      <c r="AW1145" s="11"/>
      <c r="AX1145" s="11"/>
      <c r="AY1145" s="11"/>
      <c r="AZ1145" s="11"/>
      <c r="BA1145" s="11"/>
      <c r="BB1145" s="11"/>
      <c r="BC1145" s="11"/>
      <c r="BD1145" s="11"/>
      <c r="BE1145" s="11"/>
      <c r="BF1145" s="11"/>
      <c r="BG1145" s="11"/>
      <c r="BH1145" s="11"/>
      <c r="BI1145" s="11"/>
      <c r="BJ1145" s="11"/>
      <c r="BK1145" s="11"/>
      <c r="BL1145" s="11"/>
      <c r="BM1145" s="11"/>
      <c r="BN1145" s="11"/>
      <c r="BO1145" s="12"/>
      <c r="BP1145" s="8"/>
    </row>
    <row r="1146" ht="9" customHeight="1" hidden="1">
      <c r="A1146" t="s" s="13">
        <v>4455</v>
      </c>
      <c r="B1146" s="14"/>
      <c r="C1146" t="str" s="14" cm="1">
        <f t="array" ref="C1146">_xlfn.IFERROR((VLOOKUP(A1146,#REF!,2,FALSE)),"")</f>
      </c>
      <c r="D1146" t="s" s="15">
        <v>70</v>
      </c>
      <c r="E1146" t="s" s="15">
        <v>71</v>
      </c>
      <c r="F1146" s="14"/>
      <c r="G1146" s="14"/>
      <c r="H1146" s="14"/>
      <c r="I1146" t="s" s="15">
        <v>73</v>
      </c>
      <c r="J1146" t="s" s="15">
        <v>74</v>
      </c>
      <c r="K1146" t="s" s="15">
        <v>127</v>
      </c>
      <c r="L1146" t="s" s="15">
        <v>76</v>
      </c>
      <c r="M1146" t="s" s="15">
        <v>77</v>
      </c>
      <c r="N1146" s="14"/>
      <c r="O1146" t="s" s="15">
        <v>71</v>
      </c>
      <c r="P1146" s="14"/>
      <c r="Q1146" t="s" s="15">
        <v>78</v>
      </c>
      <c r="R1146" t="s" s="15">
        <v>71</v>
      </c>
      <c r="S1146" s="14"/>
      <c r="T1146" s="14"/>
      <c r="U1146" s="14"/>
      <c r="V1146" t="s" s="15">
        <v>78</v>
      </c>
      <c r="W1146" t="s" s="15">
        <v>4455</v>
      </c>
      <c r="X1146" t="s" s="15">
        <v>78</v>
      </c>
      <c r="Y1146" s="14"/>
      <c r="Z1146" t="s" s="15">
        <v>76</v>
      </c>
      <c r="AA1146" s="14"/>
      <c r="AB1146" t="s" s="15">
        <v>76</v>
      </c>
      <c r="AC1146" s="14"/>
      <c r="AD1146" s="14"/>
      <c r="AE1146" s="14"/>
      <c r="AF1146" s="14"/>
      <c r="AG1146" s="14"/>
      <c r="AH1146" s="14"/>
      <c r="AI1146" t="s" s="15">
        <v>76</v>
      </c>
      <c r="AJ1146" t="s" s="15">
        <v>76</v>
      </c>
      <c r="AK1146" t="s" s="15">
        <v>79</v>
      </c>
      <c r="AL1146" t="s" s="15">
        <v>115</v>
      </c>
      <c r="AM1146" s="14"/>
      <c r="AN1146" s="14"/>
      <c r="AO1146" s="14"/>
      <c r="AP1146" s="14"/>
      <c r="AQ1146" s="14"/>
      <c r="AR1146" s="14"/>
      <c r="AS1146" t="s" s="15">
        <v>4456</v>
      </c>
      <c r="AT1146" s="14"/>
      <c r="AU1146" s="14"/>
      <c r="AV1146" s="14"/>
      <c r="AW1146" s="14"/>
      <c r="AX1146" s="14"/>
      <c r="AY1146" s="14"/>
      <c r="AZ1146" s="14"/>
      <c r="BA1146" s="14"/>
      <c r="BB1146" s="14"/>
      <c r="BC1146" s="14"/>
      <c r="BD1146" s="14"/>
      <c r="BE1146" s="14"/>
      <c r="BF1146" s="14"/>
      <c r="BG1146" s="14"/>
      <c r="BH1146" s="14"/>
      <c r="BI1146" s="14"/>
      <c r="BJ1146" s="14"/>
      <c r="BK1146" s="14"/>
      <c r="BL1146" s="14"/>
      <c r="BM1146" s="14"/>
      <c r="BN1146" s="14"/>
      <c r="BO1146" s="16"/>
      <c r="BP1146" s="8"/>
    </row>
    <row r="1147" ht="9" customHeight="1" hidden="1">
      <c r="A1147" t="s" s="9">
        <v>4457</v>
      </c>
      <c r="B1147" s="11"/>
      <c r="C1147" t="str" s="11" cm="1">
        <f t="array" ref="C1147">_xlfn.IFERROR((VLOOKUP(A1147,#REF!,2,FALSE)),"")</f>
      </c>
      <c r="D1147" t="s" s="10">
        <v>70</v>
      </c>
      <c r="E1147" t="s" s="10">
        <v>195</v>
      </c>
      <c r="F1147" s="11"/>
      <c r="G1147" t="s" s="10">
        <v>4408</v>
      </c>
      <c r="H1147" t="s" s="10">
        <v>4409</v>
      </c>
      <c r="I1147" t="s" s="10">
        <v>73</v>
      </c>
      <c r="J1147" t="s" s="10">
        <v>74</v>
      </c>
      <c r="K1147" t="s" s="10">
        <v>127</v>
      </c>
      <c r="L1147" t="s" s="10">
        <v>76</v>
      </c>
      <c r="M1147" t="s" s="10">
        <v>77</v>
      </c>
      <c r="N1147" t="s" s="10">
        <v>4408</v>
      </c>
      <c r="O1147" t="s" s="10">
        <v>71</v>
      </c>
      <c r="P1147" s="11"/>
      <c r="Q1147" t="s" s="10">
        <v>69</v>
      </c>
      <c r="R1147" t="s" s="10">
        <v>339</v>
      </c>
      <c r="S1147" s="11"/>
      <c r="T1147" s="11"/>
      <c r="U1147" s="11"/>
      <c r="V1147" t="s" s="10">
        <v>69</v>
      </c>
      <c r="W1147" s="11"/>
      <c r="X1147" t="s" s="10">
        <v>78</v>
      </c>
      <c r="Y1147" s="11"/>
      <c r="Z1147" t="s" s="10">
        <v>76</v>
      </c>
      <c r="AA1147" s="11"/>
      <c r="AB1147" t="s" s="10">
        <v>76</v>
      </c>
      <c r="AC1147" t="s" s="10">
        <v>4457</v>
      </c>
      <c r="AD1147" s="11"/>
      <c r="AE1147" s="11"/>
      <c r="AF1147" s="11"/>
      <c r="AG1147" s="11"/>
      <c r="AH1147" s="11"/>
      <c r="AI1147" t="s" s="10">
        <v>76</v>
      </c>
      <c r="AJ1147" t="s" s="10">
        <v>76</v>
      </c>
      <c r="AK1147" t="s" s="10">
        <v>79</v>
      </c>
      <c r="AL1147" t="s" s="10">
        <v>115</v>
      </c>
      <c r="AM1147" t="s" s="10">
        <v>196</v>
      </c>
      <c r="AN1147" t="s" s="10">
        <v>128</v>
      </c>
      <c r="AO1147" s="11"/>
      <c r="AP1147" s="11"/>
      <c r="AQ1147" s="11"/>
      <c r="AR1147" s="11"/>
      <c r="AS1147" t="s" s="10">
        <v>4458</v>
      </c>
      <c r="AT1147" s="11"/>
      <c r="AU1147" s="11"/>
      <c r="AV1147" s="11"/>
      <c r="AW1147" s="11"/>
      <c r="AX1147" s="11"/>
      <c r="AY1147" s="11"/>
      <c r="AZ1147" s="11"/>
      <c r="BA1147" s="11"/>
      <c r="BB1147" s="11"/>
      <c r="BC1147" s="11"/>
      <c r="BD1147" s="11"/>
      <c r="BE1147" s="11"/>
      <c r="BF1147" s="11"/>
      <c r="BG1147" s="11"/>
      <c r="BH1147" s="11"/>
      <c r="BI1147" s="11"/>
      <c r="BJ1147" s="11"/>
      <c r="BK1147" s="11"/>
      <c r="BL1147" s="11"/>
      <c r="BM1147" s="11"/>
      <c r="BN1147" s="11"/>
      <c r="BO1147" s="12"/>
      <c r="BP1147" s="8"/>
    </row>
    <row r="1148" ht="9" customHeight="1" hidden="1">
      <c r="A1148" t="s" s="13">
        <v>4459</v>
      </c>
      <c r="B1148" s="14"/>
      <c r="C1148" t="str" s="14" cm="1">
        <f t="array" ref="C1148">_xlfn.IFERROR((VLOOKUP(A1148,#REF!,2,FALSE)),"")</f>
      </c>
      <c r="D1148" t="s" s="15">
        <v>70</v>
      </c>
      <c r="E1148" t="s" s="15">
        <v>195</v>
      </c>
      <c r="F1148" s="14"/>
      <c r="G1148" t="s" s="15">
        <v>4408</v>
      </c>
      <c r="H1148" t="s" s="15">
        <v>4409</v>
      </c>
      <c r="I1148" t="s" s="15">
        <v>73</v>
      </c>
      <c r="J1148" t="s" s="15">
        <v>74</v>
      </c>
      <c r="K1148" t="s" s="15">
        <v>127</v>
      </c>
      <c r="L1148" t="s" s="15">
        <v>76</v>
      </c>
      <c r="M1148" t="s" s="15">
        <v>77</v>
      </c>
      <c r="N1148" t="s" s="15">
        <v>4408</v>
      </c>
      <c r="O1148" t="s" s="15">
        <v>71</v>
      </c>
      <c r="P1148" s="14"/>
      <c r="Q1148" t="s" s="15">
        <v>69</v>
      </c>
      <c r="R1148" t="s" s="15">
        <v>339</v>
      </c>
      <c r="S1148" s="14"/>
      <c r="T1148" s="14"/>
      <c r="U1148" s="14"/>
      <c r="V1148" t="s" s="15">
        <v>69</v>
      </c>
      <c r="W1148" s="14"/>
      <c r="X1148" t="s" s="15">
        <v>78</v>
      </c>
      <c r="Y1148" s="14"/>
      <c r="Z1148" t="s" s="15">
        <v>76</v>
      </c>
      <c r="AA1148" s="14"/>
      <c r="AB1148" t="s" s="15">
        <v>76</v>
      </c>
      <c r="AC1148" t="s" s="15">
        <v>4459</v>
      </c>
      <c r="AD1148" s="14"/>
      <c r="AE1148" s="14"/>
      <c r="AF1148" s="14"/>
      <c r="AG1148" s="14"/>
      <c r="AH1148" s="14"/>
      <c r="AI1148" t="s" s="15">
        <v>76</v>
      </c>
      <c r="AJ1148" t="s" s="15">
        <v>76</v>
      </c>
      <c r="AK1148" t="s" s="15">
        <v>79</v>
      </c>
      <c r="AL1148" t="s" s="15">
        <v>115</v>
      </c>
      <c r="AM1148" t="s" s="15">
        <v>196</v>
      </c>
      <c r="AN1148" t="s" s="15">
        <v>128</v>
      </c>
      <c r="AO1148" s="14"/>
      <c r="AP1148" s="14"/>
      <c r="AQ1148" s="14"/>
      <c r="AR1148" s="14"/>
      <c r="AS1148" t="s" s="15">
        <v>4460</v>
      </c>
      <c r="AT1148" s="14"/>
      <c r="AU1148" s="14"/>
      <c r="AV1148" s="14"/>
      <c r="AW1148" s="14"/>
      <c r="AX1148" s="14"/>
      <c r="AY1148" s="14"/>
      <c r="AZ1148" s="14"/>
      <c r="BA1148" s="14"/>
      <c r="BB1148" s="14"/>
      <c r="BC1148" s="14"/>
      <c r="BD1148" s="14"/>
      <c r="BE1148" s="14"/>
      <c r="BF1148" s="14"/>
      <c r="BG1148" s="14"/>
      <c r="BH1148" s="14"/>
      <c r="BI1148" s="14"/>
      <c r="BJ1148" s="14"/>
      <c r="BK1148" s="14"/>
      <c r="BL1148" s="14"/>
      <c r="BM1148" s="14"/>
      <c r="BN1148" s="14"/>
      <c r="BO1148" s="16"/>
      <c r="BP1148" s="8"/>
    </row>
    <row r="1149" ht="9" customHeight="1" hidden="1">
      <c r="A1149" t="s" s="9">
        <v>4461</v>
      </c>
      <c r="B1149" s="11"/>
      <c r="C1149" t="str" s="11" cm="1">
        <f t="array" ref="C1149">_xlfn.IFERROR((VLOOKUP(A1149,#REF!,2,FALSE)),"")</f>
      </c>
      <c r="D1149" t="s" s="10">
        <v>70</v>
      </c>
      <c r="E1149" t="s" s="10">
        <v>195</v>
      </c>
      <c r="F1149" s="11"/>
      <c r="G1149" t="s" s="10">
        <v>4408</v>
      </c>
      <c r="H1149" t="s" s="10">
        <v>4409</v>
      </c>
      <c r="I1149" t="s" s="10">
        <v>73</v>
      </c>
      <c r="J1149" t="s" s="10">
        <v>74</v>
      </c>
      <c r="K1149" t="s" s="10">
        <v>127</v>
      </c>
      <c r="L1149" t="s" s="10">
        <v>76</v>
      </c>
      <c r="M1149" t="s" s="10">
        <v>77</v>
      </c>
      <c r="N1149" t="s" s="10">
        <v>4408</v>
      </c>
      <c r="O1149" t="s" s="10">
        <v>71</v>
      </c>
      <c r="P1149" s="11"/>
      <c r="Q1149" t="s" s="10">
        <v>69</v>
      </c>
      <c r="R1149" t="s" s="10">
        <v>339</v>
      </c>
      <c r="S1149" s="11"/>
      <c r="T1149" s="11"/>
      <c r="U1149" s="11"/>
      <c r="V1149" t="s" s="10">
        <v>69</v>
      </c>
      <c r="W1149" s="11"/>
      <c r="X1149" t="s" s="10">
        <v>78</v>
      </c>
      <c r="Y1149" s="11"/>
      <c r="Z1149" t="s" s="10">
        <v>76</v>
      </c>
      <c r="AA1149" s="11"/>
      <c r="AB1149" t="s" s="10">
        <v>76</v>
      </c>
      <c r="AC1149" t="s" s="10">
        <v>4461</v>
      </c>
      <c r="AD1149" s="11"/>
      <c r="AE1149" s="11"/>
      <c r="AF1149" s="11"/>
      <c r="AG1149" s="11"/>
      <c r="AH1149" s="11"/>
      <c r="AI1149" t="s" s="10">
        <v>76</v>
      </c>
      <c r="AJ1149" t="s" s="10">
        <v>76</v>
      </c>
      <c r="AK1149" t="s" s="10">
        <v>79</v>
      </c>
      <c r="AL1149" t="s" s="10">
        <v>115</v>
      </c>
      <c r="AM1149" t="s" s="10">
        <v>196</v>
      </c>
      <c r="AN1149" t="s" s="10">
        <v>128</v>
      </c>
      <c r="AO1149" s="11"/>
      <c r="AP1149" s="11"/>
      <c r="AQ1149" s="11"/>
      <c r="AR1149" s="11"/>
      <c r="AS1149" t="s" s="10">
        <v>4462</v>
      </c>
      <c r="AT1149" s="11"/>
      <c r="AU1149" s="11"/>
      <c r="AV1149" s="11"/>
      <c r="AW1149" s="11"/>
      <c r="AX1149" s="11"/>
      <c r="AY1149" s="11"/>
      <c r="AZ1149" s="11"/>
      <c r="BA1149" s="11"/>
      <c r="BB1149" s="11"/>
      <c r="BC1149" s="11"/>
      <c r="BD1149" s="11"/>
      <c r="BE1149" s="11"/>
      <c r="BF1149" s="11"/>
      <c r="BG1149" s="11"/>
      <c r="BH1149" s="11"/>
      <c r="BI1149" s="11"/>
      <c r="BJ1149" s="11"/>
      <c r="BK1149" s="11"/>
      <c r="BL1149" s="11"/>
      <c r="BM1149" s="11"/>
      <c r="BN1149" s="11"/>
      <c r="BO1149" s="12"/>
      <c r="BP1149" s="8"/>
    </row>
    <row r="1150" ht="9" customHeight="1" hidden="1">
      <c r="A1150" t="s" s="13">
        <v>4463</v>
      </c>
      <c r="B1150" s="14"/>
      <c r="C1150" t="str" s="14" cm="1">
        <f t="array" ref="C1150">_xlfn.IFERROR((VLOOKUP(A1150,#REF!,2,FALSE)),"")</f>
      </c>
      <c r="D1150" t="s" s="15">
        <v>70</v>
      </c>
      <c r="E1150" t="s" s="15">
        <v>195</v>
      </c>
      <c r="F1150" s="14"/>
      <c r="G1150" t="s" s="15">
        <v>4408</v>
      </c>
      <c r="H1150" t="s" s="15">
        <v>4409</v>
      </c>
      <c r="I1150" t="s" s="15">
        <v>73</v>
      </c>
      <c r="J1150" t="s" s="15">
        <v>74</v>
      </c>
      <c r="K1150" t="s" s="15">
        <v>127</v>
      </c>
      <c r="L1150" t="s" s="15">
        <v>76</v>
      </c>
      <c r="M1150" t="s" s="15">
        <v>77</v>
      </c>
      <c r="N1150" t="s" s="15">
        <v>4408</v>
      </c>
      <c r="O1150" t="s" s="15">
        <v>71</v>
      </c>
      <c r="P1150" s="14"/>
      <c r="Q1150" t="s" s="15">
        <v>69</v>
      </c>
      <c r="R1150" t="s" s="15">
        <v>339</v>
      </c>
      <c r="S1150" s="14"/>
      <c r="T1150" s="14"/>
      <c r="U1150" s="14"/>
      <c r="V1150" t="s" s="15">
        <v>69</v>
      </c>
      <c r="W1150" s="14"/>
      <c r="X1150" t="s" s="15">
        <v>78</v>
      </c>
      <c r="Y1150" s="14"/>
      <c r="Z1150" t="s" s="15">
        <v>76</v>
      </c>
      <c r="AA1150" s="14"/>
      <c r="AB1150" t="s" s="15">
        <v>76</v>
      </c>
      <c r="AC1150" t="s" s="15">
        <v>4463</v>
      </c>
      <c r="AD1150" s="14"/>
      <c r="AE1150" s="14"/>
      <c r="AF1150" s="14"/>
      <c r="AG1150" s="14"/>
      <c r="AH1150" s="14"/>
      <c r="AI1150" t="s" s="15">
        <v>76</v>
      </c>
      <c r="AJ1150" t="s" s="15">
        <v>76</v>
      </c>
      <c r="AK1150" t="s" s="15">
        <v>79</v>
      </c>
      <c r="AL1150" t="s" s="15">
        <v>115</v>
      </c>
      <c r="AM1150" t="s" s="15">
        <v>196</v>
      </c>
      <c r="AN1150" t="s" s="15">
        <v>128</v>
      </c>
      <c r="AO1150" s="14"/>
      <c r="AP1150" s="14"/>
      <c r="AQ1150" s="14"/>
      <c r="AR1150" s="14"/>
      <c r="AS1150" t="s" s="15">
        <v>4464</v>
      </c>
      <c r="AT1150" s="14"/>
      <c r="AU1150" s="14"/>
      <c r="AV1150" s="14"/>
      <c r="AW1150" s="14"/>
      <c r="AX1150" s="14"/>
      <c r="AY1150" s="14"/>
      <c r="AZ1150" s="14"/>
      <c r="BA1150" s="14"/>
      <c r="BB1150" s="14"/>
      <c r="BC1150" s="14"/>
      <c r="BD1150" s="14"/>
      <c r="BE1150" s="14"/>
      <c r="BF1150" s="14"/>
      <c r="BG1150" s="14"/>
      <c r="BH1150" s="14"/>
      <c r="BI1150" s="14"/>
      <c r="BJ1150" s="14"/>
      <c r="BK1150" s="14"/>
      <c r="BL1150" s="14"/>
      <c r="BM1150" s="14"/>
      <c r="BN1150" s="14"/>
      <c r="BO1150" s="16"/>
      <c r="BP1150" s="8"/>
    </row>
    <row r="1151" ht="9" customHeight="1" hidden="1">
      <c r="A1151" t="s" s="9">
        <v>4465</v>
      </c>
      <c r="B1151" s="11"/>
      <c r="C1151" t="str" s="11" cm="1">
        <f t="array" ref="C1151">_xlfn.IFERROR((VLOOKUP(A1151,#REF!,2,FALSE)),"")</f>
      </c>
      <c r="D1151" s="11"/>
      <c r="E1151" t="s" s="10">
        <v>2974</v>
      </c>
      <c r="F1151" s="11"/>
      <c r="G1151" t="s" s="10">
        <v>4466</v>
      </c>
      <c r="H1151" t="s" s="10">
        <v>4467</v>
      </c>
      <c r="I1151" t="s" s="10">
        <v>111</v>
      </c>
      <c r="J1151" t="s" s="10">
        <v>122</v>
      </c>
      <c r="K1151" t="s" s="10">
        <v>113</v>
      </c>
      <c r="L1151" t="s" s="10">
        <v>76</v>
      </c>
      <c r="M1151" t="s" s="10">
        <v>77</v>
      </c>
      <c r="N1151" s="11"/>
      <c r="O1151" s="11"/>
      <c r="P1151" s="11"/>
      <c r="Q1151" t="s" s="10">
        <v>69</v>
      </c>
      <c r="R1151" t="s" s="10">
        <v>339</v>
      </c>
      <c r="S1151" s="11"/>
      <c r="T1151" s="11"/>
      <c r="U1151" s="11"/>
      <c r="V1151" t="s" s="10">
        <v>69</v>
      </c>
      <c r="W1151" s="11"/>
      <c r="X1151" t="s" s="10">
        <v>78</v>
      </c>
      <c r="Y1151" s="11"/>
      <c r="Z1151" t="s" s="10">
        <v>76</v>
      </c>
      <c r="AA1151" s="11"/>
      <c r="AB1151" t="s" s="10">
        <v>76</v>
      </c>
      <c r="AC1151" t="s" s="10">
        <v>4465</v>
      </c>
      <c r="AD1151" t="s" s="10">
        <v>4468</v>
      </c>
      <c r="AE1151" s="11"/>
      <c r="AF1151" s="11"/>
      <c r="AG1151" s="11"/>
      <c r="AH1151" s="11"/>
      <c r="AI1151" t="s" s="10">
        <v>76</v>
      </c>
      <c r="AJ1151" t="s" s="10">
        <v>76</v>
      </c>
      <c r="AK1151" t="s" s="10">
        <v>79</v>
      </c>
      <c r="AL1151" t="s" s="10">
        <v>293</v>
      </c>
      <c r="AM1151" t="s" s="10">
        <v>294</v>
      </c>
      <c r="AN1151" t="s" s="10">
        <v>128</v>
      </c>
      <c r="AO1151" s="18">
        <v>4</v>
      </c>
      <c r="AP1151" s="18">
        <v>4096</v>
      </c>
      <c r="AQ1151" s="18">
        <v>280661</v>
      </c>
      <c r="AR1151" s="18">
        <v>280661</v>
      </c>
      <c r="AS1151" t="s" s="10">
        <v>4469</v>
      </c>
      <c r="AT1151" s="11"/>
      <c r="AU1151" s="11"/>
      <c r="AV1151" s="11"/>
      <c r="AW1151" s="11"/>
      <c r="AX1151" s="11"/>
      <c r="AY1151" s="11"/>
      <c r="AZ1151" s="11"/>
      <c r="BA1151" s="11"/>
      <c r="BB1151" s="11"/>
      <c r="BC1151" s="11"/>
      <c r="BD1151" s="11"/>
      <c r="BE1151" s="11"/>
      <c r="BF1151" s="11"/>
      <c r="BG1151" s="11"/>
      <c r="BH1151" s="11"/>
      <c r="BI1151" s="11"/>
      <c r="BJ1151" s="11"/>
      <c r="BK1151" s="11"/>
      <c r="BL1151" s="11"/>
      <c r="BM1151" s="11"/>
      <c r="BN1151" t="s" s="10">
        <v>69</v>
      </c>
      <c r="BO1151" s="12"/>
      <c r="BP1151" s="8"/>
    </row>
    <row r="1152" ht="9" customHeight="1" hidden="1">
      <c r="A1152" t="s" s="13">
        <v>4470</v>
      </c>
      <c r="B1152" s="14"/>
      <c r="C1152" t="str" s="14" cm="1">
        <f t="array" ref="C1152">_xlfn.IFERROR((VLOOKUP(A1152,#REF!,2,FALSE)),"")</f>
      </c>
      <c r="D1152" t="s" s="15">
        <v>70</v>
      </c>
      <c r="E1152" t="s" s="15">
        <v>195</v>
      </c>
      <c r="F1152" s="14"/>
      <c r="G1152" t="s" s="15">
        <v>4408</v>
      </c>
      <c r="H1152" t="s" s="15">
        <v>4409</v>
      </c>
      <c r="I1152" t="s" s="15">
        <v>73</v>
      </c>
      <c r="J1152" t="s" s="15">
        <v>74</v>
      </c>
      <c r="K1152" t="s" s="15">
        <v>127</v>
      </c>
      <c r="L1152" t="s" s="15">
        <v>76</v>
      </c>
      <c r="M1152" t="s" s="15">
        <v>77</v>
      </c>
      <c r="N1152" t="s" s="15">
        <v>4408</v>
      </c>
      <c r="O1152" t="s" s="15">
        <v>71</v>
      </c>
      <c r="P1152" s="14"/>
      <c r="Q1152" t="s" s="15">
        <v>69</v>
      </c>
      <c r="R1152" t="s" s="15">
        <v>339</v>
      </c>
      <c r="S1152" s="14"/>
      <c r="T1152" s="14"/>
      <c r="U1152" s="14"/>
      <c r="V1152" t="s" s="15">
        <v>69</v>
      </c>
      <c r="W1152" s="14"/>
      <c r="X1152" t="s" s="15">
        <v>78</v>
      </c>
      <c r="Y1152" s="14"/>
      <c r="Z1152" t="s" s="15">
        <v>76</v>
      </c>
      <c r="AA1152" s="14"/>
      <c r="AB1152" t="s" s="15">
        <v>76</v>
      </c>
      <c r="AC1152" t="s" s="15">
        <v>4470</v>
      </c>
      <c r="AD1152" s="14"/>
      <c r="AE1152" s="14"/>
      <c r="AF1152" s="14"/>
      <c r="AG1152" s="14"/>
      <c r="AH1152" s="14"/>
      <c r="AI1152" t="s" s="15">
        <v>76</v>
      </c>
      <c r="AJ1152" t="s" s="15">
        <v>76</v>
      </c>
      <c r="AK1152" t="s" s="15">
        <v>79</v>
      </c>
      <c r="AL1152" t="s" s="15">
        <v>115</v>
      </c>
      <c r="AM1152" t="s" s="15">
        <v>196</v>
      </c>
      <c r="AN1152" t="s" s="15">
        <v>128</v>
      </c>
      <c r="AO1152" s="14"/>
      <c r="AP1152" s="14"/>
      <c r="AQ1152" s="14"/>
      <c r="AR1152" s="14"/>
      <c r="AS1152" t="s" s="15">
        <v>4471</v>
      </c>
      <c r="AT1152" s="14"/>
      <c r="AU1152" s="14"/>
      <c r="AV1152" s="14"/>
      <c r="AW1152" s="14"/>
      <c r="AX1152" s="14"/>
      <c r="AY1152" s="14"/>
      <c r="AZ1152" s="14"/>
      <c r="BA1152" s="14"/>
      <c r="BB1152" s="14"/>
      <c r="BC1152" s="14"/>
      <c r="BD1152" s="14"/>
      <c r="BE1152" s="14"/>
      <c r="BF1152" s="14"/>
      <c r="BG1152" s="14"/>
      <c r="BH1152" s="14"/>
      <c r="BI1152" s="14"/>
      <c r="BJ1152" s="14"/>
      <c r="BK1152" s="14"/>
      <c r="BL1152" s="14"/>
      <c r="BM1152" s="14"/>
      <c r="BN1152" s="14"/>
      <c r="BO1152" s="16"/>
      <c r="BP1152" s="8"/>
    </row>
    <row r="1153" ht="9" customHeight="1" hidden="1">
      <c r="A1153" t="s" s="9">
        <v>4472</v>
      </c>
      <c r="B1153" s="11"/>
      <c r="C1153" t="str" s="11" cm="1">
        <f t="array" ref="C1153">_xlfn.IFERROR((VLOOKUP(A1153,#REF!,2,FALSE)),"")</f>
      </c>
      <c r="D1153" t="s" s="10">
        <v>70</v>
      </c>
      <c r="E1153" t="s" s="10">
        <v>195</v>
      </c>
      <c r="F1153" s="11"/>
      <c r="G1153" t="s" s="10">
        <v>4408</v>
      </c>
      <c r="H1153" t="s" s="10">
        <v>4409</v>
      </c>
      <c r="I1153" t="s" s="10">
        <v>73</v>
      </c>
      <c r="J1153" t="s" s="10">
        <v>74</v>
      </c>
      <c r="K1153" t="s" s="10">
        <v>127</v>
      </c>
      <c r="L1153" t="s" s="10">
        <v>76</v>
      </c>
      <c r="M1153" t="s" s="10">
        <v>77</v>
      </c>
      <c r="N1153" t="s" s="10">
        <v>4408</v>
      </c>
      <c r="O1153" t="s" s="10">
        <v>71</v>
      </c>
      <c r="P1153" s="11"/>
      <c r="Q1153" t="s" s="10">
        <v>69</v>
      </c>
      <c r="R1153" t="s" s="10">
        <v>339</v>
      </c>
      <c r="S1153" s="11"/>
      <c r="T1153" s="11"/>
      <c r="U1153" s="11"/>
      <c r="V1153" t="s" s="10">
        <v>69</v>
      </c>
      <c r="W1153" s="11"/>
      <c r="X1153" t="s" s="10">
        <v>78</v>
      </c>
      <c r="Y1153" s="11"/>
      <c r="Z1153" t="s" s="10">
        <v>76</v>
      </c>
      <c r="AA1153" s="11"/>
      <c r="AB1153" t="s" s="10">
        <v>76</v>
      </c>
      <c r="AC1153" t="s" s="10">
        <v>4472</v>
      </c>
      <c r="AD1153" s="11"/>
      <c r="AE1153" s="11"/>
      <c r="AF1153" s="11"/>
      <c r="AG1153" s="11"/>
      <c r="AH1153" s="11"/>
      <c r="AI1153" t="s" s="10">
        <v>76</v>
      </c>
      <c r="AJ1153" t="s" s="10">
        <v>76</v>
      </c>
      <c r="AK1153" t="s" s="10">
        <v>79</v>
      </c>
      <c r="AL1153" t="s" s="10">
        <v>115</v>
      </c>
      <c r="AM1153" t="s" s="10">
        <v>196</v>
      </c>
      <c r="AN1153" t="s" s="10">
        <v>128</v>
      </c>
      <c r="AO1153" s="11"/>
      <c r="AP1153" s="11"/>
      <c r="AQ1153" s="11"/>
      <c r="AR1153" s="11"/>
      <c r="AS1153" t="s" s="10">
        <v>4473</v>
      </c>
      <c r="AT1153" s="11"/>
      <c r="AU1153" s="11"/>
      <c r="AV1153" s="11"/>
      <c r="AW1153" s="11"/>
      <c r="AX1153" s="11"/>
      <c r="AY1153" s="11"/>
      <c r="AZ1153" s="11"/>
      <c r="BA1153" s="11"/>
      <c r="BB1153" s="11"/>
      <c r="BC1153" s="11"/>
      <c r="BD1153" s="11"/>
      <c r="BE1153" s="11"/>
      <c r="BF1153" s="11"/>
      <c r="BG1153" s="11"/>
      <c r="BH1153" s="11"/>
      <c r="BI1153" s="11"/>
      <c r="BJ1153" s="11"/>
      <c r="BK1153" s="11"/>
      <c r="BL1153" s="11"/>
      <c r="BM1153" s="11"/>
      <c r="BN1153" s="11"/>
      <c r="BO1153" s="12"/>
      <c r="BP1153" s="8"/>
    </row>
    <row r="1154" ht="9" customHeight="1" hidden="1">
      <c r="A1154" t="s" s="13">
        <v>4474</v>
      </c>
      <c r="B1154" s="14"/>
      <c r="C1154" t="str" s="14" cm="1">
        <f t="array" ref="C1154">_xlfn.IFERROR((VLOOKUP(A1154,#REF!,2,FALSE)),"")</f>
      </c>
      <c r="D1154" s="14"/>
      <c r="E1154" t="s" s="15">
        <v>195</v>
      </c>
      <c r="F1154" s="14"/>
      <c r="G1154" t="s" s="15">
        <v>4466</v>
      </c>
      <c r="H1154" t="s" s="15">
        <v>4467</v>
      </c>
      <c r="I1154" t="s" s="15">
        <v>73</v>
      </c>
      <c r="J1154" t="s" s="15">
        <v>74</v>
      </c>
      <c r="K1154" t="s" s="15">
        <v>127</v>
      </c>
      <c r="L1154" t="s" s="15">
        <v>76</v>
      </c>
      <c r="M1154" t="s" s="15">
        <v>77</v>
      </c>
      <c r="N1154" s="14"/>
      <c r="O1154" t="s" s="15">
        <v>71</v>
      </c>
      <c r="P1154" s="14"/>
      <c r="Q1154" t="s" s="15">
        <v>69</v>
      </c>
      <c r="R1154" t="s" s="15">
        <v>339</v>
      </c>
      <c r="S1154" s="14"/>
      <c r="T1154" s="14"/>
      <c r="U1154" s="14"/>
      <c r="V1154" t="s" s="15">
        <v>69</v>
      </c>
      <c r="W1154" s="14"/>
      <c r="X1154" t="s" s="15">
        <v>78</v>
      </c>
      <c r="Y1154" s="14"/>
      <c r="Z1154" t="s" s="15">
        <v>76</v>
      </c>
      <c r="AA1154" s="14"/>
      <c r="AB1154" t="s" s="15">
        <v>76</v>
      </c>
      <c r="AC1154" t="s" s="15">
        <v>4474</v>
      </c>
      <c r="AD1154" t="s" s="15">
        <v>4475</v>
      </c>
      <c r="AE1154" s="14"/>
      <c r="AF1154" s="14"/>
      <c r="AG1154" s="14"/>
      <c r="AH1154" s="14"/>
      <c r="AI1154" t="s" s="15">
        <v>76</v>
      </c>
      <c r="AJ1154" t="s" s="15">
        <v>76</v>
      </c>
      <c r="AK1154" t="s" s="15">
        <v>79</v>
      </c>
      <c r="AL1154" t="s" s="15">
        <v>293</v>
      </c>
      <c r="AM1154" t="s" s="15">
        <v>196</v>
      </c>
      <c r="AN1154" t="s" s="15">
        <v>128</v>
      </c>
      <c r="AO1154" s="17">
        <v>4</v>
      </c>
      <c r="AP1154" s="17">
        <v>4096</v>
      </c>
      <c r="AQ1154" s="17">
        <v>280662</v>
      </c>
      <c r="AR1154" s="17">
        <v>280662</v>
      </c>
      <c r="AS1154" t="s" s="15">
        <v>4476</v>
      </c>
      <c r="AT1154" s="14"/>
      <c r="AU1154" s="14"/>
      <c r="AV1154" s="14"/>
      <c r="AW1154" s="14"/>
      <c r="AX1154" s="14"/>
      <c r="AY1154" s="14"/>
      <c r="AZ1154" s="14"/>
      <c r="BA1154" s="14"/>
      <c r="BB1154" s="14"/>
      <c r="BC1154" s="14"/>
      <c r="BD1154" s="14"/>
      <c r="BE1154" s="14"/>
      <c r="BF1154" s="14"/>
      <c r="BG1154" s="14"/>
      <c r="BH1154" s="14"/>
      <c r="BI1154" s="14"/>
      <c r="BJ1154" s="14"/>
      <c r="BK1154" s="14"/>
      <c r="BL1154" s="14"/>
      <c r="BM1154" s="14"/>
      <c r="BN1154" s="14"/>
      <c r="BO1154" s="16"/>
      <c r="BP1154" s="8"/>
    </row>
    <row r="1155" ht="9" customHeight="1" hidden="1">
      <c r="A1155" t="s" s="9">
        <v>4477</v>
      </c>
      <c r="B1155" s="11"/>
      <c r="C1155" t="str" s="11" cm="1">
        <f t="array" ref="C1155">_xlfn.IFERROR((VLOOKUP(A1155,#REF!,2,FALSE)),"")</f>
      </c>
      <c r="D1155" t="s" s="10">
        <v>70</v>
      </c>
      <c r="E1155" t="s" s="10">
        <v>71</v>
      </c>
      <c r="F1155" s="11"/>
      <c r="G1155" s="11"/>
      <c r="H1155" s="11"/>
      <c r="I1155" t="s" s="10">
        <v>73</v>
      </c>
      <c r="J1155" t="s" s="10">
        <v>74</v>
      </c>
      <c r="K1155" t="s" s="10">
        <v>127</v>
      </c>
      <c r="L1155" t="s" s="10">
        <v>76</v>
      </c>
      <c r="M1155" t="s" s="10">
        <v>77</v>
      </c>
      <c r="N1155" s="11"/>
      <c r="O1155" t="s" s="10">
        <v>71</v>
      </c>
      <c r="P1155" s="11"/>
      <c r="Q1155" t="s" s="10">
        <v>78</v>
      </c>
      <c r="R1155" t="s" s="10">
        <v>71</v>
      </c>
      <c r="S1155" s="11"/>
      <c r="T1155" s="11"/>
      <c r="U1155" s="11"/>
      <c r="V1155" t="s" s="10">
        <v>69</v>
      </c>
      <c r="W1155" t="s" s="10">
        <v>4478</v>
      </c>
      <c r="X1155" t="s" s="10">
        <v>78</v>
      </c>
      <c r="Y1155" s="11"/>
      <c r="Z1155" t="s" s="10">
        <v>76</v>
      </c>
      <c r="AA1155" s="11"/>
      <c r="AB1155" t="s" s="10">
        <v>76</v>
      </c>
      <c r="AC1155" s="11"/>
      <c r="AD1155" s="11"/>
      <c r="AE1155" s="11"/>
      <c r="AF1155" s="11"/>
      <c r="AG1155" s="11"/>
      <c r="AH1155" s="11"/>
      <c r="AI1155" t="s" s="10">
        <v>76</v>
      </c>
      <c r="AJ1155" t="s" s="10">
        <v>76</v>
      </c>
      <c r="AK1155" t="s" s="10">
        <v>79</v>
      </c>
      <c r="AL1155" t="s" s="10">
        <v>115</v>
      </c>
      <c r="AM1155" s="11"/>
      <c r="AN1155" t="s" s="10">
        <v>128</v>
      </c>
      <c r="AO1155" s="11"/>
      <c r="AP1155" s="11"/>
      <c r="AQ1155" s="11"/>
      <c r="AR1155" s="11"/>
      <c r="AS1155" t="s" s="10">
        <v>4479</v>
      </c>
      <c r="AT1155" s="11"/>
      <c r="AU1155" s="11"/>
      <c r="AV1155" s="11"/>
      <c r="AW1155" s="11"/>
      <c r="AX1155" s="11"/>
      <c r="AY1155" s="11"/>
      <c r="AZ1155" s="11"/>
      <c r="BA1155" s="11"/>
      <c r="BB1155" s="11"/>
      <c r="BC1155" s="11"/>
      <c r="BD1155" s="11"/>
      <c r="BE1155" s="11"/>
      <c r="BF1155" s="11"/>
      <c r="BG1155" s="11"/>
      <c r="BH1155" s="11"/>
      <c r="BI1155" s="11"/>
      <c r="BJ1155" s="11"/>
      <c r="BK1155" s="11"/>
      <c r="BL1155" s="11"/>
      <c r="BM1155" s="11"/>
      <c r="BN1155" s="11"/>
      <c r="BO1155" s="12"/>
      <c r="BP1155" s="8"/>
    </row>
    <row r="1156" ht="9" customHeight="1" hidden="1">
      <c r="A1156" t="s" s="13">
        <v>4480</v>
      </c>
      <c r="B1156" s="14"/>
      <c r="C1156" t="str" s="14" cm="1">
        <f t="array" ref="C1156">_xlfn.IFERROR((VLOOKUP(A1156,#REF!,2,FALSE)),"")</f>
      </c>
      <c r="D1156" s="14"/>
      <c r="E1156" s="14"/>
      <c r="F1156" s="14"/>
      <c r="G1156" t="s" s="15">
        <v>4481</v>
      </c>
      <c r="H1156" t="s" s="15">
        <v>4482</v>
      </c>
      <c r="I1156" t="s" s="15">
        <v>111</v>
      </c>
      <c r="J1156" t="s" s="15">
        <v>122</v>
      </c>
      <c r="K1156" t="s" s="15">
        <v>113</v>
      </c>
      <c r="L1156" t="s" s="15">
        <v>76</v>
      </c>
      <c r="M1156" t="s" s="15">
        <v>77</v>
      </c>
      <c r="N1156" t="s" s="15">
        <v>4481</v>
      </c>
      <c r="O1156" t="s" s="15">
        <v>71</v>
      </c>
      <c r="P1156" s="14"/>
      <c r="Q1156" t="s" s="15">
        <v>69</v>
      </c>
      <c r="R1156" t="s" s="15">
        <v>339</v>
      </c>
      <c r="S1156" s="14"/>
      <c r="T1156" s="14"/>
      <c r="U1156" s="14"/>
      <c r="V1156" t="s" s="15">
        <v>69</v>
      </c>
      <c r="W1156" s="14"/>
      <c r="X1156" t="s" s="15">
        <v>69</v>
      </c>
      <c r="Y1156" s="14"/>
      <c r="Z1156" t="s" s="15">
        <v>76</v>
      </c>
      <c r="AA1156" s="14"/>
      <c r="AB1156" t="s" s="15">
        <v>76</v>
      </c>
      <c r="AC1156" t="s" s="15">
        <v>4480</v>
      </c>
      <c r="AD1156" t="s" s="15">
        <v>4483</v>
      </c>
      <c r="AE1156" s="14"/>
      <c r="AF1156" s="14"/>
      <c r="AG1156" t="s" s="15">
        <v>299</v>
      </c>
      <c r="AH1156" t="s" s="15">
        <v>106</v>
      </c>
      <c r="AI1156" t="s" s="15">
        <v>76</v>
      </c>
      <c r="AJ1156" t="s" s="15">
        <v>76</v>
      </c>
      <c r="AK1156" t="s" s="15">
        <v>79</v>
      </c>
      <c r="AL1156" t="s" s="15">
        <v>115</v>
      </c>
      <c r="AM1156" t="s" s="15">
        <v>294</v>
      </c>
      <c r="AN1156" t="s" s="15">
        <v>128</v>
      </c>
      <c r="AO1156" s="17">
        <v>4</v>
      </c>
      <c r="AP1156" s="17">
        <v>4096</v>
      </c>
      <c r="AQ1156" s="17">
        <v>280668</v>
      </c>
      <c r="AR1156" s="17">
        <v>280668</v>
      </c>
      <c r="AS1156" t="s" s="15">
        <v>4484</v>
      </c>
      <c r="AT1156" t="s" s="15">
        <v>301</v>
      </c>
      <c r="AU1156" s="14"/>
      <c r="AV1156" s="14"/>
      <c r="AW1156" s="14"/>
      <c r="AX1156" s="14"/>
      <c r="AY1156" s="14"/>
      <c r="AZ1156" s="14"/>
      <c r="BA1156" s="14"/>
      <c r="BB1156" s="14"/>
      <c r="BC1156" s="14"/>
      <c r="BD1156" s="14"/>
      <c r="BE1156" s="14"/>
      <c r="BF1156" s="14"/>
      <c r="BG1156" s="14"/>
      <c r="BH1156" s="14"/>
      <c r="BI1156" s="14"/>
      <c r="BJ1156" s="14"/>
      <c r="BK1156" s="14"/>
      <c r="BL1156" s="14"/>
      <c r="BM1156" s="14"/>
      <c r="BN1156" t="s" s="15">
        <v>78</v>
      </c>
      <c r="BO1156" s="16"/>
      <c r="BP1156" s="8"/>
    </row>
    <row r="1157" ht="9" customHeight="1" hidden="1">
      <c r="A1157" t="s" s="9">
        <v>4485</v>
      </c>
      <c r="B1157" s="11"/>
      <c r="C1157" t="str" s="11" cm="1">
        <f t="array" ref="C1157">_xlfn.IFERROR((VLOOKUP(A1157,#REF!,2,FALSE)),"")</f>
      </c>
      <c r="D1157" t="s" s="10">
        <v>70</v>
      </c>
      <c r="E1157" t="s" s="10">
        <v>195</v>
      </c>
      <c r="F1157" s="11"/>
      <c r="G1157" t="s" s="10">
        <v>4408</v>
      </c>
      <c r="H1157" t="s" s="10">
        <v>4409</v>
      </c>
      <c r="I1157" t="s" s="10">
        <v>73</v>
      </c>
      <c r="J1157" t="s" s="10">
        <v>74</v>
      </c>
      <c r="K1157" t="s" s="10">
        <v>127</v>
      </c>
      <c r="L1157" t="s" s="10">
        <v>76</v>
      </c>
      <c r="M1157" t="s" s="10">
        <v>77</v>
      </c>
      <c r="N1157" t="s" s="10">
        <v>4408</v>
      </c>
      <c r="O1157" t="s" s="10">
        <v>71</v>
      </c>
      <c r="P1157" s="11"/>
      <c r="Q1157" t="s" s="10">
        <v>69</v>
      </c>
      <c r="R1157" t="s" s="10">
        <v>339</v>
      </c>
      <c r="S1157" s="11"/>
      <c r="T1157" s="11"/>
      <c r="U1157" s="11"/>
      <c r="V1157" t="s" s="10">
        <v>69</v>
      </c>
      <c r="W1157" s="11"/>
      <c r="X1157" t="s" s="10">
        <v>78</v>
      </c>
      <c r="Y1157" s="11"/>
      <c r="Z1157" t="s" s="10">
        <v>76</v>
      </c>
      <c r="AA1157" s="11"/>
      <c r="AB1157" t="s" s="10">
        <v>76</v>
      </c>
      <c r="AC1157" t="s" s="10">
        <v>4485</v>
      </c>
      <c r="AD1157" s="11"/>
      <c r="AE1157" s="11"/>
      <c r="AF1157" s="11"/>
      <c r="AG1157" s="11"/>
      <c r="AH1157" s="11"/>
      <c r="AI1157" t="s" s="10">
        <v>76</v>
      </c>
      <c r="AJ1157" t="s" s="10">
        <v>76</v>
      </c>
      <c r="AK1157" t="s" s="10">
        <v>79</v>
      </c>
      <c r="AL1157" t="s" s="10">
        <v>115</v>
      </c>
      <c r="AM1157" t="s" s="10">
        <v>196</v>
      </c>
      <c r="AN1157" t="s" s="10">
        <v>128</v>
      </c>
      <c r="AO1157" s="11"/>
      <c r="AP1157" s="11"/>
      <c r="AQ1157" s="11"/>
      <c r="AR1157" s="11"/>
      <c r="AS1157" t="s" s="10">
        <v>4486</v>
      </c>
      <c r="AT1157" s="11"/>
      <c r="AU1157" s="11"/>
      <c r="AV1157" s="11"/>
      <c r="AW1157" s="11"/>
      <c r="AX1157" s="11"/>
      <c r="AY1157" s="11"/>
      <c r="AZ1157" s="11"/>
      <c r="BA1157" s="11"/>
      <c r="BB1157" s="11"/>
      <c r="BC1157" s="11"/>
      <c r="BD1157" s="11"/>
      <c r="BE1157" s="11"/>
      <c r="BF1157" s="11"/>
      <c r="BG1157" s="11"/>
      <c r="BH1157" s="11"/>
      <c r="BI1157" s="11"/>
      <c r="BJ1157" s="11"/>
      <c r="BK1157" s="11"/>
      <c r="BL1157" s="11"/>
      <c r="BM1157" s="11"/>
      <c r="BN1157" s="11"/>
      <c r="BO1157" s="12"/>
      <c r="BP1157" s="8"/>
    </row>
    <row r="1158" ht="9" customHeight="1" hidden="1">
      <c r="A1158" t="s" s="13">
        <v>4487</v>
      </c>
      <c r="B1158" s="14"/>
      <c r="C1158" t="str" s="14" cm="1">
        <f t="array" ref="C1158">_xlfn.IFERROR((VLOOKUP(A1158,#REF!,2,FALSE)),"")</f>
      </c>
      <c r="D1158" t="s" s="15">
        <v>70</v>
      </c>
      <c r="E1158" t="s" s="15">
        <v>195</v>
      </c>
      <c r="F1158" s="14"/>
      <c r="G1158" t="s" s="15">
        <v>4408</v>
      </c>
      <c r="H1158" t="s" s="15">
        <v>4409</v>
      </c>
      <c r="I1158" t="s" s="15">
        <v>73</v>
      </c>
      <c r="J1158" t="s" s="15">
        <v>74</v>
      </c>
      <c r="K1158" t="s" s="15">
        <v>127</v>
      </c>
      <c r="L1158" t="s" s="15">
        <v>76</v>
      </c>
      <c r="M1158" t="s" s="15">
        <v>77</v>
      </c>
      <c r="N1158" t="s" s="15">
        <v>4408</v>
      </c>
      <c r="O1158" t="s" s="15">
        <v>71</v>
      </c>
      <c r="P1158" s="14"/>
      <c r="Q1158" t="s" s="15">
        <v>69</v>
      </c>
      <c r="R1158" t="s" s="15">
        <v>339</v>
      </c>
      <c r="S1158" s="14"/>
      <c r="T1158" s="14"/>
      <c r="U1158" s="14"/>
      <c r="V1158" t="s" s="15">
        <v>69</v>
      </c>
      <c r="W1158" s="14"/>
      <c r="X1158" t="s" s="15">
        <v>78</v>
      </c>
      <c r="Y1158" s="14"/>
      <c r="Z1158" t="s" s="15">
        <v>76</v>
      </c>
      <c r="AA1158" s="14"/>
      <c r="AB1158" t="s" s="15">
        <v>76</v>
      </c>
      <c r="AC1158" t="s" s="15">
        <v>4487</v>
      </c>
      <c r="AD1158" s="14"/>
      <c r="AE1158" s="14"/>
      <c r="AF1158" s="14"/>
      <c r="AG1158" s="14"/>
      <c r="AH1158" s="14"/>
      <c r="AI1158" t="s" s="15">
        <v>76</v>
      </c>
      <c r="AJ1158" t="s" s="15">
        <v>76</v>
      </c>
      <c r="AK1158" t="s" s="15">
        <v>79</v>
      </c>
      <c r="AL1158" t="s" s="15">
        <v>115</v>
      </c>
      <c r="AM1158" t="s" s="15">
        <v>196</v>
      </c>
      <c r="AN1158" t="s" s="15">
        <v>128</v>
      </c>
      <c r="AO1158" s="14"/>
      <c r="AP1158" s="14"/>
      <c r="AQ1158" s="14"/>
      <c r="AR1158" s="14"/>
      <c r="AS1158" t="s" s="15">
        <v>4488</v>
      </c>
      <c r="AT1158" s="14"/>
      <c r="AU1158" s="14"/>
      <c r="AV1158" s="14"/>
      <c r="AW1158" s="14"/>
      <c r="AX1158" s="14"/>
      <c r="AY1158" s="14"/>
      <c r="AZ1158" s="14"/>
      <c r="BA1158" s="14"/>
      <c r="BB1158" s="14"/>
      <c r="BC1158" s="14"/>
      <c r="BD1158" s="14"/>
      <c r="BE1158" s="14"/>
      <c r="BF1158" s="14"/>
      <c r="BG1158" s="14"/>
      <c r="BH1158" s="14"/>
      <c r="BI1158" s="14"/>
      <c r="BJ1158" s="14"/>
      <c r="BK1158" s="14"/>
      <c r="BL1158" s="14"/>
      <c r="BM1158" s="14"/>
      <c r="BN1158" s="14"/>
      <c r="BO1158" s="16"/>
      <c r="BP1158" s="8"/>
    </row>
    <row r="1159" ht="9" customHeight="1" hidden="1">
      <c r="A1159" t="s" s="9">
        <v>4489</v>
      </c>
      <c r="B1159" s="11"/>
      <c r="C1159" t="str" s="11" cm="1">
        <f t="array" ref="C1159">_xlfn.IFERROR((VLOOKUP(A1159,#REF!,2,FALSE)),"")</f>
      </c>
      <c r="D1159" t="s" s="10">
        <v>70</v>
      </c>
      <c r="E1159" t="s" s="10">
        <v>195</v>
      </c>
      <c r="F1159" s="11"/>
      <c r="G1159" t="s" s="10">
        <v>4408</v>
      </c>
      <c r="H1159" t="s" s="10">
        <v>4409</v>
      </c>
      <c r="I1159" t="s" s="10">
        <v>73</v>
      </c>
      <c r="J1159" t="s" s="10">
        <v>74</v>
      </c>
      <c r="K1159" t="s" s="10">
        <v>127</v>
      </c>
      <c r="L1159" t="s" s="10">
        <v>76</v>
      </c>
      <c r="M1159" t="s" s="10">
        <v>77</v>
      </c>
      <c r="N1159" t="s" s="10">
        <v>4408</v>
      </c>
      <c r="O1159" t="s" s="10">
        <v>71</v>
      </c>
      <c r="P1159" s="11"/>
      <c r="Q1159" t="s" s="10">
        <v>69</v>
      </c>
      <c r="R1159" t="s" s="10">
        <v>339</v>
      </c>
      <c r="S1159" s="11"/>
      <c r="T1159" s="11"/>
      <c r="U1159" s="11"/>
      <c r="V1159" t="s" s="10">
        <v>69</v>
      </c>
      <c r="W1159" s="11"/>
      <c r="X1159" t="s" s="10">
        <v>78</v>
      </c>
      <c r="Y1159" s="11"/>
      <c r="Z1159" t="s" s="10">
        <v>76</v>
      </c>
      <c r="AA1159" s="11"/>
      <c r="AB1159" t="s" s="10">
        <v>76</v>
      </c>
      <c r="AC1159" t="s" s="10">
        <v>4489</v>
      </c>
      <c r="AD1159" s="11"/>
      <c r="AE1159" s="11"/>
      <c r="AF1159" s="11"/>
      <c r="AG1159" s="11"/>
      <c r="AH1159" s="11"/>
      <c r="AI1159" t="s" s="10">
        <v>76</v>
      </c>
      <c r="AJ1159" t="s" s="10">
        <v>76</v>
      </c>
      <c r="AK1159" t="s" s="10">
        <v>79</v>
      </c>
      <c r="AL1159" t="s" s="10">
        <v>115</v>
      </c>
      <c r="AM1159" t="s" s="10">
        <v>196</v>
      </c>
      <c r="AN1159" t="s" s="10">
        <v>128</v>
      </c>
      <c r="AO1159" s="11"/>
      <c r="AP1159" s="11"/>
      <c r="AQ1159" s="11"/>
      <c r="AR1159" s="11"/>
      <c r="AS1159" t="s" s="10">
        <v>4490</v>
      </c>
      <c r="AT1159" s="11"/>
      <c r="AU1159" s="11"/>
      <c r="AV1159" s="11"/>
      <c r="AW1159" s="11"/>
      <c r="AX1159" s="11"/>
      <c r="AY1159" s="11"/>
      <c r="AZ1159" s="11"/>
      <c r="BA1159" s="11"/>
      <c r="BB1159" s="11"/>
      <c r="BC1159" s="11"/>
      <c r="BD1159" s="11"/>
      <c r="BE1159" s="11"/>
      <c r="BF1159" s="11"/>
      <c r="BG1159" s="11"/>
      <c r="BH1159" s="11"/>
      <c r="BI1159" s="11"/>
      <c r="BJ1159" s="11"/>
      <c r="BK1159" s="11"/>
      <c r="BL1159" s="11"/>
      <c r="BM1159" s="11"/>
      <c r="BN1159" s="11"/>
      <c r="BO1159" s="12"/>
      <c r="BP1159" s="8"/>
    </row>
    <row r="1160" ht="9" customHeight="1" hidden="1">
      <c r="A1160" t="s" s="13">
        <v>4491</v>
      </c>
      <c r="B1160" s="14"/>
      <c r="C1160" t="str" s="14" cm="1">
        <f t="array" ref="C1160">_xlfn.IFERROR((VLOOKUP(A1160,#REF!,2,FALSE)),"")</f>
      </c>
      <c r="D1160" t="s" s="15">
        <v>70</v>
      </c>
      <c r="E1160" t="s" s="15">
        <v>71</v>
      </c>
      <c r="F1160" s="14"/>
      <c r="G1160" s="14"/>
      <c r="H1160" s="14"/>
      <c r="I1160" t="s" s="15">
        <v>73</v>
      </c>
      <c r="J1160" t="s" s="15">
        <v>74</v>
      </c>
      <c r="K1160" t="s" s="15">
        <v>127</v>
      </c>
      <c r="L1160" t="s" s="15">
        <v>76</v>
      </c>
      <c r="M1160" t="s" s="15">
        <v>77</v>
      </c>
      <c r="N1160" s="14"/>
      <c r="O1160" t="s" s="15">
        <v>71</v>
      </c>
      <c r="P1160" s="14"/>
      <c r="Q1160" t="s" s="15">
        <v>78</v>
      </c>
      <c r="R1160" t="s" s="15">
        <v>71</v>
      </c>
      <c r="S1160" s="14"/>
      <c r="T1160" s="14"/>
      <c r="U1160" s="14"/>
      <c r="V1160" t="s" s="15">
        <v>78</v>
      </c>
      <c r="W1160" t="s" s="15">
        <v>4491</v>
      </c>
      <c r="X1160" t="s" s="15">
        <v>78</v>
      </c>
      <c r="Y1160" s="14"/>
      <c r="Z1160" t="s" s="15">
        <v>76</v>
      </c>
      <c r="AA1160" s="14"/>
      <c r="AB1160" t="s" s="15">
        <v>76</v>
      </c>
      <c r="AC1160" s="14"/>
      <c r="AD1160" s="14"/>
      <c r="AE1160" s="14"/>
      <c r="AF1160" s="14"/>
      <c r="AG1160" s="14"/>
      <c r="AH1160" s="14"/>
      <c r="AI1160" t="s" s="15">
        <v>76</v>
      </c>
      <c r="AJ1160" t="s" s="15">
        <v>76</v>
      </c>
      <c r="AK1160" t="s" s="15">
        <v>79</v>
      </c>
      <c r="AL1160" t="s" s="15">
        <v>115</v>
      </c>
      <c r="AM1160" s="14"/>
      <c r="AN1160" s="14"/>
      <c r="AO1160" s="14"/>
      <c r="AP1160" s="14"/>
      <c r="AQ1160" s="14"/>
      <c r="AR1160" s="14"/>
      <c r="AS1160" t="s" s="15">
        <v>4492</v>
      </c>
      <c r="AT1160" s="14"/>
      <c r="AU1160" s="14"/>
      <c r="AV1160" s="14"/>
      <c r="AW1160" s="14"/>
      <c r="AX1160" s="14"/>
      <c r="AY1160" s="14"/>
      <c r="AZ1160" s="14"/>
      <c r="BA1160" s="14"/>
      <c r="BB1160" s="14"/>
      <c r="BC1160" s="14"/>
      <c r="BD1160" s="14"/>
      <c r="BE1160" s="14"/>
      <c r="BF1160" s="14"/>
      <c r="BG1160" s="14"/>
      <c r="BH1160" s="14"/>
      <c r="BI1160" s="14"/>
      <c r="BJ1160" s="14"/>
      <c r="BK1160" s="14"/>
      <c r="BL1160" s="14"/>
      <c r="BM1160" s="14"/>
      <c r="BN1160" s="14"/>
      <c r="BO1160" s="16"/>
      <c r="BP1160" s="8"/>
    </row>
    <row r="1161" ht="9" customHeight="1" hidden="1">
      <c r="A1161" t="s" s="9">
        <v>4493</v>
      </c>
      <c r="B1161" s="11"/>
      <c r="C1161" t="str" s="11" cm="1">
        <f t="array" ref="C1161">_xlfn.IFERROR((VLOOKUP(A1161,#REF!,2,FALSE)),"")</f>
      </c>
      <c r="D1161" t="s" s="10">
        <v>70</v>
      </c>
      <c r="E1161" t="s" s="10">
        <v>195</v>
      </c>
      <c r="F1161" s="11"/>
      <c r="G1161" t="s" s="10">
        <v>4408</v>
      </c>
      <c r="H1161" t="s" s="10">
        <v>4409</v>
      </c>
      <c r="I1161" t="s" s="10">
        <v>73</v>
      </c>
      <c r="J1161" t="s" s="10">
        <v>74</v>
      </c>
      <c r="K1161" t="s" s="10">
        <v>127</v>
      </c>
      <c r="L1161" t="s" s="10">
        <v>76</v>
      </c>
      <c r="M1161" t="s" s="10">
        <v>77</v>
      </c>
      <c r="N1161" t="s" s="10">
        <v>4408</v>
      </c>
      <c r="O1161" t="s" s="10">
        <v>71</v>
      </c>
      <c r="P1161" s="11"/>
      <c r="Q1161" t="s" s="10">
        <v>69</v>
      </c>
      <c r="R1161" t="s" s="10">
        <v>339</v>
      </c>
      <c r="S1161" s="11"/>
      <c r="T1161" s="11"/>
      <c r="U1161" s="11"/>
      <c r="V1161" t="s" s="10">
        <v>69</v>
      </c>
      <c r="W1161" s="11"/>
      <c r="X1161" t="s" s="10">
        <v>78</v>
      </c>
      <c r="Y1161" s="11"/>
      <c r="Z1161" t="s" s="10">
        <v>76</v>
      </c>
      <c r="AA1161" s="11"/>
      <c r="AB1161" t="s" s="10">
        <v>76</v>
      </c>
      <c r="AC1161" t="s" s="10">
        <v>4493</v>
      </c>
      <c r="AD1161" s="11"/>
      <c r="AE1161" s="11"/>
      <c r="AF1161" s="11"/>
      <c r="AG1161" s="11"/>
      <c r="AH1161" s="11"/>
      <c r="AI1161" t="s" s="10">
        <v>76</v>
      </c>
      <c r="AJ1161" t="s" s="10">
        <v>76</v>
      </c>
      <c r="AK1161" t="s" s="10">
        <v>79</v>
      </c>
      <c r="AL1161" t="s" s="10">
        <v>115</v>
      </c>
      <c r="AM1161" t="s" s="10">
        <v>196</v>
      </c>
      <c r="AN1161" t="s" s="10">
        <v>128</v>
      </c>
      <c r="AO1161" s="11"/>
      <c r="AP1161" s="11"/>
      <c r="AQ1161" s="11"/>
      <c r="AR1161" s="11"/>
      <c r="AS1161" t="s" s="10">
        <v>4494</v>
      </c>
      <c r="AT1161" s="11"/>
      <c r="AU1161" s="11"/>
      <c r="AV1161" s="11"/>
      <c r="AW1161" s="11"/>
      <c r="AX1161" s="11"/>
      <c r="AY1161" s="11"/>
      <c r="AZ1161" s="11"/>
      <c r="BA1161" s="11"/>
      <c r="BB1161" s="11"/>
      <c r="BC1161" s="11"/>
      <c r="BD1161" s="11"/>
      <c r="BE1161" s="11"/>
      <c r="BF1161" s="11"/>
      <c r="BG1161" s="11"/>
      <c r="BH1161" s="11"/>
      <c r="BI1161" s="11"/>
      <c r="BJ1161" s="11"/>
      <c r="BK1161" s="11"/>
      <c r="BL1161" s="11"/>
      <c r="BM1161" s="11"/>
      <c r="BN1161" s="11"/>
      <c r="BO1161" s="12"/>
      <c r="BP1161" s="8"/>
    </row>
    <row r="1162" ht="9" customHeight="1" hidden="1">
      <c r="A1162" t="s" s="13">
        <v>4495</v>
      </c>
      <c r="B1162" s="14"/>
      <c r="C1162" t="str" s="14" cm="1">
        <f t="array" ref="C1162">_xlfn.IFERROR((VLOOKUP(A1162,#REF!,2,FALSE)),"")</f>
      </c>
      <c r="D1162" t="s" s="15">
        <v>70</v>
      </c>
      <c r="E1162" t="s" s="15">
        <v>195</v>
      </c>
      <c r="F1162" s="14"/>
      <c r="G1162" t="s" s="15">
        <v>4408</v>
      </c>
      <c r="H1162" t="s" s="15">
        <v>4409</v>
      </c>
      <c r="I1162" t="s" s="15">
        <v>73</v>
      </c>
      <c r="J1162" t="s" s="15">
        <v>74</v>
      </c>
      <c r="K1162" t="s" s="15">
        <v>127</v>
      </c>
      <c r="L1162" t="s" s="15">
        <v>76</v>
      </c>
      <c r="M1162" t="s" s="15">
        <v>77</v>
      </c>
      <c r="N1162" t="s" s="15">
        <v>4408</v>
      </c>
      <c r="O1162" t="s" s="15">
        <v>71</v>
      </c>
      <c r="P1162" s="14"/>
      <c r="Q1162" t="s" s="15">
        <v>69</v>
      </c>
      <c r="R1162" t="s" s="15">
        <v>339</v>
      </c>
      <c r="S1162" s="14"/>
      <c r="T1162" s="14"/>
      <c r="U1162" s="14"/>
      <c r="V1162" t="s" s="15">
        <v>69</v>
      </c>
      <c r="W1162" s="14"/>
      <c r="X1162" t="s" s="15">
        <v>78</v>
      </c>
      <c r="Y1162" s="14"/>
      <c r="Z1162" t="s" s="15">
        <v>76</v>
      </c>
      <c r="AA1162" s="14"/>
      <c r="AB1162" t="s" s="15">
        <v>76</v>
      </c>
      <c r="AC1162" t="s" s="15">
        <v>4495</v>
      </c>
      <c r="AD1162" s="14"/>
      <c r="AE1162" s="14"/>
      <c r="AF1162" s="14"/>
      <c r="AG1162" s="14"/>
      <c r="AH1162" s="14"/>
      <c r="AI1162" t="s" s="15">
        <v>76</v>
      </c>
      <c r="AJ1162" t="s" s="15">
        <v>76</v>
      </c>
      <c r="AK1162" t="s" s="15">
        <v>79</v>
      </c>
      <c r="AL1162" t="s" s="15">
        <v>115</v>
      </c>
      <c r="AM1162" t="s" s="15">
        <v>196</v>
      </c>
      <c r="AN1162" t="s" s="15">
        <v>128</v>
      </c>
      <c r="AO1162" s="14"/>
      <c r="AP1162" s="14"/>
      <c r="AQ1162" s="14"/>
      <c r="AR1162" s="14"/>
      <c r="AS1162" t="s" s="15">
        <v>4496</v>
      </c>
      <c r="AT1162" s="14"/>
      <c r="AU1162" s="14"/>
      <c r="AV1162" s="14"/>
      <c r="AW1162" s="14"/>
      <c r="AX1162" s="14"/>
      <c r="AY1162" s="14"/>
      <c r="AZ1162" s="14"/>
      <c r="BA1162" s="14"/>
      <c r="BB1162" s="14"/>
      <c r="BC1162" s="14"/>
      <c r="BD1162" s="14"/>
      <c r="BE1162" s="14"/>
      <c r="BF1162" s="14"/>
      <c r="BG1162" s="14"/>
      <c r="BH1162" s="14"/>
      <c r="BI1162" s="14"/>
      <c r="BJ1162" s="14"/>
      <c r="BK1162" s="14"/>
      <c r="BL1162" s="14"/>
      <c r="BM1162" s="14"/>
      <c r="BN1162" s="14"/>
      <c r="BO1162" s="16"/>
      <c r="BP1162" s="8"/>
    </row>
    <row r="1163" ht="9" customHeight="1" hidden="1">
      <c r="A1163" t="s" s="9">
        <v>4497</v>
      </c>
      <c r="B1163" s="11"/>
      <c r="C1163" t="str" s="11" cm="1">
        <f t="array" ref="C1163">_xlfn.IFERROR((VLOOKUP(A1163,#REF!,2,FALSE)),"")</f>
      </c>
      <c r="D1163" t="s" s="10">
        <v>70</v>
      </c>
      <c r="E1163" t="s" s="10">
        <v>195</v>
      </c>
      <c r="F1163" s="11"/>
      <c r="G1163" t="s" s="10">
        <v>4408</v>
      </c>
      <c r="H1163" t="s" s="10">
        <v>4409</v>
      </c>
      <c r="I1163" t="s" s="10">
        <v>73</v>
      </c>
      <c r="J1163" t="s" s="10">
        <v>74</v>
      </c>
      <c r="K1163" t="s" s="10">
        <v>127</v>
      </c>
      <c r="L1163" t="s" s="10">
        <v>76</v>
      </c>
      <c r="M1163" t="s" s="10">
        <v>77</v>
      </c>
      <c r="N1163" t="s" s="10">
        <v>4408</v>
      </c>
      <c r="O1163" t="s" s="10">
        <v>71</v>
      </c>
      <c r="P1163" s="11"/>
      <c r="Q1163" t="s" s="10">
        <v>69</v>
      </c>
      <c r="R1163" t="s" s="10">
        <v>339</v>
      </c>
      <c r="S1163" s="11"/>
      <c r="T1163" s="11"/>
      <c r="U1163" s="11"/>
      <c r="V1163" t="s" s="10">
        <v>69</v>
      </c>
      <c r="W1163" s="11"/>
      <c r="X1163" t="s" s="10">
        <v>78</v>
      </c>
      <c r="Y1163" s="11"/>
      <c r="Z1163" t="s" s="10">
        <v>76</v>
      </c>
      <c r="AA1163" s="11"/>
      <c r="AB1163" t="s" s="10">
        <v>76</v>
      </c>
      <c r="AC1163" t="s" s="10">
        <v>4497</v>
      </c>
      <c r="AD1163" s="11"/>
      <c r="AE1163" s="11"/>
      <c r="AF1163" s="11"/>
      <c r="AG1163" s="11"/>
      <c r="AH1163" s="11"/>
      <c r="AI1163" t="s" s="10">
        <v>76</v>
      </c>
      <c r="AJ1163" t="s" s="10">
        <v>76</v>
      </c>
      <c r="AK1163" t="s" s="10">
        <v>79</v>
      </c>
      <c r="AL1163" s="11"/>
      <c r="AM1163" t="s" s="10">
        <v>196</v>
      </c>
      <c r="AN1163" t="s" s="10">
        <v>128</v>
      </c>
      <c r="AO1163" s="11"/>
      <c r="AP1163" s="11"/>
      <c r="AQ1163" s="11"/>
      <c r="AR1163" s="11"/>
      <c r="AS1163" t="s" s="10">
        <v>4498</v>
      </c>
      <c r="AT1163" s="11"/>
      <c r="AU1163" s="11"/>
      <c r="AV1163" s="11"/>
      <c r="AW1163" s="11"/>
      <c r="AX1163" s="11"/>
      <c r="AY1163" s="11"/>
      <c r="AZ1163" s="11"/>
      <c r="BA1163" s="11"/>
      <c r="BB1163" s="11"/>
      <c r="BC1163" s="11"/>
      <c r="BD1163" s="11"/>
      <c r="BE1163" s="11"/>
      <c r="BF1163" s="11"/>
      <c r="BG1163" s="11"/>
      <c r="BH1163" s="11"/>
      <c r="BI1163" s="11"/>
      <c r="BJ1163" s="11"/>
      <c r="BK1163" s="11"/>
      <c r="BL1163" s="11"/>
      <c r="BM1163" s="11"/>
      <c r="BN1163" s="11"/>
      <c r="BO1163" s="12"/>
      <c r="BP1163" s="8"/>
    </row>
    <row r="1164" ht="9" customHeight="1" hidden="1">
      <c r="A1164" t="s" s="13">
        <v>4499</v>
      </c>
      <c r="B1164" s="14"/>
      <c r="C1164" t="str" s="14" cm="1">
        <f t="array" ref="C1164">_xlfn.IFERROR((VLOOKUP(A1164,#REF!,2,FALSE)),"")</f>
      </c>
      <c r="D1164" t="s" s="15">
        <v>70</v>
      </c>
      <c r="E1164" s="14"/>
      <c r="F1164" s="14"/>
      <c r="G1164" t="s" s="15">
        <v>4408</v>
      </c>
      <c r="H1164" t="s" s="15">
        <v>4409</v>
      </c>
      <c r="I1164" t="s" s="15">
        <v>111</v>
      </c>
      <c r="J1164" t="s" s="15">
        <v>122</v>
      </c>
      <c r="K1164" t="s" s="15">
        <v>127</v>
      </c>
      <c r="L1164" t="s" s="15">
        <v>76</v>
      </c>
      <c r="M1164" t="s" s="15">
        <v>77</v>
      </c>
      <c r="N1164" t="s" s="15">
        <v>4408</v>
      </c>
      <c r="O1164" s="14"/>
      <c r="P1164" s="14"/>
      <c r="Q1164" t="s" s="15">
        <v>69</v>
      </c>
      <c r="R1164" t="s" s="15">
        <v>339</v>
      </c>
      <c r="S1164" s="14"/>
      <c r="T1164" s="14"/>
      <c r="U1164" s="14"/>
      <c r="V1164" t="s" s="15">
        <v>69</v>
      </c>
      <c r="W1164" s="14"/>
      <c r="X1164" t="s" s="15">
        <v>78</v>
      </c>
      <c r="Y1164" s="14"/>
      <c r="Z1164" t="s" s="15">
        <v>76</v>
      </c>
      <c r="AA1164" s="14"/>
      <c r="AB1164" t="s" s="15">
        <v>76</v>
      </c>
      <c r="AC1164" t="s" s="15">
        <v>4499</v>
      </c>
      <c r="AD1164" s="14"/>
      <c r="AE1164" s="14"/>
      <c r="AF1164" s="14"/>
      <c r="AG1164" s="14"/>
      <c r="AH1164" s="14"/>
      <c r="AI1164" t="s" s="15">
        <v>76</v>
      </c>
      <c r="AJ1164" t="s" s="15">
        <v>76</v>
      </c>
      <c r="AK1164" t="s" s="15">
        <v>79</v>
      </c>
      <c r="AL1164" s="14"/>
      <c r="AM1164" s="14"/>
      <c r="AN1164" t="s" s="15">
        <v>128</v>
      </c>
      <c r="AO1164" s="14"/>
      <c r="AP1164" s="14"/>
      <c r="AQ1164" s="14"/>
      <c r="AR1164" s="14"/>
      <c r="AS1164" t="s" s="15">
        <v>4500</v>
      </c>
      <c r="AT1164" s="14"/>
      <c r="AU1164" s="14"/>
      <c r="AV1164" s="14"/>
      <c r="AW1164" s="14"/>
      <c r="AX1164" s="14"/>
      <c r="AY1164" s="14"/>
      <c r="AZ1164" s="14"/>
      <c r="BA1164" s="14"/>
      <c r="BB1164" s="14"/>
      <c r="BC1164" s="14"/>
      <c r="BD1164" s="14"/>
      <c r="BE1164" s="14"/>
      <c r="BF1164" s="14"/>
      <c r="BG1164" s="14"/>
      <c r="BH1164" s="14"/>
      <c r="BI1164" s="14"/>
      <c r="BJ1164" s="14"/>
      <c r="BK1164" s="14"/>
      <c r="BL1164" s="14"/>
      <c r="BM1164" s="14"/>
      <c r="BN1164" s="14"/>
      <c r="BO1164" s="16"/>
      <c r="BP1164" s="8"/>
    </row>
    <row r="1165" ht="9" customHeight="1" hidden="1">
      <c r="A1165" t="s" s="9">
        <v>4501</v>
      </c>
      <c r="B1165" s="11"/>
      <c r="C1165" t="str" s="11" cm="1">
        <f t="array" ref="C1165">_xlfn.IFERROR((VLOOKUP(A1165,#REF!,2,FALSE)),"")</f>
      </c>
      <c r="D1165" t="s" s="10">
        <v>70</v>
      </c>
      <c r="E1165" s="11"/>
      <c r="F1165" s="11"/>
      <c r="G1165" t="s" s="10">
        <v>4408</v>
      </c>
      <c r="H1165" t="s" s="10">
        <v>4409</v>
      </c>
      <c r="I1165" t="s" s="10">
        <v>111</v>
      </c>
      <c r="J1165" t="s" s="10">
        <v>122</v>
      </c>
      <c r="K1165" t="s" s="10">
        <v>127</v>
      </c>
      <c r="L1165" t="s" s="10">
        <v>76</v>
      </c>
      <c r="M1165" t="s" s="10">
        <v>77</v>
      </c>
      <c r="N1165" t="s" s="10">
        <v>4408</v>
      </c>
      <c r="O1165" s="11"/>
      <c r="P1165" s="11"/>
      <c r="Q1165" t="s" s="10">
        <v>69</v>
      </c>
      <c r="R1165" t="s" s="10">
        <v>339</v>
      </c>
      <c r="S1165" s="11"/>
      <c r="T1165" s="11"/>
      <c r="U1165" s="11"/>
      <c r="V1165" t="s" s="10">
        <v>69</v>
      </c>
      <c r="W1165" s="11"/>
      <c r="X1165" t="s" s="10">
        <v>78</v>
      </c>
      <c r="Y1165" s="11"/>
      <c r="Z1165" t="s" s="10">
        <v>76</v>
      </c>
      <c r="AA1165" s="11"/>
      <c r="AB1165" t="s" s="10">
        <v>76</v>
      </c>
      <c r="AC1165" t="s" s="10">
        <v>4501</v>
      </c>
      <c r="AD1165" s="11"/>
      <c r="AE1165" s="11"/>
      <c r="AF1165" s="11"/>
      <c r="AG1165" s="11"/>
      <c r="AH1165" s="11"/>
      <c r="AI1165" t="s" s="10">
        <v>76</v>
      </c>
      <c r="AJ1165" t="s" s="10">
        <v>76</v>
      </c>
      <c r="AK1165" t="s" s="10">
        <v>79</v>
      </c>
      <c r="AL1165" s="11"/>
      <c r="AM1165" s="11"/>
      <c r="AN1165" t="s" s="10">
        <v>128</v>
      </c>
      <c r="AO1165" s="11"/>
      <c r="AP1165" s="11"/>
      <c r="AQ1165" s="11"/>
      <c r="AR1165" s="11"/>
      <c r="AS1165" t="s" s="10">
        <v>4502</v>
      </c>
      <c r="AT1165" s="11"/>
      <c r="AU1165" s="11"/>
      <c r="AV1165" s="11"/>
      <c r="AW1165" s="11"/>
      <c r="AX1165" s="11"/>
      <c r="AY1165" s="11"/>
      <c r="AZ1165" s="11"/>
      <c r="BA1165" s="11"/>
      <c r="BB1165" s="11"/>
      <c r="BC1165" s="11"/>
      <c r="BD1165" s="11"/>
      <c r="BE1165" s="11"/>
      <c r="BF1165" s="11"/>
      <c r="BG1165" s="11"/>
      <c r="BH1165" s="11"/>
      <c r="BI1165" s="11"/>
      <c r="BJ1165" s="11"/>
      <c r="BK1165" s="11"/>
      <c r="BL1165" s="11"/>
      <c r="BM1165" s="11"/>
      <c r="BN1165" s="11"/>
      <c r="BO1165" s="12"/>
      <c r="BP1165" s="8"/>
    </row>
    <row r="1166" ht="9" customHeight="1" hidden="1">
      <c r="A1166" t="s" s="13">
        <v>4503</v>
      </c>
      <c r="B1166" s="14"/>
      <c r="C1166" t="str" s="14" cm="1">
        <f t="array" ref="C1166">_xlfn.IFERROR((VLOOKUP(A1166,#REF!,2,FALSE)),"")</f>
      </c>
      <c r="D1166" t="s" s="15">
        <v>70</v>
      </c>
      <c r="E1166" s="14"/>
      <c r="F1166" s="14"/>
      <c r="G1166" t="s" s="15">
        <v>4408</v>
      </c>
      <c r="H1166" t="s" s="15">
        <v>4409</v>
      </c>
      <c r="I1166" t="s" s="15">
        <v>111</v>
      </c>
      <c r="J1166" t="s" s="15">
        <v>122</v>
      </c>
      <c r="K1166" t="s" s="15">
        <v>127</v>
      </c>
      <c r="L1166" t="s" s="15">
        <v>76</v>
      </c>
      <c r="M1166" t="s" s="15">
        <v>77</v>
      </c>
      <c r="N1166" t="s" s="15">
        <v>4408</v>
      </c>
      <c r="O1166" s="14"/>
      <c r="P1166" s="14"/>
      <c r="Q1166" t="s" s="15">
        <v>69</v>
      </c>
      <c r="R1166" t="s" s="15">
        <v>339</v>
      </c>
      <c r="S1166" s="14"/>
      <c r="T1166" s="14"/>
      <c r="U1166" s="14"/>
      <c r="V1166" t="s" s="15">
        <v>69</v>
      </c>
      <c r="W1166" s="14"/>
      <c r="X1166" t="s" s="15">
        <v>78</v>
      </c>
      <c r="Y1166" s="14"/>
      <c r="Z1166" t="s" s="15">
        <v>76</v>
      </c>
      <c r="AA1166" s="14"/>
      <c r="AB1166" t="s" s="15">
        <v>76</v>
      </c>
      <c r="AC1166" t="s" s="15">
        <v>4503</v>
      </c>
      <c r="AD1166" s="14"/>
      <c r="AE1166" s="14"/>
      <c r="AF1166" s="14"/>
      <c r="AG1166" s="14"/>
      <c r="AH1166" s="14"/>
      <c r="AI1166" t="s" s="15">
        <v>76</v>
      </c>
      <c r="AJ1166" t="s" s="15">
        <v>76</v>
      </c>
      <c r="AK1166" t="s" s="15">
        <v>79</v>
      </c>
      <c r="AL1166" s="14"/>
      <c r="AM1166" s="14"/>
      <c r="AN1166" t="s" s="15">
        <v>128</v>
      </c>
      <c r="AO1166" s="14"/>
      <c r="AP1166" s="14"/>
      <c r="AQ1166" s="14"/>
      <c r="AR1166" s="14"/>
      <c r="AS1166" t="s" s="15">
        <v>4504</v>
      </c>
      <c r="AT1166" s="14"/>
      <c r="AU1166" s="14"/>
      <c r="AV1166" s="14"/>
      <c r="AW1166" s="14"/>
      <c r="AX1166" s="14"/>
      <c r="AY1166" s="14"/>
      <c r="AZ1166" s="14"/>
      <c r="BA1166" s="14"/>
      <c r="BB1166" s="14"/>
      <c r="BC1166" s="14"/>
      <c r="BD1166" s="14"/>
      <c r="BE1166" s="14"/>
      <c r="BF1166" s="14"/>
      <c r="BG1166" s="14"/>
      <c r="BH1166" s="14"/>
      <c r="BI1166" s="14"/>
      <c r="BJ1166" s="14"/>
      <c r="BK1166" s="14"/>
      <c r="BL1166" s="14"/>
      <c r="BM1166" s="14"/>
      <c r="BN1166" s="14"/>
      <c r="BO1166" s="16"/>
      <c r="BP1166" s="8"/>
    </row>
    <row r="1167" ht="9" customHeight="1" hidden="1">
      <c r="A1167" t="s" s="9">
        <v>4505</v>
      </c>
      <c r="B1167" s="11"/>
      <c r="C1167" t="str" s="11" cm="1">
        <f t="array" ref="C1167">_xlfn.IFERROR((VLOOKUP(A1167,#REF!,2,FALSE)),"")</f>
      </c>
      <c r="D1167" t="s" s="10">
        <v>70</v>
      </c>
      <c r="E1167" t="s" s="10">
        <v>195</v>
      </c>
      <c r="F1167" s="11"/>
      <c r="G1167" t="s" s="10">
        <v>4408</v>
      </c>
      <c r="H1167" t="s" s="10">
        <v>4409</v>
      </c>
      <c r="I1167" t="s" s="10">
        <v>73</v>
      </c>
      <c r="J1167" t="s" s="10">
        <v>74</v>
      </c>
      <c r="K1167" t="s" s="10">
        <v>127</v>
      </c>
      <c r="L1167" t="s" s="10">
        <v>76</v>
      </c>
      <c r="M1167" t="s" s="10">
        <v>77</v>
      </c>
      <c r="N1167" t="s" s="10">
        <v>4408</v>
      </c>
      <c r="O1167" t="s" s="10">
        <v>71</v>
      </c>
      <c r="P1167" s="11"/>
      <c r="Q1167" t="s" s="10">
        <v>69</v>
      </c>
      <c r="R1167" t="s" s="10">
        <v>339</v>
      </c>
      <c r="S1167" s="11"/>
      <c r="T1167" s="11"/>
      <c r="U1167" s="11"/>
      <c r="V1167" t="s" s="10">
        <v>69</v>
      </c>
      <c r="W1167" s="11"/>
      <c r="X1167" t="s" s="10">
        <v>78</v>
      </c>
      <c r="Y1167" s="11"/>
      <c r="Z1167" t="s" s="10">
        <v>76</v>
      </c>
      <c r="AA1167" s="11"/>
      <c r="AB1167" t="s" s="10">
        <v>76</v>
      </c>
      <c r="AC1167" t="s" s="10">
        <v>4505</v>
      </c>
      <c r="AD1167" s="11"/>
      <c r="AE1167" s="11"/>
      <c r="AF1167" s="11"/>
      <c r="AG1167" s="11"/>
      <c r="AH1167" s="11"/>
      <c r="AI1167" t="s" s="10">
        <v>76</v>
      </c>
      <c r="AJ1167" t="s" s="10">
        <v>76</v>
      </c>
      <c r="AK1167" t="s" s="10">
        <v>79</v>
      </c>
      <c r="AL1167" s="11"/>
      <c r="AM1167" t="s" s="10">
        <v>196</v>
      </c>
      <c r="AN1167" t="s" s="10">
        <v>128</v>
      </c>
      <c r="AO1167" s="11"/>
      <c r="AP1167" s="11"/>
      <c r="AQ1167" s="11"/>
      <c r="AR1167" s="11"/>
      <c r="AS1167" t="s" s="10">
        <v>4506</v>
      </c>
      <c r="AT1167" s="11"/>
      <c r="AU1167" s="11"/>
      <c r="AV1167" s="11"/>
      <c r="AW1167" s="11"/>
      <c r="AX1167" s="11"/>
      <c r="AY1167" s="11"/>
      <c r="AZ1167" s="11"/>
      <c r="BA1167" s="11"/>
      <c r="BB1167" s="11"/>
      <c r="BC1167" s="11"/>
      <c r="BD1167" s="11"/>
      <c r="BE1167" s="11"/>
      <c r="BF1167" s="11"/>
      <c r="BG1167" s="11"/>
      <c r="BH1167" s="11"/>
      <c r="BI1167" s="11"/>
      <c r="BJ1167" s="11"/>
      <c r="BK1167" s="11"/>
      <c r="BL1167" s="11"/>
      <c r="BM1167" s="11"/>
      <c r="BN1167" s="11"/>
      <c r="BO1167" s="12"/>
      <c r="BP1167" s="8"/>
    </row>
    <row r="1168" ht="9" customHeight="1" hidden="1">
      <c r="A1168" t="s" s="13">
        <v>4507</v>
      </c>
      <c r="B1168" s="14"/>
      <c r="C1168" t="str" s="14" cm="1">
        <f t="array" ref="C1168">_xlfn.IFERROR((VLOOKUP(A1168,#REF!,2,FALSE)),"")</f>
      </c>
      <c r="D1168" t="s" s="15">
        <v>70</v>
      </c>
      <c r="E1168" s="14"/>
      <c r="F1168" s="14"/>
      <c r="G1168" t="s" s="15">
        <v>4408</v>
      </c>
      <c r="H1168" t="s" s="15">
        <v>4409</v>
      </c>
      <c r="I1168" t="s" s="15">
        <v>111</v>
      </c>
      <c r="J1168" t="s" s="15">
        <v>122</v>
      </c>
      <c r="K1168" t="s" s="15">
        <v>127</v>
      </c>
      <c r="L1168" t="s" s="15">
        <v>76</v>
      </c>
      <c r="M1168" t="s" s="15">
        <v>77</v>
      </c>
      <c r="N1168" t="s" s="15">
        <v>4408</v>
      </c>
      <c r="O1168" s="14"/>
      <c r="P1168" s="14"/>
      <c r="Q1168" t="s" s="15">
        <v>69</v>
      </c>
      <c r="R1168" t="s" s="15">
        <v>339</v>
      </c>
      <c r="S1168" s="14"/>
      <c r="T1168" s="14"/>
      <c r="U1168" s="14"/>
      <c r="V1168" t="s" s="15">
        <v>69</v>
      </c>
      <c r="W1168" s="14"/>
      <c r="X1168" t="s" s="15">
        <v>78</v>
      </c>
      <c r="Y1168" s="14"/>
      <c r="Z1168" t="s" s="15">
        <v>76</v>
      </c>
      <c r="AA1168" s="14"/>
      <c r="AB1168" t="s" s="15">
        <v>76</v>
      </c>
      <c r="AC1168" t="s" s="15">
        <v>4507</v>
      </c>
      <c r="AD1168" s="14"/>
      <c r="AE1168" s="14"/>
      <c r="AF1168" s="14"/>
      <c r="AG1168" s="14"/>
      <c r="AH1168" s="14"/>
      <c r="AI1168" t="s" s="15">
        <v>76</v>
      </c>
      <c r="AJ1168" t="s" s="15">
        <v>76</v>
      </c>
      <c r="AK1168" t="s" s="15">
        <v>79</v>
      </c>
      <c r="AL1168" s="14"/>
      <c r="AM1168" s="14"/>
      <c r="AN1168" t="s" s="15">
        <v>128</v>
      </c>
      <c r="AO1168" s="14"/>
      <c r="AP1168" s="14"/>
      <c r="AQ1168" s="14"/>
      <c r="AR1168" s="14"/>
      <c r="AS1168" t="s" s="15">
        <v>4508</v>
      </c>
      <c r="AT1168" s="14"/>
      <c r="AU1168" s="14"/>
      <c r="AV1168" s="14"/>
      <c r="AW1168" s="14"/>
      <c r="AX1168" s="14"/>
      <c r="AY1168" s="14"/>
      <c r="AZ1168" s="14"/>
      <c r="BA1168" s="14"/>
      <c r="BB1168" s="14"/>
      <c r="BC1168" s="14"/>
      <c r="BD1168" s="14"/>
      <c r="BE1168" s="14"/>
      <c r="BF1168" s="14"/>
      <c r="BG1168" s="14"/>
      <c r="BH1168" s="14"/>
      <c r="BI1168" s="14"/>
      <c r="BJ1168" s="14"/>
      <c r="BK1168" s="14"/>
      <c r="BL1168" s="14"/>
      <c r="BM1168" s="14"/>
      <c r="BN1168" s="14"/>
      <c r="BO1168" s="16"/>
      <c r="BP1168" s="8"/>
    </row>
    <row r="1169" ht="9" customHeight="1" hidden="1">
      <c r="A1169" t="s" s="9">
        <v>4509</v>
      </c>
      <c r="B1169" s="11"/>
      <c r="C1169" t="str" s="11" cm="1">
        <f t="array" ref="C1169">_xlfn.IFERROR((VLOOKUP(A1169,#REF!,2,FALSE)),"")</f>
      </c>
      <c r="D1169" t="s" s="10">
        <v>70</v>
      </c>
      <c r="E1169" t="s" s="10">
        <v>195</v>
      </c>
      <c r="F1169" s="11"/>
      <c r="G1169" t="s" s="10">
        <v>4408</v>
      </c>
      <c r="H1169" t="s" s="10">
        <v>4409</v>
      </c>
      <c r="I1169" t="s" s="10">
        <v>73</v>
      </c>
      <c r="J1169" t="s" s="10">
        <v>74</v>
      </c>
      <c r="K1169" t="s" s="10">
        <v>127</v>
      </c>
      <c r="L1169" t="s" s="10">
        <v>76</v>
      </c>
      <c r="M1169" t="s" s="10">
        <v>77</v>
      </c>
      <c r="N1169" t="s" s="10">
        <v>4408</v>
      </c>
      <c r="O1169" t="s" s="10">
        <v>71</v>
      </c>
      <c r="P1169" s="11"/>
      <c r="Q1169" t="s" s="10">
        <v>69</v>
      </c>
      <c r="R1169" t="s" s="10">
        <v>339</v>
      </c>
      <c r="S1169" s="11"/>
      <c r="T1169" s="11"/>
      <c r="U1169" s="11"/>
      <c r="V1169" t="s" s="10">
        <v>69</v>
      </c>
      <c r="W1169" s="11"/>
      <c r="X1169" t="s" s="10">
        <v>78</v>
      </c>
      <c r="Y1169" s="11"/>
      <c r="Z1169" t="s" s="10">
        <v>76</v>
      </c>
      <c r="AA1169" s="11"/>
      <c r="AB1169" t="s" s="10">
        <v>76</v>
      </c>
      <c r="AC1169" t="s" s="10">
        <v>4509</v>
      </c>
      <c r="AD1169" s="11"/>
      <c r="AE1169" s="11"/>
      <c r="AF1169" s="11"/>
      <c r="AG1169" s="11"/>
      <c r="AH1169" s="11"/>
      <c r="AI1169" t="s" s="10">
        <v>76</v>
      </c>
      <c r="AJ1169" t="s" s="10">
        <v>76</v>
      </c>
      <c r="AK1169" t="s" s="10">
        <v>79</v>
      </c>
      <c r="AL1169" s="11"/>
      <c r="AM1169" t="s" s="10">
        <v>196</v>
      </c>
      <c r="AN1169" t="s" s="10">
        <v>128</v>
      </c>
      <c r="AO1169" s="11"/>
      <c r="AP1169" s="11"/>
      <c r="AQ1169" s="11"/>
      <c r="AR1169" s="11"/>
      <c r="AS1169" t="s" s="10">
        <v>4510</v>
      </c>
      <c r="AT1169" s="11"/>
      <c r="AU1169" s="11"/>
      <c r="AV1169" s="11"/>
      <c r="AW1169" s="11"/>
      <c r="AX1169" s="11"/>
      <c r="AY1169" s="11"/>
      <c r="AZ1169" s="11"/>
      <c r="BA1169" s="11"/>
      <c r="BB1169" s="11"/>
      <c r="BC1169" s="11"/>
      <c r="BD1169" s="11"/>
      <c r="BE1169" s="11"/>
      <c r="BF1169" s="11"/>
      <c r="BG1169" s="11"/>
      <c r="BH1169" s="11"/>
      <c r="BI1169" s="11"/>
      <c r="BJ1169" s="11"/>
      <c r="BK1169" s="11"/>
      <c r="BL1169" s="11"/>
      <c r="BM1169" s="11"/>
      <c r="BN1169" s="11"/>
      <c r="BO1169" s="12"/>
      <c r="BP1169" s="8"/>
    </row>
    <row r="1170" ht="9" customHeight="1" hidden="1">
      <c r="A1170" t="s" s="13">
        <v>4511</v>
      </c>
      <c r="B1170" s="14"/>
      <c r="C1170" t="str" s="14" cm="1">
        <f t="array" ref="C1170">_xlfn.IFERROR((VLOOKUP(A1170,#REF!,2,FALSE)),"")</f>
      </c>
      <c r="D1170" t="s" s="15">
        <v>70</v>
      </c>
      <c r="E1170" t="s" s="15">
        <v>195</v>
      </c>
      <c r="F1170" s="14"/>
      <c r="G1170" t="s" s="15">
        <v>4408</v>
      </c>
      <c r="H1170" t="s" s="15">
        <v>4409</v>
      </c>
      <c r="I1170" t="s" s="15">
        <v>73</v>
      </c>
      <c r="J1170" t="s" s="15">
        <v>74</v>
      </c>
      <c r="K1170" t="s" s="15">
        <v>127</v>
      </c>
      <c r="L1170" t="s" s="15">
        <v>76</v>
      </c>
      <c r="M1170" t="s" s="15">
        <v>77</v>
      </c>
      <c r="N1170" t="s" s="15">
        <v>4408</v>
      </c>
      <c r="O1170" t="s" s="15">
        <v>71</v>
      </c>
      <c r="P1170" s="14"/>
      <c r="Q1170" t="s" s="15">
        <v>69</v>
      </c>
      <c r="R1170" t="s" s="15">
        <v>339</v>
      </c>
      <c r="S1170" s="14"/>
      <c r="T1170" s="14"/>
      <c r="U1170" s="14"/>
      <c r="V1170" t="s" s="15">
        <v>69</v>
      </c>
      <c r="W1170" s="14"/>
      <c r="X1170" t="s" s="15">
        <v>78</v>
      </c>
      <c r="Y1170" s="14"/>
      <c r="Z1170" t="s" s="15">
        <v>76</v>
      </c>
      <c r="AA1170" s="14"/>
      <c r="AB1170" t="s" s="15">
        <v>76</v>
      </c>
      <c r="AC1170" t="s" s="15">
        <v>4511</v>
      </c>
      <c r="AD1170" s="14"/>
      <c r="AE1170" s="14"/>
      <c r="AF1170" s="14"/>
      <c r="AG1170" s="14"/>
      <c r="AH1170" s="14"/>
      <c r="AI1170" t="s" s="15">
        <v>76</v>
      </c>
      <c r="AJ1170" t="s" s="15">
        <v>76</v>
      </c>
      <c r="AK1170" t="s" s="15">
        <v>79</v>
      </c>
      <c r="AL1170" t="s" s="15">
        <v>115</v>
      </c>
      <c r="AM1170" t="s" s="15">
        <v>196</v>
      </c>
      <c r="AN1170" t="s" s="15">
        <v>128</v>
      </c>
      <c r="AO1170" s="14"/>
      <c r="AP1170" s="14"/>
      <c r="AQ1170" s="14"/>
      <c r="AR1170" s="14"/>
      <c r="AS1170" t="s" s="15">
        <v>4512</v>
      </c>
      <c r="AT1170" s="14"/>
      <c r="AU1170" s="14"/>
      <c r="AV1170" s="14"/>
      <c r="AW1170" s="14"/>
      <c r="AX1170" s="14"/>
      <c r="AY1170" s="14"/>
      <c r="AZ1170" s="14"/>
      <c r="BA1170" s="14"/>
      <c r="BB1170" s="14"/>
      <c r="BC1170" s="14"/>
      <c r="BD1170" s="14"/>
      <c r="BE1170" s="14"/>
      <c r="BF1170" s="14"/>
      <c r="BG1170" s="14"/>
      <c r="BH1170" s="14"/>
      <c r="BI1170" s="14"/>
      <c r="BJ1170" s="14"/>
      <c r="BK1170" s="14"/>
      <c r="BL1170" s="14"/>
      <c r="BM1170" s="14"/>
      <c r="BN1170" s="14"/>
      <c r="BO1170" s="16"/>
      <c r="BP1170" s="8"/>
    </row>
    <row r="1171" ht="9" customHeight="1" hidden="1">
      <c r="A1171" t="s" s="9">
        <v>4513</v>
      </c>
      <c r="B1171" s="11"/>
      <c r="C1171" t="str" s="11" cm="1">
        <f t="array" ref="C1171">_xlfn.IFERROR((VLOOKUP(A1171,#REF!,2,FALSE)),"")</f>
      </c>
      <c r="D1171" t="s" s="10">
        <v>70</v>
      </c>
      <c r="E1171" t="s" s="10">
        <v>195</v>
      </c>
      <c r="F1171" s="11"/>
      <c r="G1171" t="s" s="10">
        <v>4408</v>
      </c>
      <c r="H1171" t="s" s="10">
        <v>4409</v>
      </c>
      <c r="I1171" t="s" s="10">
        <v>73</v>
      </c>
      <c r="J1171" t="s" s="10">
        <v>74</v>
      </c>
      <c r="K1171" t="s" s="10">
        <v>127</v>
      </c>
      <c r="L1171" t="s" s="10">
        <v>76</v>
      </c>
      <c r="M1171" t="s" s="10">
        <v>77</v>
      </c>
      <c r="N1171" t="s" s="10">
        <v>4408</v>
      </c>
      <c r="O1171" t="s" s="10">
        <v>71</v>
      </c>
      <c r="P1171" s="11"/>
      <c r="Q1171" t="s" s="10">
        <v>69</v>
      </c>
      <c r="R1171" t="s" s="10">
        <v>339</v>
      </c>
      <c r="S1171" s="11"/>
      <c r="T1171" s="11"/>
      <c r="U1171" s="11"/>
      <c r="V1171" t="s" s="10">
        <v>69</v>
      </c>
      <c r="W1171" t="s" s="10">
        <v>4513</v>
      </c>
      <c r="X1171" t="s" s="10">
        <v>78</v>
      </c>
      <c r="Y1171" s="11"/>
      <c r="Z1171" t="s" s="10">
        <v>76</v>
      </c>
      <c r="AA1171" s="11"/>
      <c r="AB1171" t="s" s="10">
        <v>76</v>
      </c>
      <c r="AC1171" t="s" s="10">
        <v>4513</v>
      </c>
      <c r="AD1171" s="11"/>
      <c r="AE1171" s="11"/>
      <c r="AF1171" s="11"/>
      <c r="AG1171" s="11"/>
      <c r="AH1171" s="11"/>
      <c r="AI1171" t="s" s="10">
        <v>76</v>
      </c>
      <c r="AJ1171" t="s" s="10">
        <v>76</v>
      </c>
      <c r="AK1171" t="s" s="10">
        <v>79</v>
      </c>
      <c r="AL1171" t="s" s="10">
        <v>115</v>
      </c>
      <c r="AM1171" t="s" s="10">
        <v>196</v>
      </c>
      <c r="AN1171" t="s" s="10">
        <v>128</v>
      </c>
      <c r="AO1171" s="11"/>
      <c r="AP1171" s="11"/>
      <c r="AQ1171" s="11"/>
      <c r="AR1171" s="11"/>
      <c r="AS1171" t="s" s="10">
        <v>4514</v>
      </c>
      <c r="AT1171" s="11"/>
      <c r="AU1171" s="11"/>
      <c r="AV1171" s="11"/>
      <c r="AW1171" s="11"/>
      <c r="AX1171" s="11"/>
      <c r="AY1171" s="11"/>
      <c r="AZ1171" s="11"/>
      <c r="BA1171" s="11"/>
      <c r="BB1171" s="11"/>
      <c r="BC1171" s="11"/>
      <c r="BD1171" s="11"/>
      <c r="BE1171" s="11"/>
      <c r="BF1171" s="11"/>
      <c r="BG1171" s="11"/>
      <c r="BH1171" s="11"/>
      <c r="BI1171" s="11"/>
      <c r="BJ1171" s="11"/>
      <c r="BK1171" s="11"/>
      <c r="BL1171" s="11"/>
      <c r="BM1171" s="11"/>
      <c r="BN1171" s="11"/>
      <c r="BO1171" s="12"/>
      <c r="BP1171" s="8"/>
    </row>
    <row r="1172" ht="9" customHeight="1" hidden="1">
      <c r="A1172" t="s" s="13">
        <v>4515</v>
      </c>
      <c r="B1172" s="14"/>
      <c r="C1172" t="str" s="14" cm="1">
        <f t="array" ref="C1172">_xlfn.IFERROR((VLOOKUP(A1172,#REF!,2,FALSE)),"")</f>
      </c>
      <c r="D1172" t="s" s="15">
        <v>70</v>
      </c>
      <c r="E1172" t="s" s="15">
        <v>195</v>
      </c>
      <c r="F1172" s="14"/>
      <c r="G1172" t="s" s="15">
        <v>4408</v>
      </c>
      <c r="H1172" t="s" s="15">
        <v>4409</v>
      </c>
      <c r="I1172" t="s" s="15">
        <v>73</v>
      </c>
      <c r="J1172" t="s" s="15">
        <v>74</v>
      </c>
      <c r="K1172" t="s" s="15">
        <v>127</v>
      </c>
      <c r="L1172" t="s" s="15">
        <v>76</v>
      </c>
      <c r="M1172" t="s" s="15">
        <v>77</v>
      </c>
      <c r="N1172" t="s" s="15">
        <v>4408</v>
      </c>
      <c r="O1172" t="s" s="15">
        <v>71</v>
      </c>
      <c r="P1172" s="14"/>
      <c r="Q1172" t="s" s="15">
        <v>69</v>
      </c>
      <c r="R1172" t="s" s="15">
        <v>339</v>
      </c>
      <c r="S1172" s="14"/>
      <c r="T1172" s="14"/>
      <c r="U1172" s="14"/>
      <c r="V1172" t="s" s="15">
        <v>69</v>
      </c>
      <c r="W1172" s="14"/>
      <c r="X1172" t="s" s="15">
        <v>78</v>
      </c>
      <c r="Y1172" s="14"/>
      <c r="Z1172" t="s" s="15">
        <v>76</v>
      </c>
      <c r="AA1172" s="14"/>
      <c r="AB1172" t="s" s="15">
        <v>76</v>
      </c>
      <c r="AC1172" t="s" s="15">
        <v>4515</v>
      </c>
      <c r="AD1172" s="14"/>
      <c r="AE1172" s="14"/>
      <c r="AF1172" s="14"/>
      <c r="AG1172" s="14"/>
      <c r="AH1172" s="14"/>
      <c r="AI1172" t="s" s="15">
        <v>76</v>
      </c>
      <c r="AJ1172" t="s" s="15">
        <v>76</v>
      </c>
      <c r="AK1172" t="s" s="15">
        <v>79</v>
      </c>
      <c r="AL1172" t="s" s="15">
        <v>115</v>
      </c>
      <c r="AM1172" t="s" s="15">
        <v>196</v>
      </c>
      <c r="AN1172" t="s" s="15">
        <v>128</v>
      </c>
      <c r="AO1172" s="14"/>
      <c r="AP1172" s="14"/>
      <c r="AQ1172" s="14"/>
      <c r="AR1172" s="14"/>
      <c r="AS1172" t="s" s="15">
        <v>4516</v>
      </c>
      <c r="AT1172" s="14"/>
      <c r="AU1172" s="14"/>
      <c r="AV1172" s="14"/>
      <c r="AW1172" s="14"/>
      <c r="AX1172" s="14"/>
      <c r="AY1172" s="14"/>
      <c r="AZ1172" s="14"/>
      <c r="BA1172" s="14"/>
      <c r="BB1172" s="14"/>
      <c r="BC1172" s="14"/>
      <c r="BD1172" s="14"/>
      <c r="BE1172" s="14"/>
      <c r="BF1172" s="14"/>
      <c r="BG1172" s="14"/>
      <c r="BH1172" s="14"/>
      <c r="BI1172" s="14"/>
      <c r="BJ1172" s="14"/>
      <c r="BK1172" s="14"/>
      <c r="BL1172" s="14"/>
      <c r="BM1172" s="14"/>
      <c r="BN1172" s="14"/>
      <c r="BO1172" s="16"/>
      <c r="BP1172" s="8"/>
    </row>
    <row r="1173" ht="9" customHeight="1" hidden="1">
      <c r="A1173" t="s" s="9">
        <v>4517</v>
      </c>
      <c r="B1173" s="11"/>
      <c r="C1173" t="str" s="11" cm="1">
        <f t="array" ref="C1173">_xlfn.IFERROR((VLOOKUP(A1173,#REF!,2,FALSE)),"")</f>
      </c>
      <c r="D1173" t="s" s="10">
        <v>70</v>
      </c>
      <c r="E1173" t="s" s="10">
        <v>195</v>
      </c>
      <c r="F1173" s="11"/>
      <c r="G1173" t="s" s="10">
        <v>4408</v>
      </c>
      <c r="H1173" t="s" s="10">
        <v>4409</v>
      </c>
      <c r="I1173" t="s" s="10">
        <v>73</v>
      </c>
      <c r="J1173" t="s" s="10">
        <v>74</v>
      </c>
      <c r="K1173" t="s" s="10">
        <v>1709</v>
      </c>
      <c r="L1173" t="s" s="10">
        <v>76</v>
      </c>
      <c r="M1173" t="s" s="10">
        <v>77</v>
      </c>
      <c r="N1173" t="s" s="10">
        <v>4408</v>
      </c>
      <c r="O1173" t="s" s="10">
        <v>71</v>
      </c>
      <c r="P1173" s="11"/>
      <c r="Q1173" t="s" s="10">
        <v>69</v>
      </c>
      <c r="R1173" t="s" s="10">
        <v>339</v>
      </c>
      <c r="S1173" s="11"/>
      <c r="T1173" s="11"/>
      <c r="U1173" s="11"/>
      <c r="V1173" t="s" s="10">
        <v>69</v>
      </c>
      <c r="W1173" t="s" s="10">
        <v>4517</v>
      </c>
      <c r="X1173" t="s" s="10">
        <v>78</v>
      </c>
      <c r="Y1173" s="11"/>
      <c r="Z1173" t="s" s="10">
        <v>76</v>
      </c>
      <c r="AA1173" s="11"/>
      <c r="AB1173" t="s" s="10">
        <v>76</v>
      </c>
      <c r="AC1173" t="s" s="10">
        <v>4517</v>
      </c>
      <c r="AD1173" s="11"/>
      <c r="AE1173" s="11"/>
      <c r="AF1173" s="11"/>
      <c r="AG1173" s="11"/>
      <c r="AH1173" s="11"/>
      <c r="AI1173" t="s" s="10">
        <v>76</v>
      </c>
      <c r="AJ1173" t="s" s="10">
        <v>76</v>
      </c>
      <c r="AK1173" t="s" s="10">
        <v>79</v>
      </c>
      <c r="AL1173" t="s" s="10">
        <v>115</v>
      </c>
      <c r="AM1173" t="s" s="10">
        <v>196</v>
      </c>
      <c r="AN1173" t="s" s="10">
        <v>128</v>
      </c>
      <c r="AO1173" s="11"/>
      <c r="AP1173" s="11"/>
      <c r="AQ1173" s="11"/>
      <c r="AR1173" s="11"/>
      <c r="AS1173" t="s" s="10">
        <v>4518</v>
      </c>
      <c r="AT1173" s="11"/>
      <c r="AU1173" s="11"/>
      <c r="AV1173" s="11"/>
      <c r="AW1173" s="11"/>
      <c r="AX1173" s="11"/>
      <c r="AY1173" s="11"/>
      <c r="AZ1173" s="11"/>
      <c r="BA1173" s="11"/>
      <c r="BB1173" s="11"/>
      <c r="BC1173" s="11"/>
      <c r="BD1173" s="11"/>
      <c r="BE1173" s="11"/>
      <c r="BF1173" s="11"/>
      <c r="BG1173" s="11"/>
      <c r="BH1173" s="11"/>
      <c r="BI1173" s="11"/>
      <c r="BJ1173" s="11"/>
      <c r="BK1173" s="11"/>
      <c r="BL1173" s="11"/>
      <c r="BM1173" s="11"/>
      <c r="BN1173" s="11"/>
      <c r="BO1173" s="12"/>
      <c r="BP1173" s="8"/>
    </row>
    <row r="1174" ht="9" customHeight="1" hidden="1">
      <c r="A1174" t="s" s="13">
        <v>4519</v>
      </c>
      <c r="B1174" s="14"/>
      <c r="C1174" t="str" s="14" cm="1">
        <f t="array" ref="C1174">_xlfn.IFERROR((VLOOKUP(A1174,#REF!,2,FALSE)),"")</f>
      </c>
      <c r="D1174" t="s" s="15">
        <v>70</v>
      </c>
      <c r="E1174" t="s" s="15">
        <v>71</v>
      </c>
      <c r="F1174" s="14"/>
      <c r="G1174" s="14"/>
      <c r="H1174" s="14"/>
      <c r="I1174" t="s" s="15">
        <v>73</v>
      </c>
      <c r="J1174" t="s" s="15">
        <v>74</v>
      </c>
      <c r="K1174" t="s" s="15">
        <v>127</v>
      </c>
      <c r="L1174" t="s" s="15">
        <v>76</v>
      </c>
      <c r="M1174" t="s" s="15">
        <v>77</v>
      </c>
      <c r="N1174" s="14"/>
      <c r="O1174" t="s" s="15">
        <v>71</v>
      </c>
      <c r="P1174" s="14"/>
      <c r="Q1174" t="s" s="15">
        <v>78</v>
      </c>
      <c r="R1174" t="s" s="15">
        <v>71</v>
      </c>
      <c r="S1174" s="14"/>
      <c r="T1174" s="14"/>
      <c r="U1174" s="14"/>
      <c r="V1174" t="s" s="15">
        <v>69</v>
      </c>
      <c r="W1174" t="s" s="15">
        <v>4519</v>
      </c>
      <c r="X1174" t="s" s="15">
        <v>78</v>
      </c>
      <c r="Y1174" s="14"/>
      <c r="Z1174" t="s" s="15">
        <v>76</v>
      </c>
      <c r="AA1174" s="14"/>
      <c r="AB1174" t="s" s="15">
        <v>76</v>
      </c>
      <c r="AC1174" s="14"/>
      <c r="AD1174" s="14"/>
      <c r="AE1174" s="14"/>
      <c r="AF1174" s="14"/>
      <c r="AG1174" s="14"/>
      <c r="AH1174" s="14"/>
      <c r="AI1174" t="s" s="15">
        <v>76</v>
      </c>
      <c r="AJ1174" t="s" s="15">
        <v>76</v>
      </c>
      <c r="AK1174" t="s" s="15">
        <v>79</v>
      </c>
      <c r="AL1174" t="s" s="15">
        <v>115</v>
      </c>
      <c r="AM1174" s="14"/>
      <c r="AN1174" t="s" s="15">
        <v>128</v>
      </c>
      <c r="AO1174" s="14"/>
      <c r="AP1174" s="14"/>
      <c r="AQ1174" s="14"/>
      <c r="AR1174" s="14"/>
      <c r="AS1174" t="s" s="15">
        <v>4520</v>
      </c>
      <c r="AT1174" s="14"/>
      <c r="AU1174" s="14"/>
      <c r="AV1174" s="14"/>
      <c r="AW1174" s="14"/>
      <c r="AX1174" s="14"/>
      <c r="AY1174" s="14"/>
      <c r="AZ1174" s="14"/>
      <c r="BA1174" s="14"/>
      <c r="BB1174" s="14"/>
      <c r="BC1174" s="14"/>
      <c r="BD1174" s="14"/>
      <c r="BE1174" s="14"/>
      <c r="BF1174" s="14"/>
      <c r="BG1174" s="14"/>
      <c r="BH1174" s="14"/>
      <c r="BI1174" s="14"/>
      <c r="BJ1174" s="14"/>
      <c r="BK1174" s="14"/>
      <c r="BL1174" s="14"/>
      <c r="BM1174" s="14"/>
      <c r="BN1174" s="14"/>
      <c r="BO1174" s="16"/>
      <c r="BP1174" s="8"/>
    </row>
    <row r="1175" ht="9" customHeight="1" hidden="1">
      <c r="A1175" t="s" s="9">
        <v>4521</v>
      </c>
      <c r="B1175" s="11"/>
      <c r="C1175" t="str" s="11" cm="1">
        <f t="array" ref="C1175">_xlfn.IFERROR((VLOOKUP(A1175,#REF!,2,FALSE)),"")</f>
      </c>
      <c r="D1175" s="11"/>
      <c r="E1175" t="s" s="10">
        <v>195</v>
      </c>
      <c r="F1175" s="11"/>
      <c r="G1175" t="s" s="10">
        <v>4522</v>
      </c>
      <c r="H1175" t="s" s="10">
        <v>4523</v>
      </c>
      <c r="I1175" t="s" s="10">
        <v>73</v>
      </c>
      <c r="J1175" t="s" s="10">
        <v>74</v>
      </c>
      <c r="K1175" t="s" s="10">
        <v>127</v>
      </c>
      <c r="L1175" t="s" s="10">
        <v>76</v>
      </c>
      <c r="M1175" t="s" s="10">
        <v>77</v>
      </c>
      <c r="N1175" t="s" s="10">
        <v>4522</v>
      </c>
      <c r="O1175" t="s" s="10">
        <v>71</v>
      </c>
      <c r="P1175" s="11"/>
      <c r="Q1175" t="s" s="10">
        <v>69</v>
      </c>
      <c r="R1175" t="s" s="10">
        <v>339</v>
      </c>
      <c r="S1175" s="11"/>
      <c r="T1175" s="11"/>
      <c r="U1175" s="11"/>
      <c r="V1175" t="s" s="10">
        <v>69</v>
      </c>
      <c r="W1175" s="11"/>
      <c r="X1175" t="s" s="10">
        <v>69</v>
      </c>
      <c r="Y1175" s="11"/>
      <c r="Z1175" t="s" s="10">
        <v>76</v>
      </c>
      <c r="AA1175" s="11"/>
      <c r="AB1175" t="s" s="10">
        <v>76</v>
      </c>
      <c r="AC1175" t="s" s="10">
        <v>4521</v>
      </c>
      <c r="AD1175" s="11"/>
      <c r="AE1175" s="11"/>
      <c r="AF1175" s="11"/>
      <c r="AG1175" s="11"/>
      <c r="AH1175" s="11"/>
      <c r="AI1175" t="s" s="10">
        <v>76</v>
      </c>
      <c r="AJ1175" t="s" s="10">
        <v>76</v>
      </c>
      <c r="AK1175" t="s" s="10">
        <v>79</v>
      </c>
      <c r="AL1175" t="s" s="10">
        <v>115</v>
      </c>
      <c r="AM1175" t="s" s="10">
        <v>196</v>
      </c>
      <c r="AN1175" t="s" s="10">
        <v>128</v>
      </c>
      <c r="AO1175" s="11"/>
      <c r="AP1175" s="11"/>
      <c r="AQ1175" s="11"/>
      <c r="AR1175" s="11"/>
      <c r="AS1175" t="s" s="10">
        <v>4524</v>
      </c>
      <c r="AT1175" s="11"/>
      <c r="AU1175" s="11"/>
      <c r="AV1175" s="11"/>
      <c r="AW1175" s="11"/>
      <c r="AX1175" s="11"/>
      <c r="AY1175" s="11"/>
      <c r="AZ1175" s="11"/>
      <c r="BA1175" s="11"/>
      <c r="BB1175" s="11"/>
      <c r="BC1175" s="11"/>
      <c r="BD1175" s="11"/>
      <c r="BE1175" s="11"/>
      <c r="BF1175" s="11"/>
      <c r="BG1175" s="11"/>
      <c r="BH1175" s="11"/>
      <c r="BI1175" s="11"/>
      <c r="BJ1175" s="11"/>
      <c r="BK1175" s="11"/>
      <c r="BL1175" s="11"/>
      <c r="BM1175" s="11"/>
      <c r="BN1175" s="11"/>
      <c r="BO1175" s="12"/>
      <c r="BP1175" s="8"/>
    </row>
    <row r="1176" ht="9" customHeight="1" hidden="1">
      <c r="A1176" t="s" s="13">
        <v>4525</v>
      </c>
      <c r="B1176" s="14"/>
      <c r="C1176" t="str" s="14" cm="1">
        <f t="array" ref="C1176">_xlfn.IFERROR((VLOOKUP(A1176,#REF!,2,FALSE)),"")</f>
      </c>
      <c r="D1176" t="s" s="15">
        <v>70</v>
      </c>
      <c r="E1176" t="s" s="15">
        <v>71</v>
      </c>
      <c r="F1176" s="14"/>
      <c r="G1176" s="14"/>
      <c r="H1176" s="14"/>
      <c r="I1176" t="s" s="15">
        <v>73</v>
      </c>
      <c r="J1176" t="s" s="15">
        <v>74</v>
      </c>
      <c r="K1176" t="s" s="15">
        <v>127</v>
      </c>
      <c r="L1176" t="s" s="15">
        <v>76</v>
      </c>
      <c r="M1176" t="s" s="15">
        <v>77</v>
      </c>
      <c r="N1176" s="14"/>
      <c r="O1176" t="s" s="15">
        <v>71</v>
      </c>
      <c r="P1176" s="14"/>
      <c r="Q1176" t="s" s="15">
        <v>78</v>
      </c>
      <c r="R1176" t="s" s="15">
        <v>71</v>
      </c>
      <c r="S1176" s="14"/>
      <c r="T1176" s="14"/>
      <c r="U1176" s="14"/>
      <c r="V1176" t="s" s="15">
        <v>69</v>
      </c>
      <c r="W1176" t="s" s="15">
        <v>4525</v>
      </c>
      <c r="X1176" t="s" s="15">
        <v>78</v>
      </c>
      <c r="Y1176" s="14"/>
      <c r="Z1176" t="s" s="15">
        <v>76</v>
      </c>
      <c r="AA1176" s="14"/>
      <c r="AB1176" t="s" s="15">
        <v>76</v>
      </c>
      <c r="AC1176" s="14"/>
      <c r="AD1176" s="14"/>
      <c r="AE1176" s="14"/>
      <c r="AF1176" s="14"/>
      <c r="AG1176" s="14"/>
      <c r="AH1176" s="14"/>
      <c r="AI1176" t="s" s="15">
        <v>76</v>
      </c>
      <c r="AJ1176" t="s" s="15">
        <v>76</v>
      </c>
      <c r="AK1176" t="s" s="15">
        <v>79</v>
      </c>
      <c r="AL1176" t="s" s="15">
        <v>115</v>
      </c>
      <c r="AM1176" s="14"/>
      <c r="AN1176" t="s" s="15">
        <v>128</v>
      </c>
      <c r="AO1176" s="14"/>
      <c r="AP1176" s="14"/>
      <c r="AQ1176" s="14"/>
      <c r="AR1176" s="14"/>
      <c r="AS1176" t="s" s="15">
        <v>4526</v>
      </c>
      <c r="AT1176" s="14"/>
      <c r="AU1176" s="14"/>
      <c r="AV1176" s="14"/>
      <c r="AW1176" s="14"/>
      <c r="AX1176" s="14"/>
      <c r="AY1176" s="14"/>
      <c r="AZ1176" s="14"/>
      <c r="BA1176" s="14"/>
      <c r="BB1176" s="14"/>
      <c r="BC1176" s="14"/>
      <c r="BD1176" s="14"/>
      <c r="BE1176" s="14"/>
      <c r="BF1176" s="14"/>
      <c r="BG1176" s="14"/>
      <c r="BH1176" s="14"/>
      <c r="BI1176" s="14"/>
      <c r="BJ1176" s="14"/>
      <c r="BK1176" s="14"/>
      <c r="BL1176" s="14"/>
      <c r="BM1176" s="14"/>
      <c r="BN1176" s="14"/>
      <c r="BO1176" s="16"/>
      <c r="BP1176" s="8"/>
    </row>
    <row r="1177" ht="9" customHeight="1" hidden="1">
      <c r="A1177" t="s" s="9">
        <v>4527</v>
      </c>
      <c r="B1177" s="11"/>
      <c r="C1177" t="str" s="11" cm="1">
        <f t="array" ref="C1177">_xlfn.IFERROR((VLOOKUP(A1177,#REF!,2,FALSE)),"")</f>
      </c>
      <c r="D1177" t="s" s="10">
        <v>70</v>
      </c>
      <c r="E1177" t="s" s="10">
        <v>195</v>
      </c>
      <c r="F1177" s="11"/>
      <c r="G1177" t="s" s="10">
        <v>4408</v>
      </c>
      <c r="H1177" t="s" s="10">
        <v>4409</v>
      </c>
      <c r="I1177" t="s" s="10">
        <v>73</v>
      </c>
      <c r="J1177" t="s" s="10">
        <v>74</v>
      </c>
      <c r="K1177" t="s" s="10">
        <v>127</v>
      </c>
      <c r="L1177" t="s" s="10">
        <v>76</v>
      </c>
      <c r="M1177" t="s" s="10">
        <v>77</v>
      </c>
      <c r="N1177" t="s" s="10">
        <v>4408</v>
      </c>
      <c r="O1177" t="s" s="10">
        <v>71</v>
      </c>
      <c r="P1177" s="11"/>
      <c r="Q1177" t="s" s="10">
        <v>69</v>
      </c>
      <c r="R1177" t="s" s="10">
        <v>339</v>
      </c>
      <c r="S1177" s="11"/>
      <c r="T1177" s="11"/>
      <c r="U1177" s="11"/>
      <c r="V1177" t="s" s="10">
        <v>69</v>
      </c>
      <c r="W1177" s="11"/>
      <c r="X1177" t="s" s="10">
        <v>78</v>
      </c>
      <c r="Y1177" s="11"/>
      <c r="Z1177" t="s" s="10">
        <v>76</v>
      </c>
      <c r="AA1177" s="11"/>
      <c r="AB1177" t="s" s="10">
        <v>76</v>
      </c>
      <c r="AC1177" t="s" s="10">
        <v>4527</v>
      </c>
      <c r="AD1177" s="11"/>
      <c r="AE1177" s="11"/>
      <c r="AF1177" s="11"/>
      <c r="AG1177" s="11"/>
      <c r="AH1177" s="11"/>
      <c r="AI1177" t="s" s="10">
        <v>76</v>
      </c>
      <c r="AJ1177" t="s" s="10">
        <v>76</v>
      </c>
      <c r="AK1177" t="s" s="10">
        <v>79</v>
      </c>
      <c r="AL1177" t="s" s="10">
        <v>115</v>
      </c>
      <c r="AM1177" t="s" s="10">
        <v>196</v>
      </c>
      <c r="AN1177" t="s" s="10">
        <v>128</v>
      </c>
      <c r="AO1177" s="11"/>
      <c r="AP1177" s="11"/>
      <c r="AQ1177" s="11"/>
      <c r="AR1177" s="11"/>
      <c r="AS1177" t="s" s="10">
        <v>4528</v>
      </c>
      <c r="AT1177" s="11"/>
      <c r="AU1177" s="11"/>
      <c r="AV1177" s="11"/>
      <c r="AW1177" s="11"/>
      <c r="AX1177" s="11"/>
      <c r="AY1177" s="11"/>
      <c r="AZ1177" s="11"/>
      <c r="BA1177" s="11"/>
      <c r="BB1177" s="11"/>
      <c r="BC1177" s="11"/>
      <c r="BD1177" s="11"/>
      <c r="BE1177" s="11"/>
      <c r="BF1177" s="11"/>
      <c r="BG1177" s="11"/>
      <c r="BH1177" s="11"/>
      <c r="BI1177" s="11"/>
      <c r="BJ1177" s="11"/>
      <c r="BK1177" s="11"/>
      <c r="BL1177" s="11"/>
      <c r="BM1177" s="11"/>
      <c r="BN1177" s="11"/>
      <c r="BO1177" s="12"/>
      <c r="BP1177" s="8"/>
    </row>
    <row r="1178" ht="9" customHeight="1" hidden="1">
      <c r="A1178" t="s" s="13">
        <v>4529</v>
      </c>
      <c r="B1178" s="14"/>
      <c r="C1178" t="str" s="14" cm="1">
        <f t="array" ref="C1178">_xlfn.IFERROR((VLOOKUP(A1178,#REF!,2,FALSE)),"")</f>
      </c>
      <c r="D1178" t="s" s="15">
        <v>70</v>
      </c>
      <c r="E1178" t="s" s="15">
        <v>195</v>
      </c>
      <c r="F1178" s="14"/>
      <c r="G1178" t="s" s="15">
        <v>4408</v>
      </c>
      <c r="H1178" t="s" s="15">
        <v>4409</v>
      </c>
      <c r="I1178" t="s" s="15">
        <v>73</v>
      </c>
      <c r="J1178" t="s" s="15">
        <v>74</v>
      </c>
      <c r="K1178" t="s" s="15">
        <v>127</v>
      </c>
      <c r="L1178" t="s" s="15">
        <v>76</v>
      </c>
      <c r="M1178" t="s" s="15">
        <v>77</v>
      </c>
      <c r="N1178" t="s" s="15">
        <v>4408</v>
      </c>
      <c r="O1178" t="s" s="15">
        <v>71</v>
      </c>
      <c r="P1178" s="14"/>
      <c r="Q1178" t="s" s="15">
        <v>69</v>
      </c>
      <c r="R1178" t="s" s="15">
        <v>339</v>
      </c>
      <c r="S1178" s="14"/>
      <c r="T1178" s="14"/>
      <c r="U1178" s="14"/>
      <c r="V1178" t="s" s="15">
        <v>69</v>
      </c>
      <c r="W1178" s="14"/>
      <c r="X1178" t="s" s="15">
        <v>78</v>
      </c>
      <c r="Y1178" s="14"/>
      <c r="Z1178" t="s" s="15">
        <v>76</v>
      </c>
      <c r="AA1178" s="14"/>
      <c r="AB1178" t="s" s="15">
        <v>76</v>
      </c>
      <c r="AC1178" t="s" s="15">
        <v>4529</v>
      </c>
      <c r="AD1178" s="14"/>
      <c r="AE1178" s="14"/>
      <c r="AF1178" s="14"/>
      <c r="AG1178" s="14"/>
      <c r="AH1178" s="14"/>
      <c r="AI1178" t="s" s="15">
        <v>76</v>
      </c>
      <c r="AJ1178" t="s" s="15">
        <v>76</v>
      </c>
      <c r="AK1178" t="s" s="15">
        <v>79</v>
      </c>
      <c r="AL1178" t="s" s="15">
        <v>115</v>
      </c>
      <c r="AM1178" t="s" s="15">
        <v>196</v>
      </c>
      <c r="AN1178" t="s" s="15">
        <v>128</v>
      </c>
      <c r="AO1178" s="14"/>
      <c r="AP1178" s="14"/>
      <c r="AQ1178" s="14"/>
      <c r="AR1178" s="14"/>
      <c r="AS1178" t="s" s="15">
        <v>4530</v>
      </c>
      <c r="AT1178" s="14"/>
      <c r="AU1178" s="14"/>
      <c r="AV1178" s="14"/>
      <c r="AW1178" s="14"/>
      <c r="AX1178" s="14"/>
      <c r="AY1178" s="14"/>
      <c r="AZ1178" s="14"/>
      <c r="BA1178" s="14"/>
      <c r="BB1178" s="14"/>
      <c r="BC1178" s="14"/>
      <c r="BD1178" s="14"/>
      <c r="BE1178" s="14"/>
      <c r="BF1178" s="14"/>
      <c r="BG1178" s="14"/>
      <c r="BH1178" s="14"/>
      <c r="BI1178" s="14"/>
      <c r="BJ1178" s="14"/>
      <c r="BK1178" s="14"/>
      <c r="BL1178" s="14"/>
      <c r="BM1178" s="14"/>
      <c r="BN1178" s="14"/>
      <c r="BO1178" s="16"/>
      <c r="BP1178" s="8"/>
    </row>
    <row r="1179" ht="9" customHeight="1" hidden="1">
      <c r="A1179" t="s" s="9">
        <v>4531</v>
      </c>
      <c r="B1179" s="11"/>
      <c r="C1179" t="str" s="11" cm="1">
        <f t="array" ref="C1179">_xlfn.IFERROR((VLOOKUP(A1179,#REF!,2,FALSE)),"")</f>
      </c>
      <c r="D1179" t="s" s="10">
        <v>70</v>
      </c>
      <c r="E1179" t="s" s="10">
        <v>195</v>
      </c>
      <c r="F1179" s="11"/>
      <c r="G1179" t="s" s="10">
        <v>4408</v>
      </c>
      <c r="H1179" t="s" s="10">
        <v>4409</v>
      </c>
      <c r="I1179" t="s" s="10">
        <v>73</v>
      </c>
      <c r="J1179" t="s" s="10">
        <v>74</v>
      </c>
      <c r="K1179" t="s" s="10">
        <v>127</v>
      </c>
      <c r="L1179" t="s" s="10">
        <v>76</v>
      </c>
      <c r="M1179" t="s" s="10">
        <v>77</v>
      </c>
      <c r="N1179" t="s" s="10">
        <v>4408</v>
      </c>
      <c r="O1179" t="s" s="10">
        <v>71</v>
      </c>
      <c r="P1179" s="11"/>
      <c r="Q1179" t="s" s="10">
        <v>69</v>
      </c>
      <c r="R1179" t="s" s="10">
        <v>339</v>
      </c>
      <c r="S1179" s="11"/>
      <c r="T1179" s="11"/>
      <c r="U1179" s="11"/>
      <c r="V1179" t="s" s="10">
        <v>69</v>
      </c>
      <c r="W1179" s="11"/>
      <c r="X1179" t="s" s="10">
        <v>78</v>
      </c>
      <c r="Y1179" s="11"/>
      <c r="Z1179" t="s" s="10">
        <v>76</v>
      </c>
      <c r="AA1179" s="11"/>
      <c r="AB1179" t="s" s="10">
        <v>76</v>
      </c>
      <c r="AC1179" t="s" s="10">
        <v>4531</v>
      </c>
      <c r="AD1179" s="11"/>
      <c r="AE1179" s="11"/>
      <c r="AF1179" s="11"/>
      <c r="AG1179" s="11"/>
      <c r="AH1179" s="11"/>
      <c r="AI1179" t="s" s="10">
        <v>76</v>
      </c>
      <c r="AJ1179" t="s" s="10">
        <v>76</v>
      </c>
      <c r="AK1179" t="s" s="10">
        <v>79</v>
      </c>
      <c r="AL1179" t="s" s="10">
        <v>115</v>
      </c>
      <c r="AM1179" t="s" s="10">
        <v>196</v>
      </c>
      <c r="AN1179" t="s" s="10">
        <v>128</v>
      </c>
      <c r="AO1179" s="11"/>
      <c r="AP1179" s="11"/>
      <c r="AQ1179" s="11"/>
      <c r="AR1179" s="11"/>
      <c r="AS1179" t="s" s="10">
        <v>4532</v>
      </c>
      <c r="AT1179" s="11"/>
      <c r="AU1179" s="11"/>
      <c r="AV1179" s="11"/>
      <c r="AW1179" s="11"/>
      <c r="AX1179" s="11"/>
      <c r="AY1179" s="11"/>
      <c r="AZ1179" s="11"/>
      <c r="BA1179" s="11"/>
      <c r="BB1179" s="11"/>
      <c r="BC1179" s="11"/>
      <c r="BD1179" s="11"/>
      <c r="BE1179" s="11"/>
      <c r="BF1179" s="11"/>
      <c r="BG1179" s="11"/>
      <c r="BH1179" s="11"/>
      <c r="BI1179" s="11"/>
      <c r="BJ1179" s="11"/>
      <c r="BK1179" s="11"/>
      <c r="BL1179" s="11"/>
      <c r="BM1179" s="11"/>
      <c r="BN1179" s="11"/>
      <c r="BO1179" s="12"/>
      <c r="BP1179" s="8"/>
    </row>
    <row r="1180" ht="9" customHeight="1" hidden="1">
      <c r="A1180" t="s" s="13">
        <v>4533</v>
      </c>
      <c r="B1180" s="14"/>
      <c r="C1180" t="str" s="14" cm="1">
        <f t="array" ref="C1180">_xlfn.IFERROR((VLOOKUP(A1180,#REF!,2,FALSE)),"")</f>
      </c>
      <c r="D1180" s="14"/>
      <c r="E1180" s="14"/>
      <c r="F1180" s="14"/>
      <c r="G1180" t="s" s="15">
        <v>4534</v>
      </c>
      <c r="H1180" t="s" s="15">
        <v>4535</v>
      </c>
      <c r="I1180" t="s" s="15">
        <v>111</v>
      </c>
      <c r="J1180" t="s" s="15">
        <v>322</v>
      </c>
      <c r="K1180" t="s" s="15">
        <v>113</v>
      </c>
      <c r="L1180" t="s" s="15">
        <v>76</v>
      </c>
      <c r="M1180" t="s" s="15">
        <v>77</v>
      </c>
      <c r="N1180" t="s" s="15">
        <v>4534</v>
      </c>
      <c r="O1180" s="14"/>
      <c r="P1180" s="14"/>
      <c r="Q1180" t="s" s="15">
        <v>69</v>
      </c>
      <c r="R1180" t="s" s="15">
        <v>323</v>
      </c>
      <c r="S1180" s="14"/>
      <c r="T1180" s="14"/>
      <c r="U1180" s="14"/>
      <c r="V1180" t="s" s="15">
        <v>69</v>
      </c>
      <c r="W1180" s="14"/>
      <c r="X1180" t="s" s="15">
        <v>69</v>
      </c>
      <c r="Y1180" s="14"/>
      <c r="Z1180" t="s" s="15">
        <v>76</v>
      </c>
      <c r="AA1180" s="14"/>
      <c r="AB1180" t="s" s="15">
        <v>76</v>
      </c>
      <c r="AC1180" t="s" s="15">
        <v>4533</v>
      </c>
      <c r="AD1180" t="s" s="15">
        <v>4536</v>
      </c>
      <c r="AE1180" s="14"/>
      <c r="AF1180" s="14"/>
      <c r="AG1180" s="14"/>
      <c r="AH1180" s="14"/>
      <c r="AI1180" t="s" s="15">
        <v>76</v>
      </c>
      <c r="AJ1180" t="s" s="15">
        <v>76</v>
      </c>
      <c r="AK1180" t="s" s="15">
        <v>79</v>
      </c>
      <c r="AL1180" t="s" s="15">
        <v>115</v>
      </c>
      <c r="AM1180" t="s" s="15">
        <v>294</v>
      </c>
      <c r="AN1180" t="s" s="15">
        <v>128</v>
      </c>
      <c r="AO1180" s="17">
        <v>4</v>
      </c>
      <c r="AP1180" s="17">
        <v>4096</v>
      </c>
      <c r="AQ1180" s="17">
        <v>290910</v>
      </c>
      <c r="AR1180" s="17">
        <v>124000</v>
      </c>
      <c r="AS1180" t="s" s="15">
        <v>4537</v>
      </c>
      <c r="AT1180" s="14"/>
      <c r="AU1180" s="14"/>
      <c r="AV1180" s="14"/>
      <c r="AW1180" s="14"/>
      <c r="AX1180" s="14"/>
      <c r="AY1180" s="14"/>
      <c r="AZ1180" s="14"/>
      <c r="BA1180" s="14"/>
      <c r="BB1180" s="14"/>
      <c r="BC1180" s="14"/>
      <c r="BD1180" s="14"/>
      <c r="BE1180" s="14"/>
      <c r="BF1180" s="14"/>
      <c r="BG1180" s="14"/>
      <c r="BH1180" s="14"/>
      <c r="BI1180" s="14"/>
      <c r="BJ1180" s="14"/>
      <c r="BK1180" s="14"/>
      <c r="BL1180" s="14"/>
      <c r="BM1180" s="14"/>
      <c r="BN1180" t="s" s="15">
        <v>78</v>
      </c>
      <c r="BO1180" s="16"/>
      <c r="BP1180" s="8"/>
    </row>
    <row r="1181" ht="9" customHeight="1" hidden="1">
      <c r="A1181" t="s" s="9">
        <v>4538</v>
      </c>
      <c r="B1181" s="11"/>
      <c r="C1181" t="str" s="11" cm="1">
        <f t="array" ref="C1181">_xlfn.IFERROR((VLOOKUP(A1181,#REF!,2,FALSE)),"")</f>
      </c>
      <c r="D1181" s="11"/>
      <c r="E1181" s="11"/>
      <c r="F1181" s="11"/>
      <c r="G1181" t="s" s="10">
        <v>4539</v>
      </c>
      <c r="H1181" t="s" s="10">
        <v>4539</v>
      </c>
      <c r="I1181" t="s" s="10">
        <v>73</v>
      </c>
      <c r="J1181" t="s" s="10">
        <v>74</v>
      </c>
      <c r="K1181" t="s" s="10">
        <v>113</v>
      </c>
      <c r="L1181" t="s" s="10">
        <v>76</v>
      </c>
      <c r="M1181" t="s" s="10">
        <v>77</v>
      </c>
      <c r="N1181" t="s" s="10">
        <v>4539</v>
      </c>
      <c r="O1181" t="s" s="10">
        <v>71</v>
      </c>
      <c r="P1181" s="11"/>
      <c r="Q1181" t="s" s="10">
        <v>78</v>
      </c>
      <c r="R1181" t="s" s="10">
        <v>323</v>
      </c>
      <c r="S1181" s="11"/>
      <c r="T1181" s="11"/>
      <c r="U1181" s="11"/>
      <c r="V1181" t="s" s="10">
        <v>78</v>
      </c>
      <c r="W1181" t="s" s="10">
        <v>4538</v>
      </c>
      <c r="X1181" t="s" s="10">
        <v>69</v>
      </c>
      <c r="Y1181" s="11"/>
      <c r="Z1181" t="s" s="10">
        <v>76</v>
      </c>
      <c r="AA1181" s="11"/>
      <c r="AB1181" t="s" s="10">
        <v>76</v>
      </c>
      <c r="AC1181" s="11"/>
      <c r="AD1181" s="11"/>
      <c r="AE1181" s="11"/>
      <c r="AF1181" s="11"/>
      <c r="AG1181" s="11"/>
      <c r="AH1181" t="s" s="10">
        <v>114</v>
      </c>
      <c r="AI1181" t="s" s="10">
        <v>76</v>
      </c>
      <c r="AJ1181" t="s" s="10">
        <v>76</v>
      </c>
      <c r="AK1181" t="s" s="10">
        <v>79</v>
      </c>
      <c r="AL1181" s="11"/>
      <c r="AM1181" s="11"/>
      <c r="AN1181" s="11"/>
      <c r="AO1181" s="11"/>
      <c r="AP1181" s="11"/>
      <c r="AQ1181" s="11"/>
      <c r="AR1181" s="11"/>
      <c r="AS1181" s="11"/>
      <c r="AT1181" s="11"/>
      <c r="AU1181" s="11"/>
      <c r="AV1181" s="11"/>
      <c r="AW1181" s="11"/>
      <c r="AX1181" s="11"/>
      <c r="AY1181" s="11"/>
      <c r="AZ1181" s="11"/>
      <c r="BA1181" s="11"/>
      <c r="BB1181" s="11"/>
      <c r="BC1181" s="11"/>
      <c r="BD1181" t="s" s="10">
        <v>118</v>
      </c>
      <c r="BE1181" s="11"/>
      <c r="BF1181" s="11"/>
      <c r="BG1181" s="11"/>
      <c r="BH1181" s="11"/>
      <c r="BI1181" s="11"/>
      <c r="BJ1181" s="11"/>
      <c r="BK1181" s="11"/>
      <c r="BL1181" s="11"/>
      <c r="BM1181" s="11"/>
      <c r="BN1181" s="11"/>
      <c r="BO1181" s="12"/>
      <c r="BP1181" s="8"/>
    </row>
    <row r="1182" ht="9" customHeight="1" hidden="1">
      <c r="A1182" t="s" s="13">
        <v>4540</v>
      </c>
      <c r="B1182" s="14"/>
      <c r="C1182" t="str" s="14" cm="1">
        <f t="array" ref="C1182">_xlfn.IFERROR((VLOOKUP(A1182,#REF!,2,FALSE)),"")</f>
      </c>
      <c r="D1182" t="s" s="15">
        <v>70</v>
      </c>
      <c r="E1182" t="s" s="15">
        <v>126</v>
      </c>
      <c r="F1182" s="14"/>
      <c r="G1182" s="14"/>
      <c r="H1182" s="14"/>
      <c r="I1182" t="s" s="15">
        <v>111</v>
      </c>
      <c r="J1182" t="s" s="15">
        <v>122</v>
      </c>
      <c r="K1182" t="s" s="15">
        <v>127</v>
      </c>
      <c r="L1182" t="s" s="15">
        <v>76</v>
      </c>
      <c r="M1182" t="s" s="15">
        <v>77</v>
      </c>
      <c r="N1182" s="14"/>
      <c r="O1182" s="14"/>
      <c r="P1182" s="14"/>
      <c r="Q1182" t="s" s="15">
        <v>69</v>
      </c>
      <c r="R1182" t="s" s="15">
        <v>83</v>
      </c>
      <c r="S1182" s="14"/>
      <c r="T1182" s="14"/>
      <c r="U1182" s="14"/>
      <c r="V1182" t="s" s="15">
        <v>69</v>
      </c>
      <c r="W1182" s="14"/>
      <c r="X1182" t="s" s="15">
        <v>78</v>
      </c>
      <c r="Y1182" s="14"/>
      <c r="Z1182" t="s" s="15">
        <v>76</v>
      </c>
      <c r="AA1182" s="14"/>
      <c r="AB1182" t="s" s="15">
        <v>76</v>
      </c>
      <c r="AC1182" s="14"/>
      <c r="AD1182" s="14"/>
      <c r="AE1182" s="14"/>
      <c r="AF1182" s="14"/>
      <c r="AG1182" s="14"/>
      <c r="AH1182" s="14"/>
      <c r="AI1182" t="s" s="15">
        <v>76</v>
      </c>
      <c r="AJ1182" t="s" s="15">
        <v>76</v>
      </c>
      <c r="AK1182" t="s" s="15">
        <v>79</v>
      </c>
      <c r="AL1182" s="14"/>
      <c r="AM1182" s="14"/>
      <c r="AN1182" t="s" s="15">
        <v>116</v>
      </c>
      <c r="AO1182" s="14"/>
      <c r="AP1182" s="14"/>
      <c r="AQ1182" s="14"/>
      <c r="AR1182" s="14"/>
      <c r="AS1182" t="s" s="15">
        <v>4541</v>
      </c>
      <c r="AT1182" s="14"/>
      <c r="AU1182" s="14"/>
      <c r="AV1182" s="14"/>
      <c r="AW1182" s="14"/>
      <c r="AX1182" s="14"/>
      <c r="AY1182" s="14"/>
      <c r="AZ1182" s="14"/>
      <c r="BA1182" s="14"/>
      <c r="BB1182" s="14"/>
      <c r="BC1182" s="14"/>
      <c r="BD1182" s="14"/>
      <c r="BE1182" s="14"/>
      <c r="BF1182" s="14"/>
      <c r="BG1182" s="14"/>
      <c r="BH1182" s="14"/>
      <c r="BI1182" s="14"/>
      <c r="BJ1182" s="14"/>
      <c r="BK1182" s="14"/>
      <c r="BL1182" s="14"/>
      <c r="BM1182" s="14"/>
      <c r="BN1182" t="s" s="15">
        <v>78</v>
      </c>
      <c r="BO1182" s="16"/>
      <c r="BP1182" s="8"/>
    </row>
    <row r="1183" ht="9" customHeight="1" hidden="1">
      <c r="A1183" t="s" s="9">
        <v>4542</v>
      </c>
      <c r="B1183" s="11"/>
      <c r="C1183" t="str" s="11" cm="1">
        <f t="array" ref="C1183">_xlfn.IFERROR((VLOOKUP(A1183,#REF!,2,FALSE)),"")</f>
      </c>
      <c r="D1183" t="s" s="10">
        <v>70</v>
      </c>
      <c r="E1183" t="s" s="10">
        <v>4543</v>
      </c>
      <c r="F1183" s="11"/>
      <c r="G1183" t="s" s="10">
        <v>4544</v>
      </c>
      <c r="H1183" t="s" s="10">
        <v>4544</v>
      </c>
      <c r="I1183" t="s" s="10">
        <v>73</v>
      </c>
      <c r="J1183" t="s" s="10">
        <v>74</v>
      </c>
      <c r="K1183" t="s" s="10">
        <v>113</v>
      </c>
      <c r="L1183" t="s" s="10">
        <v>76</v>
      </c>
      <c r="M1183" t="s" s="10">
        <v>77</v>
      </c>
      <c r="N1183" s="11"/>
      <c r="O1183" s="11"/>
      <c r="P1183" s="11"/>
      <c r="Q1183" t="s" s="10">
        <v>78</v>
      </c>
      <c r="R1183" t="s" s="10">
        <v>339</v>
      </c>
      <c r="S1183" s="11"/>
      <c r="T1183" s="11"/>
      <c r="U1183" s="11"/>
      <c r="V1183" t="s" s="10">
        <v>69</v>
      </c>
      <c r="W1183" s="11"/>
      <c r="X1183" t="s" s="10">
        <v>78</v>
      </c>
      <c r="Y1183" s="11"/>
      <c r="Z1183" t="s" s="10">
        <v>76</v>
      </c>
      <c r="AA1183" s="11"/>
      <c r="AB1183" t="s" s="10">
        <v>76</v>
      </c>
      <c r="AC1183" s="11"/>
      <c r="AD1183" s="11"/>
      <c r="AE1183" s="11"/>
      <c r="AF1183" s="11"/>
      <c r="AG1183" t="s" s="10">
        <v>453</v>
      </c>
      <c r="AH1183" t="s" s="10">
        <v>106</v>
      </c>
      <c r="AI1183" t="s" s="10">
        <v>76</v>
      </c>
      <c r="AJ1183" t="s" s="10">
        <v>76</v>
      </c>
      <c r="AK1183" t="s" s="10">
        <v>79</v>
      </c>
      <c r="AL1183" t="s" s="10">
        <v>293</v>
      </c>
      <c r="AM1183" t="s" s="10">
        <v>294</v>
      </c>
      <c r="AN1183" t="s" s="10">
        <v>1373</v>
      </c>
      <c r="AO1183" s="18">
        <v>2</v>
      </c>
      <c r="AP1183" s="18">
        <v>10240</v>
      </c>
      <c r="AQ1183" s="18">
        <v>881321</v>
      </c>
      <c r="AR1183" s="18">
        <v>626718</v>
      </c>
      <c r="AS1183" t="s" s="10">
        <v>4545</v>
      </c>
      <c r="AT1183" s="11"/>
      <c r="AU1183" s="11"/>
      <c r="AV1183" s="11"/>
      <c r="AW1183" s="11"/>
      <c r="AX1183" s="11"/>
      <c r="AY1183" s="11"/>
      <c r="AZ1183" s="11"/>
      <c r="BA1183" s="11"/>
      <c r="BB1183" s="11"/>
      <c r="BC1183" s="11"/>
      <c r="BD1183" s="11"/>
      <c r="BE1183" s="11"/>
      <c r="BF1183" s="11"/>
      <c r="BG1183" s="11"/>
      <c r="BH1183" s="11"/>
      <c r="BI1183" s="11"/>
      <c r="BJ1183" s="11"/>
      <c r="BK1183" s="11"/>
      <c r="BL1183" s="11"/>
      <c r="BM1183" s="11"/>
      <c r="BN1183" s="11"/>
      <c r="BO1183" s="12"/>
      <c r="BP1183" s="8"/>
    </row>
    <row r="1184" ht="15" customHeight="1" hidden="1">
      <c r="A1184" t="s" s="13">
        <v>4546</v>
      </c>
      <c r="B1184" s="14"/>
      <c r="C1184" t="str" s="14" cm="1">
        <f t="array" ref="C1184">_xlfn.IFERROR((VLOOKUP(A1184,#REF!,2,FALSE)),"")</f>
      </c>
      <c r="D1184" t="s" s="15">
        <v>70</v>
      </c>
      <c r="E1184" t="s" s="15">
        <v>450</v>
      </c>
      <c r="F1184" s="14"/>
      <c r="G1184" t="s" s="15">
        <v>4547</v>
      </c>
      <c r="H1184" t="s" s="15">
        <v>524</v>
      </c>
      <c r="I1184" t="s" s="15">
        <v>111</v>
      </c>
      <c r="J1184" t="s" s="15">
        <v>469</v>
      </c>
      <c r="K1184" t="s" s="15">
        <v>113</v>
      </c>
      <c r="L1184" t="s" s="15">
        <v>518</v>
      </c>
      <c r="M1184" t="s" s="15">
        <v>77</v>
      </c>
      <c r="N1184" t="s" s="15">
        <v>4547</v>
      </c>
      <c r="O1184" s="14"/>
      <c r="P1184" s="14"/>
      <c r="Q1184" t="s" s="15">
        <v>78</v>
      </c>
      <c r="R1184" t="s" s="15">
        <v>323</v>
      </c>
      <c r="S1184" s="14"/>
      <c r="T1184" t="s" s="15">
        <v>69</v>
      </c>
      <c r="U1184" s="14"/>
      <c r="V1184" t="s" s="15">
        <v>69</v>
      </c>
      <c r="W1184" s="14"/>
      <c r="X1184" t="s" s="15">
        <v>69</v>
      </c>
      <c r="Y1184" s="14"/>
      <c r="Z1184" t="s" s="15">
        <v>552</v>
      </c>
      <c r="AA1184" s="14"/>
      <c r="AB1184" t="s" s="15">
        <v>1551</v>
      </c>
      <c r="AC1184" s="14"/>
      <c r="AD1184" s="14"/>
      <c r="AE1184" s="14"/>
      <c r="AF1184" s="14"/>
      <c r="AG1184" t="s" s="15">
        <v>453</v>
      </c>
      <c r="AH1184" t="s" s="15">
        <v>289</v>
      </c>
      <c r="AI1184" t="s" s="15">
        <v>76</v>
      </c>
      <c r="AJ1184" t="s" s="15">
        <v>76</v>
      </c>
      <c r="AK1184" t="s" s="15">
        <v>524</v>
      </c>
      <c r="AL1184" t="s" s="15">
        <v>293</v>
      </c>
      <c r="AM1184" t="s" s="15">
        <v>294</v>
      </c>
      <c r="AN1184" t="s" s="15">
        <v>4548</v>
      </c>
      <c r="AO1184" s="17">
        <v>4</v>
      </c>
      <c r="AP1184" s="17">
        <v>12288</v>
      </c>
      <c r="AQ1184" s="17">
        <v>191819</v>
      </c>
      <c r="AR1184" s="17">
        <v>100705</v>
      </c>
      <c r="AS1184" t="s" s="15">
        <v>4549</v>
      </c>
      <c r="AT1184" s="14"/>
      <c r="AU1184" s="14"/>
      <c r="AV1184" s="14"/>
      <c r="AW1184" t="s" s="15">
        <v>4550</v>
      </c>
      <c r="AX1184" s="14"/>
      <c r="AY1184" s="14"/>
      <c r="AZ1184" s="14"/>
      <c r="BA1184" s="14"/>
      <c r="BB1184" s="14"/>
      <c r="BC1184" s="14"/>
      <c r="BD1184" s="14"/>
      <c r="BE1184" s="14"/>
      <c r="BF1184" s="14"/>
      <c r="BG1184" s="14"/>
      <c r="BH1184" s="14"/>
      <c r="BI1184" s="14"/>
      <c r="BJ1184" s="14"/>
      <c r="BK1184" s="14"/>
      <c r="BL1184" s="14"/>
      <c r="BM1184" s="14"/>
      <c r="BN1184" t="s" s="15">
        <v>78</v>
      </c>
      <c r="BO1184" s="16"/>
      <c r="BP1184" s="8"/>
    </row>
    <row r="1185" ht="15" customHeight="1" hidden="1">
      <c r="A1185" t="s" s="9">
        <v>4551</v>
      </c>
      <c r="B1185" s="11"/>
      <c r="C1185" t="str" s="11" cm="1">
        <f t="array" ref="C1185">_xlfn.IFERROR((VLOOKUP(A1185,#REF!,2,FALSE)),"")</f>
      </c>
      <c r="D1185" t="s" s="10">
        <v>70</v>
      </c>
      <c r="E1185" t="s" s="10">
        <v>450</v>
      </c>
      <c r="F1185" s="11"/>
      <c r="G1185" t="s" s="10">
        <v>4552</v>
      </c>
      <c r="H1185" t="s" s="10">
        <v>524</v>
      </c>
      <c r="I1185" t="s" s="10">
        <v>111</v>
      </c>
      <c r="J1185" t="s" s="10">
        <v>469</v>
      </c>
      <c r="K1185" t="s" s="10">
        <v>113</v>
      </c>
      <c r="L1185" t="s" s="10">
        <v>518</v>
      </c>
      <c r="M1185" t="s" s="10">
        <v>77</v>
      </c>
      <c r="N1185" t="s" s="10">
        <v>4552</v>
      </c>
      <c r="O1185" s="11"/>
      <c r="P1185" s="11"/>
      <c r="Q1185" t="s" s="10">
        <v>78</v>
      </c>
      <c r="R1185" t="s" s="10">
        <v>323</v>
      </c>
      <c r="S1185" s="11"/>
      <c r="T1185" t="s" s="10">
        <v>69</v>
      </c>
      <c r="U1185" s="11"/>
      <c r="V1185" t="s" s="10">
        <v>69</v>
      </c>
      <c r="W1185" s="11"/>
      <c r="X1185" t="s" s="10">
        <v>69</v>
      </c>
      <c r="Y1185" s="11"/>
      <c r="Z1185" t="s" s="10">
        <v>552</v>
      </c>
      <c r="AA1185" s="11"/>
      <c r="AB1185" t="s" s="10">
        <v>1551</v>
      </c>
      <c r="AC1185" s="11"/>
      <c r="AD1185" s="11"/>
      <c r="AE1185" s="11"/>
      <c r="AF1185" s="11"/>
      <c r="AG1185" t="s" s="10">
        <v>453</v>
      </c>
      <c r="AH1185" t="s" s="10">
        <v>289</v>
      </c>
      <c r="AI1185" t="s" s="10">
        <v>76</v>
      </c>
      <c r="AJ1185" t="s" s="10">
        <v>76</v>
      </c>
      <c r="AK1185" t="s" s="10">
        <v>524</v>
      </c>
      <c r="AL1185" t="s" s="10">
        <v>293</v>
      </c>
      <c r="AM1185" t="s" s="10">
        <v>294</v>
      </c>
      <c r="AN1185" t="s" s="10">
        <v>4548</v>
      </c>
      <c r="AO1185" s="18">
        <v>4</v>
      </c>
      <c r="AP1185" s="18">
        <v>12288</v>
      </c>
      <c r="AQ1185" s="18">
        <v>191759</v>
      </c>
      <c r="AR1185" s="18">
        <v>100379</v>
      </c>
      <c r="AS1185" t="s" s="10">
        <v>4553</v>
      </c>
      <c r="AT1185" s="11"/>
      <c r="AU1185" s="11"/>
      <c r="AV1185" s="11"/>
      <c r="AW1185" t="s" s="10">
        <v>4554</v>
      </c>
      <c r="AX1185" s="11"/>
      <c r="AY1185" s="11"/>
      <c r="AZ1185" s="11"/>
      <c r="BA1185" s="11"/>
      <c r="BB1185" s="11"/>
      <c r="BC1185" s="11"/>
      <c r="BD1185" s="11"/>
      <c r="BE1185" s="11"/>
      <c r="BF1185" s="11"/>
      <c r="BG1185" s="11"/>
      <c r="BH1185" s="11"/>
      <c r="BI1185" s="11"/>
      <c r="BJ1185" s="11"/>
      <c r="BK1185" s="11"/>
      <c r="BL1185" s="11"/>
      <c r="BM1185" s="11"/>
      <c r="BN1185" t="s" s="10">
        <v>78</v>
      </c>
      <c r="BO1185" s="12"/>
      <c r="BP1185" s="8"/>
    </row>
    <row r="1186" ht="9" customHeight="1" hidden="1">
      <c r="A1186" t="s" s="13">
        <v>4555</v>
      </c>
      <c r="B1186" s="14"/>
      <c r="C1186" t="str" s="14" cm="1">
        <f t="array" ref="C1186">_xlfn.IFERROR((VLOOKUP(A1186,#REF!,2,FALSE)),"")</f>
      </c>
      <c r="D1186" t="s" s="15">
        <v>70</v>
      </c>
      <c r="E1186" t="s" s="15">
        <v>450</v>
      </c>
      <c r="F1186" s="14"/>
      <c r="G1186" t="s" s="15">
        <v>4556</v>
      </c>
      <c r="H1186" t="s" s="15">
        <v>524</v>
      </c>
      <c r="I1186" t="s" s="15">
        <v>111</v>
      </c>
      <c r="J1186" t="s" s="15">
        <v>469</v>
      </c>
      <c r="K1186" t="s" s="15">
        <v>113</v>
      </c>
      <c r="L1186" t="s" s="15">
        <v>518</v>
      </c>
      <c r="M1186" t="s" s="15">
        <v>77</v>
      </c>
      <c r="N1186" t="s" s="15">
        <v>4556</v>
      </c>
      <c r="O1186" s="14"/>
      <c r="P1186" s="14"/>
      <c r="Q1186" t="s" s="15">
        <v>78</v>
      </c>
      <c r="R1186" t="s" s="15">
        <v>323</v>
      </c>
      <c r="S1186" s="14"/>
      <c r="T1186" t="s" s="15">
        <v>69</v>
      </c>
      <c r="U1186" s="14"/>
      <c r="V1186" t="s" s="15">
        <v>69</v>
      </c>
      <c r="W1186" s="14"/>
      <c r="X1186" t="s" s="15">
        <v>69</v>
      </c>
      <c r="Y1186" s="14"/>
      <c r="Z1186" t="s" s="15">
        <v>552</v>
      </c>
      <c r="AA1186" s="14"/>
      <c r="AB1186" t="s" s="15">
        <v>1551</v>
      </c>
      <c r="AC1186" s="14"/>
      <c r="AD1186" s="14"/>
      <c r="AE1186" s="14"/>
      <c r="AF1186" s="14"/>
      <c r="AG1186" t="s" s="15">
        <v>453</v>
      </c>
      <c r="AH1186" t="s" s="15">
        <v>289</v>
      </c>
      <c r="AI1186" t="s" s="15">
        <v>76</v>
      </c>
      <c r="AJ1186" t="s" s="15">
        <v>76</v>
      </c>
      <c r="AK1186" t="s" s="15">
        <v>524</v>
      </c>
      <c r="AL1186" t="s" s="15">
        <v>293</v>
      </c>
      <c r="AM1186" t="s" s="15">
        <v>294</v>
      </c>
      <c r="AN1186" t="s" s="15">
        <v>4548</v>
      </c>
      <c r="AO1186" s="17">
        <v>8</v>
      </c>
      <c r="AP1186" s="17">
        <v>16384</v>
      </c>
      <c r="AQ1186" s="17">
        <v>190768</v>
      </c>
      <c r="AR1186" s="17">
        <v>98716</v>
      </c>
      <c r="AS1186" t="s" s="15">
        <v>4557</v>
      </c>
      <c r="AT1186" s="14"/>
      <c r="AU1186" s="14"/>
      <c r="AV1186" s="14"/>
      <c r="AW1186" t="s" s="15">
        <v>4558</v>
      </c>
      <c r="AX1186" s="14"/>
      <c r="AY1186" s="14"/>
      <c r="AZ1186" s="14"/>
      <c r="BA1186" s="14"/>
      <c r="BB1186" s="14"/>
      <c r="BC1186" s="14"/>
      <c r="BD1186" s="14"/>
      <c r="BE1186" s="14"/>
      <c r="BF1186" s="14"/>
      <c r="BG1186" s="14"/>
      <c r="BH1186" s="14"/>
      <c r="BI1186" s="14"/>
      <c r="BJ1186" s="14"/>
      <c r="BK1186" s="14"/>
      <c r="BL1186" s="14"/>
      <c r="BM1186" s="14"/>
      <c r="BN1186" t="s" s="15">
        <v>78</v>
      </c>
      <c r="BO1186" s="16"/>
      <c r="BP1186" s="8"/>
    </row>
    <row r="1187" ht="9" customHeight="1" hidden="1">
      <c r="A1187" t="s" s="9">
        <v>4559</v>
      </c>
      <c r="B1187" s="11"/>
      <c r="C1187" t="str" s="11" cm="1">
        <f t="array" ref="C1187">_xlfn.IFERROR((VLOOKUP(A1187,#REF!,2,FALSE)),"")</f>
      </c>
      <c r="D1187" t="s" s="10">
        <v>70</v>
      </c>
      <c r="E1187" t="s" s="10">
        <v>450</v>
      </c>
      <c r="F1187" s="11"/>
      <c r="G1187" t="s" s="10">
        <v>4560</v>
      </c>
      <c r="H1187" t="s" s="10">
        <v>524</v>
      </c>
      <c r="I1187" t="s" s="10">
        <v>111</v>
      </c>
      <c r="J1187" t="s" s="10">
        <v>469</v>
      </c>
      <c r="K1187" t="s" s="10">
        <v>113</v>
      </c>
      <c r="L1187" t="s" s="10">
        <v>518</v>
      </c>
      <c r="M1187" t="s" s="10">
        <v>77</v>
      </c>
      <c r="N1187" t="s" s="10">
        <v>4560</v>
      </c>
      <c r="O1187" s="11"/>
      <c r="P1187" s="11"/>
      <c r="Q1187" t="s" s="10">
        <v>78</v>
      </c>
      <c r="R1187" t="s" s="10">
        <v>323</v>
      </c>
      <c r="S1187" s="11"/>
      <c r="T1187" t="s" s="10">
        <v>69</v>
      </c>
      <c r="U1187" s="11"/>
      <c r="V1187" t="s" s="10">
        <v>69</v>
      </c>
      <c r="W1187" s="11"/>
      <c r="X1187" t="s" s="10">
        <v>69</v>
      </c>
      <c r="Y1187" s="11"/>
      <c r="Z1187" t="s" s="10">
        <v>552</v>
      </c>
      <c r="AA1187" s="11"/>
      <c r="AB1187" t="s" s="10">
        <v>1551</v>
      </c>
      <c r="AC1187" s="11"/>
      <c r="AD1187" s="11"/>
      <c r="AE1187" s="11"/>
      <c r="AF1187" s="11"/>
      <c r="AG1187" t="s" s="10">
        <v>453</v>
      </c>
      <c r="AH1187" t="s" s="10">
        <v>289</v>
      </c>
      <c r="AI1187" t="s" s="10">
        <v>76</v>
      </c>
      <c r="AJ1187" t="s" s="10">
        <v>76</v>
      </c>
      <c r="AK1187" t="s" s="10">
        <v>524</v>
      </c>
      <c r="AL1187" t="s" s="10">
        <v>293</v>
      </c>
      <c r="AM1187" t="s" s="10">
        <v>294</v>
      </c>
      <c r="AN1187" t="s" s="10">
        <v>4548</v>
      </c>
      <c r="AO1187" s="18">
        <v>8</v>
      </c>
      <c r="AP1187" s="18">
        <v>16384</v>
      </c>
      <c r="AQ1187" s="18">
        <v>190717</v>
      </c>
      <c r="AR1187" s="18">
        <v>98076</v>
      </c>
      <c r="AS1187" t="s" s="10">
        <v>4561</v>
      </c>
      <c r="AT1187" s="11"/>
      <c r="AU1187" s="11"/>
      <c r="AV1187" s="11"/>
      <c r="AW1187" t="s" s="10">
        <v>4562</v>
      </c>
      <c r="AX1187" s="11"/>
      <c r="AY1187" s="11"/>
      <c r="AZ1187" s="11"/>
      <c r="BA1187" s="11"/>
      <c r="BB1187" s="11"/>
      <c r="BC1187" s="11"/>
      <c r="BD1187" s="11"/>
      <c r="BE1187" s="11"/>
      <c r="BF1187" s="11"/>
      <c r="BG1187" s="11"/>
      <c r="BH1187" s="11"/>
      <c r="BI1187" s="11"/>
      <c r="BJ1187" s="11"/>
      <c r="BK1187" s="11"/>
      <c r="BL1187" s="11"/>
      <c r="BM1187" s="11"/>
      <c r="BN1187" t="s" s="10">
        <v>78</v>
      </c>
      <c r="BO1187" s="12"/>
      <c r="BP1187" s="8"/>
    </row>
    <row r="1188" ht="9" customHeight="1" hidden="1">
      <c r="A1188" t="s" s="13">
        <v>4563</v>
      </c>
      <c r="B1188" s="14"/>
      <c r="C1188" t="str" s="14" cm="1">
        <f t="array" ref="C1188">_xlfn.IFERROR((VLOOKUP(A1188,#REF!,2,FALSE)),"")</f>
      </c>
      <c r="D1188" t="s" s="15">
        <v>70</v>
      </c>
      <c r="E1188" t="s" s="15">
        <v>450</v>
      </c>
      <c r="F1188" s="14"/>
      <c r="G1188" t="s" s="15">
        <v>4564</v>
      </c>
      <c r="H1188" t="s" s="15">
        <v>524</v>
      </c>
      <c r="I1188" t="s" s="15">
        <v>111</v>
      </c>
      <c r="J1188" t="s" s="15">
        <v>469</v>
      </c>
      <c r="K1188" t="s" s="15">
        <v>113</v>
      </c>
      <c r="L1188" t="s" s="15">
        <v>518</v>
      </c>
      <c r="M1188" t="s" s="15">
        <v>77</v>
      </c>
      <c r="N1188" t="s" s="15">
        <v>4564</v>
      </c>
      <c r="O1188" s="14"/>
      <c r="P1188" s="14"/>
      <c r="Q1188" t="s" s="15">
        <v>78</v>
      </c>
      <c r="R1188" t="s" s="15">
        <v>323</v>
      </c>
      <c r="S1188" s="14"/>
      <c r="T1188" t="s" s="15">
        <v>69</v>
      </c>
      <c r="U1188" s="14"/>
      <c r="V1188" t="s" s="15">
        <v>69</v>
      </c>
      <c r="W1188" s="14"/>
      <c r="X1188" t="s" s="15">
        <v>69</v>
      </c>
      <c r="Y1188" s="14"/>
      <c r="Z1188" t="s" s="15">
        <v>552</v>
      </c>
      <c r="AA1188" s="14"/>
      <c r="AB1188" t="s" s="15">
        <v>1551</v>
      </c>
      <c r="AC1188" s="14"/>
      <c r="AD1188" s="14"/>
      <c r="AE1188" s="14"/>
      <c r="AF1188" s="14"/>
      <c r="AG1188" t="s" s="15">
        <v>453</v>
      </c>
      <c r="AH1188" t="s" s="15">
        <v>289</v>
      </c>
      <c r="AI1188" t="s" s="15">
        <v>76</v>
      </c>
      <c r="AJ1188" t="s" s="15">
        <v>76</v>
      </c>
      <c r="AK1188" t="s" s="15">
        <v>524</v>
      </c>
      <c r="AL1188" t="s" s="15">
        <v>293</v>
      </c>
      <c r="AM1188" t="s" s="15">
        <v>294</v>
      </c>
      <c r="AN1188" t="s" s="15">
        <v>4548</v>
      </c>
      <c r="AO1188" s="17">
        <v>8</v>
      </c>
      <c r="AP1188" s="17">
        <v>16384</v>
      </c>
      <c r="AQ1188" s="17">
        <v>139531</v>
      </c>
      <c r="AR1188" s="17">
        <v>48735</v>
      </c>
      <c r="AS1188" t="s" s="15">
        <v>4565</v>
      </c>
      <c r="AT1188" s="14"/>
      <c r="AU1188" s="14"/>
      <c r="AV1188" s="14"/>
      <c r="AW1188" t="s" s="15">
        <v>4566</v>
      </c>
      <c r="AX1188" s="14"/>
      <c r="AY1188" s="14"/>
      <c r="AZ1188" s="14"/>
      <c r="BA1188" s="14"/>
      <c r="BB1188" s="14"/>
      <c r="BC1188" s="14"/>
      <c r="BD1188" s="14"/>
      <c r="BE1188" s="14"/>
      <c r="BF1188" s="14"/>
      <c r="BG1188" s="14"/>
      <c r="BH1188" s="14"/>
      <c r="BI1188" s="14"/>
      <c r="BJ1188" s="14"/>
      <c r="BK1188" s="14"/>
      <c r="BL1188" s="14"/>
      <c r="BM1188" s="14"/>
      <c r="BN1188" t="s" s="15">
        <v>78</v>
      </c>
      <c r="BO1188" s="16"/>
      <c r="BP1188" s="8"/>
    </row>
    <row r="1189" ht="9" customHeight="1" hidden="1">
      <c r="A1189" t="s" s="9">
        <v>4567</v>
      </c>
      <c r="B1189" s="11"/>
      <c r="C1189" t="str" s="11" cm="1">
        <f t="array" ref="C1189">_xlfn.IFERROR((VLOOKUP(A1189,#REF!,2,FALSE)),"")</f>
      </c>
      <c r="D1189" t="s" s="10">
        <v>70</v>
      </c>
      <c r="E1189" t="s" s="10">
        <v>71</v>
      </c>
      <c r="F1189" s="11"/>
      <c r="G1189" s="11"/>
      <c r="H1189" s="11"/>
      <c r="I1189" t="s" s="10">
        <v>82</v>
      </c>
      <c r="J1189" t="s" s="10">
        <v>82</v>
      </c>
      <c r="K1189" t="s" s="10">
        <v>82</v>
      </c>
      <c r="L1189" t="s" s="10">
        <v>76</v>
      </c>
      <c r="M1189" t="s" s="10">
        <v>77</v>
      </c>
      <c r="N1189" s="11"/>
      <c r="O1189" t="s" s="10">
        <v>71</v>
      </c>
      <c r="P1189" s="11"/>
      <c r="Q1189" t="s" s="10">
        <v>78</v>
      </c>
      <c r="R1189" t="s" s="10">
        <v>83</v>
      </c>
      <c r="S1189" s="11"/>
      <c r="T1189" s="11"/>
      <c r="U1189" s="11"/>
      <c r="V1189" t="s" s="10">
        <v>78</v>
      </c>
      <c r="W1189" s="11"/>
      <c r="X1189" t="s" s="10">
        <v>78</v>
      </c>
      <c r="Y1189" s="11"/>
      <c r="Z1189" t="s" s="10">
        <v>76</v>
      </c>
      <c r="AA1189" s="11"/>
      <c r="AB1189" t="s" s="10">
        <v>76</v>
      </c>
      <c r="AC1189" s="11"/>
      <c r="AD1189" s="11"/>
      <c r="AE1189" s="11"/>
      <c r="AF1189" s="11"/>
      <c r="AG1189" s="11"/>
      <c r="AH1189" s="11"/>
      <c r="AI1189" t="s" s="10">
        <v>76</v>
      </c>
      <c r="AJ1189" t="s" s="10">
        <v>76</v>
      </c>
      <c r="AK1189" t="s" s="10">
        <v>79</v>
      </c>
      <c r="AL1189" t="s" s="10">
        <v>293</v>
      </c>
      <c r="AM1189" t="s" s="10">
        <v>294</v>
      </c>
      <c r="AN1189" s="11"/>
      <c r="AO1189" s="18">
        <v>2</v>
      </c>
      <c r="AP1189" s="18">
        <v>6144</v>
      </c>
      <c r="AQ1189" s="18">
        <v>165469</v>
      </c>
      <c r="AR1189" s="18">
        <v>111808</v>
      </c>
      <c r="AS1189" t="s" s="10">
        <v>4568</v>
      </c>
      <c r="AT1189" s="11"/>
      <c r="AU1189" s="11"/>
      <c r="AV1189" s="11"/>
      <c r="AW1189" s="11"/>
      <c r="AX1189" s="11"/>
      <c r="AY1189" s="11"/>
      <c r="AZ1189" s="11"/>
      <c r="BA1189" s="11"/>
      <c r="BB1189" s="11"/>
      <c r="BC1189" s="11"/>
      <c r="BD1189" s="11"/>
      <c r="BE1189" s="11"/>
      <c r="BF1189" s="11"/>
      <c r="BG1189" s="11"/>
      <c r="BH1189" s="11"/>
      <c r="BI1189" s="11"/>
      <c r="BJ1189" s="11"/>
      <c r="BK1189" s="11"/>
      <c r="BL1189" s="11"/>
      <c r="BM1189" s="11"/>
      <c r="BN1189" s="11"/>
      <c r="BO1189" s="12"/>
      <c r="BP1189" s="8"/>
    </row>
    <row r="1190" ht="9" customHeight="1" hidden="1">
      <c r="A1190" t="s" s="13">
        <v>4569</v>
      </c>
      <c r="B1190" s="14"/>
      <c r="C1190" t="str" s="14" cm="1">
        <f t="array" ref="C1190">_xlfn.IFERROR((VLOOKUP(A1190,#REF!,2,FALSE)),"")</f>
      </c>
      <c r="D1190" t="s" s="15">
        <v>70</v>
      </c>
      <c r="E1190" t="s" s="15">
        <v>195</v>
      </c>
      <c r="F1190" s="14"/>
      <c r="G1190" t="s" s="15">
        <v>4544</v>
      </c>
      <c r="H1190" t="s" s="15">
        <v>4544</v>
      </c>
      <c r="I1190" t="s" s="15">
        <v>73</v>
      </c>
      <c r="J1190" t="s" s="15">
        <v>74</v>
      </c>
      <c r="K1190" t="s" s="15">
        <v>140</v>
      </c>
      <c r="L1190" t="s" s="15">
        <v>76</v>
      </c>
      <c r="M1190" t="s" s="15">
        <v>77</v>
      </c>
      <c r="N1190" s="14"/>
      <c r="O1190" t="s" s="15">
        <v>71</v>
      </c>
      <c r="P1190" s="14"/>
      <c r="Q1190" t="s" s="15">
        <v>78</v>
      </c>
      <c r="R1190" t="s" s="15">
        <v>339</v>
      </c>
      <c r="S1190" s="14"/>
      <c r="T1190" s="14"/>
      <c r="U1190" s="14"/>
      <c r="V1190" t="s" s="15">
        <v>78</v>
      </c>
      <c r="W1190" s="14"/>
      <c r="X1190" t="s" s="15">
        <v>78</v>
      </c>
      <c r="Y1190" s="14"/>
      <c r="Z1190" t="s" s="15">
        <v>76</v>
      </c>
      <c r="AA1190" s="14"/>
      <c r="AB1190" t="s" s="15">
        <v>76</v>
      </c>
      <c r="AC1190" s="14"/>
      <c r="AD1190" s="14"/>
      <c r="AE1190" s="14"/>
      <c r="AF1190" s="14"/>
      <c r="AG1190" t="s" s="15">
        <v>453</v>
      </c>
      <c r="AH1190" t="s" s="15">
        <v>106</v>
      </c>
      <c r="AI1190" t="s" s="15">
        <v>76</v>
      </c>
      <c r="AJ1190" t="s" s="15">
        <v>76</v>
      </c>
      <c r="AK1190" t="s" s="15">
        <v>79</v>
      </c>
      <c r="AL1190" t="s" s="15">
        <v>293</v>
      </c>
      <c r="AM1190" t="s" s="15">
        <v>196</v>
      </c>
      <c r="AN1190" s="14"/>
      <c r="AO1190" s="17">
        <v>2</v>
      </c>
      <c r="AP1190" s="17">
        <v>6144</v>
      </c>
      <c r="AQ1190" s="17">
        <v>416350</v>
      </c>
      <c r="AR1190" s="17">
        <v>155171</v>
      </c>
      <c r="AS1190" t="s" s="15">
        <v>4570</v>
      </c>
      <c r="AT1190" s="14"/>
      <c r="AU1190" s="14"/>
      <c r="AV1190" s="14"/>
      <c r="AW1190" s="14"/>
      <c r="AX1190" s="14"/>
      <c r="AY1190" s="14"/>
      <c r="AZ1190" s="14"/>
      <c r="BA1190" s="14"/>
      <c r="BB1190" s="14"/>
      <c r="BC1190" s="14"/>
      <c r="BD1190" s="14"/>
      <c r="BE1190" s="14"/>
      <c r="BF1190" s="14"/>
      <c r="BG1190" s="14"/>
      <c r="BH1190" s="14"/>
      <c r="BI1190" s="14"/>
      <c r="BJ1190" s="14"/>
      <c r="BK1190" s="14"/>
      <c r="BL1190" s="14"/>
      <c r="BM1190" s="14"/>
      <c r="BN1190" s="14"/>
      <c r="BO1190" s="16"/>
      <c r="BP1190" s="8"/>
    </row>
    <row r="1191" ht="9" customHeight="1" hidden="1">
      <c r="A1191" t="s" s="9">
        <v>4571</v>
      </c>
      <c r="B1191" s="11"/>
      <c r="C1191" t="str" s="11" cm="1">
        <f t="array" ref="C1191">_xlfn.IFERROR((VLOOKUP(A1191,#REF!,2,FALSE)),"")</f>
      </c>
      <c r="D1191" t="s" s="10">
        <v>70</v>
      </c>
      <c r="E1191" t="s" s="10">
        <v>957</v>
      </c>
      <c r="F1191" s="11"/>
      <c r="G1191" t="s" s="10">
        <v>4572</v>
      </c>
      <c r="H1191" t="s" s="10">
        <v>4572</v>
      </c>
      <c r="I1191" t="s" s="10">
        <v>111</v>
      </c>
      <c r="J1191" t="s" s="10">
        <v>452</v>
      </c>
      <c r="K1191" t="s" s="10">
        <v>113</v>
      </c>
      <c r="L1191" t="s" s="10">
        <v>76</v>
      </c>
      <c r="M1191" t="s" s="10">
        <v>77</v>
      </c>
      <c r="N1191" s="11"/>
      <c r="O1191" s="11"/>
      <c r="P1191" s="11"/>
      <c r="Q1191" t="s" s="10">
        <v>78</v>
      </c>
      <c r="R1191" t="s" s="10">
        <v>83</v>
      </c>
      <c r="S1191" s="11"/>
      <c r="T1191" s="11"/>
      <c r="U1191" s="11"/>
      <c r="V1191" t="s" s="10">
        <v>69</v>
      </c>
      <c r="W1191" s="11"/>
      <c r="X1191" t="s" s="10">
        <v>78</v>
      </c>
      <c r="Y1191" s="11"/>
      <c r="Z1191" t="s" s="10">
        <v>76</v>
      </c>
      <c r="AA1191" s="11"/>
      <c r="AB1191" t="s" s="10">
        <v>76</v>
      </c>
      <c r="AC1191" s="11"/>
      <c r="AD1191" s="11"/>
      <c r="AE1191" s="11"/>
      <c r="AF1191" s="11"/>
      <c r="AG1191" t="s" s="10">
        <v>453</v>
      </c>
      <c r="AH1191" t="s" s="10">
        <v>106</v>
      </c>
      <c r="AI1191" t="s" s="10">
        <v>76</v>
      </c>
      <c r="AJ1191" t="s" s="10">
        <v>76</v>
      </c>
      <c r="AK1191" t="s" s="10">
        <v>79</v>
      </c>
      <c r="AL1191" t="s" s="10">
        <v>293</v>
      </c>
      <c r="AM1191" t="s" s="10">
        <v>294</v>
      </c>
      <c r="AN1191" t="s" s="10">
        <v>1239</v>
      </c>
      <c r="AO1191" s="18">
        <v>2</v>
      </c>
      <c r="AP1191" s="18">
        <v>4096</v>
      </c>
      <c r="AQ1191" s="18">
        <v>40018</v>
      </c>
      <c r="AR1191" s="18">
        <v>31734</v>
      </c>
      <c r="AS1191" t="s" s="10">
        <v>4573</v>
      </c>
      <c r="AT1191" s="11"/>
      <c r="AU1191" s="11"/>
      <c r="AV1191" s="11"/>
      <c r="AW1191" s="11"/>
      <c r="AX1191" s="11"/>
      <c r="AY1191" s="11"/>
      <c r="AZ1191" s="11"/>
      <c r="BA1191" s="11"/>
      <c r="BB1191" s="11"/>
      <c r="BC1191" s="11"/>
      <c r="BD1191" s="11"/>
      <c r="BE1191" s="11"/>
      <c r="BF1191" s="11"/>
      <c r="BG1191" s="11"/>
      <c r="BH1191" s="11"/>
      <c r="BI1191" s="11"/>
      <c r="BJ1191" s="11"/>
      <c r="BK1191" s="11"/>
      <c r="BL1191" s="11"/>
      <c r="BM1191" s="11"/>
      <c r="BN1191" t="s" s="10">
        <v>78</v>
      </c>
      <c r="BO1191" s="12"/>
      <c r="BP1191" s="8"/>
    </row>
    <row r="1192" ht="9" customHeight="1" hidden="1">
      <c r="A1192" t="s" s="13">
        <v>4574</v>
      </c>
      <c r="B1192" s="14"/>
      <c r="C1192" t="str" s="14" cm="1">
        <f t="array" ref="C1192">_xlfn.IFERROR((VLOOKUP(A1192,#REF!,2,FALSE)),"")</f>
      </c>
      <c r="D1192" t="s" s="15">
        <v>70</v>
      </c>
      <c r="E1192" t="s" s="15">
        <v>71</v>
      </c>
      <c r="F1192" s="14"/>
      <c r="G1192" s="14"/>
      <c r="H1192" s="14"/>
      <c r="I1192" t="s" s="15">
        <v>73</v>
      </c>
      <c r="J1192" t="s" s="15">
        <v>74</v>
      </c>
      <c r="K1192" t="s" s="15">
        <v>113</v>
      </c>
      <c r="L1192" t="s" s="15">
        <v>76</v>
      </c>
      <c r="M1192" t="s" s="15">
        <v>77</v>
      </c>
      <c r="N1192" s="14"/>
      <c r="O1192" t="s" s="15">
        <v>71</v>
      </c>
      <c r="P1192" s="14"/>
      <c r="Q1192" t="s" s="15">
        <v>78</v>
      </c>
      <c r="R1192" t="s" s="15">
        <v>71</v>
      </c>
      <c r="S1192" s="14"/>
      <c r="T1192" s="14"/>
      <c r="U1192" s="14"/>
      <c r="V1192" t="s" s="15">
        <v>78</v>
      </c>
      <c r="W1192" t="s" s="15">
        <v>4575</v>
      </c>
      <c r="X1192" t="s" s="15">
        <v>78</v>
      </c>
      <c r="Y1192" s="14"/>
      <c r="Z1192" t="s" s="15">
        <v>76</v>
      </c>
      <c r="AA1192" s="14"/>
      <c r="AB1192" t="s" s="15">
        <v>76</v>
      </c>
      <c r="AC1192" s="14"/>
      <c r="AD1192" s="14"/>
      <c r="AE1192" s="14"/>
      <c r="AF1192" s="14"/>
      <c r="AG1192" s="14"/>
      <c r="AH1192" s="14"/>
      <c r="AI1192" t="s" s="15">
        <v>76</v>
      </c>
      <c r="AJ1192" t="s" s="15">
        <v>76</v>
      </c>
      <c r="AK1192" t="s" s="15">
        <v>79</v>
      </c>
      <c r="AL1192" t="s" s="15">
        <v>293</v>
      </c>
      <c r="AM1192" t="s" s="15">
        <v>294</v>
      </c>
      <c r="AN1192" s="14"/>
      <c r="AO1192" s="17">
        <v>1</v>
      </c>
      <c r="AP1192" s="17">
        <v>2048</v>
      </c>
      <c r="AQ1192" s="17">
        <v>41051</v>
      </c>
      <c r="AR1192" s="17">
        <v>21753</v>
      </c>
      <c r="AS1192" t="s" s="15">
        <v>1328</v>
      </c>
      <c r="AT1192" s="14"/>
      <c r="AU1192" s="14"/>
      <c r="AV1192" s="14"/>
      <c r="AW1192" s="14"/>
      <c r="AX1192" s="14"/>
      <c r="AY1192" s="14"/>
      <c r="AZ1192" s="14"/>
      <c r="BA1192" s="14"/>
      <c r="BB1192" s="14"/>
      <c r="BC1192" s="14"/>
      <c r="BD1192" s="14"/>
      <c r="BE1192" s="14"/>
      <c r="BF1192" s="14"/>
      <c r="BG1192" s="14"/>
      <c r="BH1192" s="14"/>
      <c r="BI1192" s="14"/>
      <c r="BJ1192" s="14"/>
      <c r="BK1192" s="14"/>
      <c r="BL1192" s="14"/>
      <c r="BM1192" s="14"/>
      <c r="BN1192" s="14"/>
      <c r="BO1192" s="16"/>
      <c r="BP1192" s="8"/>
    </row>
    <row r="1193" ht="9" customHeight="1" hidden="1">
      <c r="A1193" t="s" s="9">
        <v>4576</v>
      </c>
      <c r="B1193" s="11"/>
      <c r="C1193" t="str" s="11" cm="1">
        <f t="array" ref="C1193">_xlfn.IFERROR((VLOOKUP(A1193,#REF!,2,FALSE)),"")</f>
      </c>
      <c r="D1193" t="s" s="10">
        <v>70</v>
      </c>
      <c r="E1193" t="s" s="10">
        <v>126</v>
      </c>
      <c r="F1193" s="11"/>
      <c r="G1193" s="11"/>
      <c r="H1193" s="11"/>
      <c r="I1193" t="s" s="10">
        <v>111</v>
      </c>
      <c r="J1193" t="s" s="10">
        <v>122</v>
      </c>
      <c r="K1193" t="s" s="10">
        <v>127</v>
      </c>
      <c r="L1193" t="s" s="10">
        <v>76</v>
      </c>
      <c r="M1193" t="s" s="10">
        <v>77</v>
      </c>
      <c r="N1193" s="11"/>
      <c r="O1193" s="11"/>
      <c r="P1193" s="11"/>
      <c r="Q1193" t="s" s="10">
        <v>69</v>
      </c>
      <c r="R1193" t="s" s="10">
        <v>83</v>
      </c>
      <c r="S1193" s="11"/>
      <c r="T1193" s="11"/>
      <c r="U1193" s="11"/>
      <c r="V1193" t="s" s="10">
        <v>69</v>
      </c>
      <c r="W1193" s="11"/>
      <c r="X1193" t="s" s="10">
        <v>78</v>
      </c>
      <c r="Y1193" s="11"/>
      <c r="Z1193" t="s" s="10">
        <v>76</v>
      </c>
      <c r="AA1193" s="11"/>
      <c r="AB1193" t="s" s="10">
        <v>76</v>
      </c>
      <c r="AC1193" t="s" s="10">
        <v>4576</v>
      </c>
      <c r="AD1193" s="11"/>
      <c r="AE1193" s="11"/>
      <c r="AF1193" s="11"/>
      <c r="AG1193" s="11"/>
      <c r="AH1193" s="11"/>
      <c r="AI1193" t="s" s="10">
        <v>76</v>
      </c>
      <c r="AJ1193" t="s" s="10">
        <v>76</v>
      </c>
      <c r="AK1193" t="s" s="10">
        <v>79</v>
      </c>
      <c r="AL1193" s="11"/>
      <c r="AM1193" s="11"/>
      <c r="AN1193" t="s" s="10">
        <v>187</v>
      </c>
      <c r="AO1193" s="11"/>
      <c r="AP1193" s="11"/>
      <c r="AQ1193" s="11"/>
      <c r="AR1193" s="11"/>
      <c r="AS1193" t="s" s="10">
        <v>4577</v>
      </c>
      <c r="AT1193" s="11"/>
      <c r="AU1193" s="11"/>
      <c r="AV1193" s="11"/>
      <c r="AW1193" s="11"/>
      <c r="AX1193" s="11"/>
      <c r="AY1193" s="11"/>
      <c r="AZ1193" s="11"/>
      <c r="BA1193" s="11"/>
      <c r="BB1193" s="11"/>
      <c r="BC1193" s="11"/>
      <c r="BD1193" s="11"/>
      <c r="BE1193" s="11"/>
      <c r="BF1193" s="11"/>
      <c r="BG1193" s="11"/>
      <c r="BH1193" s="11"/>
      <c r="BI1193" s="11"/>
      <c r="BJ1193" s="11"/>
      <c r="BK1193" s="11"/>
      <c r="BL1193" s="11"/>
      <c r="BM1193" s="11"/>
      <c r="BN1193" t="s" s="10">
        <v>78</v>
      </c>
      <c r="BO1193" s="12"/>
      <c r="BP1193" s="8"/>
    </row>
    <row r="1194" ht="9" customHeight="1" hidden="1">
      <c r="A1194" t="s" s="13">
        <v>4578</v>
      </c>
      <c r="B1194" s="14"/>
      <c r="C1194" t="str" s="14" cm="1">
        <f t="array" ref="C1194">_xlfn.IFERROR((VLOOKUP(A1194,#REF!,2,FALSE)),"")</f>
      </c>
      <c r="D1194" t="s" s="15">
        <v>70</v>
      </c>
      <c r="E1194" t="s" s="15">
        <v>126</v>
      </c>
      <c r="F1194" s="14"/>
      <c r="G1194" s="14"/>
      <c r="H1194" s="14"/>
      <c r="I1194" t="s" s="15">
        <v>73</v>
      </c>
      <c r="J1194" t="s" s="15">
        <v>74</v>
      </c>
      <c r="K1194" t="s" s="15">
        <v>127</v>
      </c>
      <c r="L1194" t="s" s="15">
        <v>76</v>
      </c>
      <c r="M1194" t="s" s="15">
        <v>77</v>
      </c>
      <c r="N1194" s="14"/>
      <c r="O1194" t="s" s="15">
        <v>71</v>
      </c>
      <c r="P1194" s="14"/>
      <c r="Q1194" t="s" s="15">
        <v>69</v>
      </c>
      <c r="R1194" t="s" s="15">
        <v>71</v>
      </c>
      <c r="S1194" s="14"/>
      <c r="T1194" s="14"/>
      <c r="U1194" s="14"/>
      <c r="V1194" t="s" s="15">
        <v>69</v>
      </c>
      <c r="W1194" t="s" s="15">
        <v>4578</v>
      </c>
      <c r="X1194" t="s" s="15">
        <v>78</v>
      </c>
      <c r="Y1194" s="14"/>
      <c r="Z1194" t="s" s="15">
        <v>76</v>
      </c>
      <c r="AA1194" s="14"/>
      <c r="AB1194" t="s" s="15">
        <v>76</v>
      </c>
      <c r="AC1194" t="s" s="15">
        <v>4578</v>
      </c>
      <c r="AD1194" s="14"/>
      <c r="AE1194" s="14"/>
      <c r="AF1194" s="14"/>
      <c r="AG1194" s="14"/>
      <c r="AH1194" s="14"/>
      <c r="AI1194" t="s" s="15">
        <v>76</v>
      </c>
      <c r="AJ1194" t="s" s="15">
        <v>76</v>
      </c>
      <c r="AK1194" t="s" s="15">
        <v>79</v>
      </c>
      <c r="AL1194" s="14"/>
      <c r="AM1194" s="14"/>
      <c r="AN1194" t="s" s="15">
        <v>116</v>
      </c>
      <c r="AO1194" s="14"/>
      <c r="AP1194" s="14"/>
      <c r="AQ1194" s="14"/>
      <c r="AR1194" s="14"/>
      <c r="AS1194" t="s" s="15">
        <v>4579</v>
      </c>
      <c r="AT1194" s="14"/>
      <c r="AU1194" s="14"/>
      <c r="AV1194" s="14"/>
      <c r="AW1194" s="14"/>
      <c r="AX1194" s="14"/>
      <c r="AY1194" s="14"/>
      <c r="AZ1194" s="14"/>
      <c r="BA1194" s="14"/>
      <c r="BB1194" s="14"/>
      <c r="BC1194" s="14"/>
      <c r="BD1194" s="14"/>
      <c r="BE1194" s="14"/>
      <c r="BF1194" s="14"/>
      <c r="BG1194" s="14"/>
      <c r="BH1194" s="14"/>
      <c r="BI1194" s="14"/>
      <c r="BJ1194" s="14"/>
      <c r="BK1194" s="14"/>
      <c r="BL1194" s="14"/>
      <c r="BM1194" s="14"/>
      <c r="BN1194" s="14"/>
      <c r="BO1194" s="16"/>
      <c r="BP1194" s="8"/>
    </row>
    <row r="1195" ht="9" customHeight="1" hidden="1">
      <c r="A1195" t="s" s="9">
        <v>4580</v>
      </c>
      <c r="B1195" s="11"/>
      <c r="C1195" t="str" s="11" cm="1">
        <f t="array" ref="C1195">_xlfn.IFERROR((VLOOKUP(A1195,#REF!,2,FALSE)),"")</f>
      </c>
      <c r="D1195" t="s" s="10">
        <v>70</v>
      </c>
      <c r="E1195" t="s" s="10">
        <v>126</v>
      </c>
      <c r="F1195" s="11"/>
      <c r="G1195" s="11"/>
      <c r="H1195" s="11"/>
      <c r="I1195" t="s" s="10">
        <v>111</v>
      </c>
      <c r="J1195" t="s" s="10">
        <v>122</v>
      </c>
      <c r="K1195" t="s" s="10">
        <v>127</v>
      </c>
      <c r="L1195" t="s" s="10">
        <v>76</v>
      </c>
      <c r="M1195" t="s" s="10">
        <v>77</v>
      </c>
      <c r="N1195" s="11"/>
      <c r="O1195" s="11"/>
      <c r="P1195" s="11"/>
      <c r="Q1195" t="s" s="10">
        <v>69</v>
      </c>
      <c r="R1195" t="s" s="10">
        <v>83</v>
      </c>
      <c r="S1195" s="11"/>
      <c r="T1195" s="11"/>
      <c r="U1195" s="11"/>
      <c r="V1195" t="s" s="10">
        <v>69</v>
      </c>
      <c r="W1195" s="11"/>
      <c r="X1195" t="s" s="10">
        <v>78</v>
      </c>
      <c r="Y1195" s="11"/>
      <c r="Z1195" t="s" s="10">
        <v>76</v>
      </c>
      <c r="AA1195" s="11"/>
      <c r="AB1195" t="s" s="10">
        <v>76</v>
      </c>
      <c r="AC1195" t="s" s="10">
        <v>4580</v>
      </c>
      <c r="AD1195" s="11"/>
      <c r="AE1195" s="11"/>
      <c r="AF1195" s="11"/>
      <c r="AG1195" s="11"/>
      <c r="AH1195" s="11"/>
      <c r="AI1195" t="s" s="10">
        <v>76</v>
      </c>
      <c r="AJ1195" t="s" s="10">
        <v>76</v>
      </c>
      <c r="AK1195" t="s" s="10">
        <v>79</v>
      </c>
      <c r="AL1195" s="11"/>
      <c r="AM1195" s="11"/>
      <c r="AN1195" t="s" s="10">
        <v>116</v>
      </c>
      <c r="AO1195" s="11"/>
      <c r="AP1195" s="11"/>
      <c r="AQ1195" s="11"/>
      <c r="AR1195" s="11"/>
      <c r="AS1195" t="s" s="10">
        <v>4581</v>
      </c>
      <c r="AT1195" s="11"/>
      <c r="AU1195" s="11"/>
      <c r="AV1195" s="11"/>
      <c r="AW1195" s="11"/>
      <c r="AX1195" s="11"/>
      <c r="AY1195" s="11"/>
      <c r="AZ1195" s="11"/>
      <c r="BA1195" s="11"/>
      <c r="BB1195" s="11"/>
      <c r="BC1195" s="11"/>
      <c r="BD1195" s="11"/>
      <c r="BE1195" s="11"/>
      <c r="BF1195" s="11"/>
      <c r="BG1195" s="11"/>
      <c r="BH1195" s="11"/>
      <c r="BI1195" s="11"/>
      <c r="BJ1195" s="11"/>
      <c r="BK1195" s="11"/>
      <c r="BL1195" s="11"/>
      <c r="BM1195" s="11"/>
      <c r="BN1195" t="s" s="10">
        <v>78</v>
      </c>
      <c r="BO1195" s="12"/>
      <c r="BP1195" s="8"/>
    </row>
    <row r="1196" ht="9" customHeight="1" hidden="1">
      <c r="A1196" t="s" s="13">
        <v>4582</v>
      </c>
      <c r="B1196" s="14"/>
      <c r="C1196" t="str" s="14" cm="1">
        <f t="array" ref="C1196">_xlfn.IFERROR((VLOOKUP(A1196,#REF!,2,FALSE)),"")</f>
      </c>
      <c r="D1196" t="s" s="15">
        <v>70</v>
      </c>
      <c r="E1196" t="s" s="15">
        <v>126</v>
      </c>
      <c r="F1196" s="14"/>
      <c r="G1196" s="14"/>
      <c r="H1196" s="14"/>
      <c r="I1196" t="s" s="15">
        <v>111</v>
      </c>
      <c r="J1196" t="s" s="15">
        <v>122</v>
      </c>
      <c r="K1196" t="s" s="15">
        <v>127</v>
      </c>
      <c r="L1196" t="s" s="15">
        <v>76</v>
      </c>
      <c r="M1196" t="s" s="15">
        <v>77</v>
      </c>
      <c r="N1196" s="14"/>
      <c r="O1196" s="14"/>
      <c r="P1196" s="14"/>
      <c r="Q1196" t="s" s="15">
        <v>69</v>
      </c>
      <c r="R1196" t="s" s="15">
        <v>83</v>
      </c>
      <c r="S1196" s="14"/>
      <c r="T1196" s="14"/>
      <c r="U1196" s="14"/>
      <c r="V1196" t="s" s="15">
        <v>69</v>
      </c>
      <c r="W1196" s="14"/>
      <c r="X1196" t="s" s="15">
        <v>78</v>
      </c>
      <c r="Y1196" s="14"/>
      <c r="Z1196" t="s" s="15">
        <v>76</v>
      </c>
      <c r="AA1196" s="14"/>
      <c r="AB1196" t="s" s="15">
        <v>76</v>
      </c>
      <c r="AC1196" t="s" s="15">
        <v>4582</v>
      </c>
      <c r="AD1196" s="14"/>
      <c r="AE1196" s="14"/>
      <c r="AF1196" s="14"/>
      <c r="AG1196" s="14"/>
      <c r="AH1196" s="14"/>
      <c r="AI1196" t="s" s="15">
        <v>76</v>
      </c>
      <c r="AJ1196" t="s" s="15">
        <v>76</v>
      </c>
      <c r="AK1196" t="s" s="15">
        <v>79</v>
      </c>
      <c r="AL1196" s="14"/>
      <c r="AM1196" s="14"/>
      <c r="AN1196" t="s" s="15">
        <v>116</v>
      </c>
      <c r="AO1196" s="14"/>
      <c r="AP1196" s="14"/>
      <c r="AQ1196" s="14"/>
      <c r="AR1196" s="14"/>
      <c r="AS1196" t="s" s="15">
        <v>4583</v>
      </c>
      <c r="AT1196" s="14"/>
      <c r="AU1196" s="14"/>
      <c r="AV1196" s="14"/>
      <c r="AW1196" s="14"/>
      <c r="AX1196" s="14"/>
      <c r="AY1196" s="14"/>
      <c r="AZ1196" s="14"/>
      <c r="BA1196" s="14"/>
      <c r="BB1196" s="14"/>
      <c r="BC1196" s="14"/>
      <c r="BD1196" s="14"/>
      <c r="BE1196" s="14"/>
      <c r="BF1196" s="14"/>
      <c r="BG1196" s="14"/>
      <c r="BH1196" s="14"/>
      <c r="BI1196" s="14"/>
      <c r="BJ1196" s="14"/>
      <c r="BK1196" s="14"/>
      <c r="BL1196" s="14"/>
      <c r="BM1196" s="14"/>
      <c r="BN1196" t="s" s="15">
        <v>78</v>
      </c>
      <c r="BO1196" s="16"/>
      <c r="BP1196" s="8"/>
    </row>
    <row r="1197" ht="9" customHeight="1" hidden="1">
      <c r="A1197" t="s" s="9">
        <v>4584</v>
      </c>
      <c r="B1197" s="11"/>
      <c r="C1197" t="str" s="11" cm="1">
        <f t="array" ref="C1197">_xlfn.IFERROR((VLOOKUP(A1197,#REF!,2,FALSE)),"")</f>
      </c>
      <c r="D1197" t="s" s="10">
        <v>70</v>
      </c>
      <c r="E1197" t="s" s="10">
        <v>126</v>
      </c>
      <c r="F1197" s="11"/>
      <c r="G1197" s="11"/>
      <c r="H1197" s="11"/>
      <c r="I1197" t="s" s="10">
        <v>111</v>
      </c>
      <c r="J1197" t="s" s="10">
        <v>122</v>
      </c>
      <c r="K1197" t="s" s="10">
        <v>127</v>
      </c>
      <c r="L1197" t="s" s="10">
        <v>76</v>
      </c>
      <c r="M1197" t="s" s="10">
        <v>77</v>
      </c>
      <c r="N1197" s="11"/>
      <c r="O1197" s="11"/>
      <c r="P1197" s="11"/>
      <c r="Q1197" t="s" s="10">
        <v>69</v>
      </c>
      <c r="R1197" t="s" s="10">
        <v>83</v>
      </c>
      <c r="S1197" s="11"/>
      <c r="T1197" s="11"/>
      <c r="U1197" s="11"/>
      <c r="V1197" t="s" s="10">
        <v>69</v>
      </c>
      <c r="W1197" s="11"/>
      <c r="X1197" t="s" s="10">
        <v>78</v>
      </c>
      <c r="Y1197" s="11"/>
      <c r="Z1197" t="s" s="10">
        <v>76</v>
      </c>
      <c r="AA1197" s="11"/>
      <c r="AB1197" t="s" s="10">
        <v>76</v>
      </c>
      <c r="AC1197" t="s" s="10">
        <v>4584</v>
      </c>
      <c r="AD1197" s="11"/>
      <c r="AE1197" s="11"/>
      <c r="AF1197" s="11"/>
      <c r="AG1197" s="11"/>
      <c r="AH1197" s="11"/>
      <c r="AI1197" t="s" s="10">
        <v>76</v>
      </c>
      <c r="AJ1197" t="s" s="10">
        <v>76</v>
      </c>
      <c r="AK1197" t="s" s="10">
        <v>79</v>
      </c>
      <c r="AL1197" s="11"/>
      <c r="AM1197" s="11"/>
      <c r="AN1197" t="s" s="10">
        <v>187</v>
      </c>
      <c r="AO1197" s="11"/>
      <c r="AP1197" s="11"/>
      <c r="AQ1197" s="11"/>
      <c r="AR1197" s="11"/>
      <c r="AS1197" t="s" s="10">
        <v>4585</v>
      </c>
      <c r="AT1197" s="11"/>
      <c r="AU1197" s="11"/>
      <c r="AV1197" s="11"/>
      <c r="AW1197" s="11"/>
      <c r="AX1197" s="11"/>
      <c r="AY1197" s="11"/>
      <c r="AZ1197" s="11"/>
      <c r="BA1197" s="11"/>
      <c r="BB1197" s="11"/>
      <c r="BC1197" s="11"/>
      <c r="BD1197" s="11"/>
      <c r="BE1197" s="11"/>
      <c r="BF1197" s="11"/>
      <c r="BG1197" s="11"/>
      <c r="BH1197" s="11"/>
      <c r="BI1197" s="11"/>
      <c r="BJ1197" s="11"/>
      <c r="BK1197" s="11"/>
      <c r="BL1197" s="11"/>
      <c r="BM1197" s="11"/>
      <c r="BN1197" t="s" s="10">
        <v>78</v>
      </c>
      <c r="BO1197" s="12"/>
      <c r="BP1197" s="8"/>
    </row>
    <row r="1198" ht="9" customHeight="1" hidden="1">
      <c r="A1198" t="s" s="13">
        <v>4586</v>
      </c>
      <c r="B1198" s="14"/>
      <c r="C1198" t="str" s="14" cm="1">
        <f t="array" ref="C1198">_xlfn.IFERROR((VLOOKUP(A1198,#REF!,2,FALSE)),"")</f>
      </c>
      <c r="D1198" t="s" s="15">
        <v>70</v>
      </c>
      <c r="E1198" t="s" s="15">
        <v>126</v>
      </c>
      <c r="F1198" s="14"/>
      <c r="G1198" s="14"/>
      <c r="H1198" s="14"/>
      <c r="I1198" t="s" s="15">
        <v>73</v>
      </c>
      <c r="J1198" t="s" s="15">
        <v>74</v>
      </c>
      <c r="K1198" t="s" s="15">
        <v>127</v>
      </c>
      <c r="L1198" t="s" s="15">
        <v>76</v>
      </c>
      <c r="M1198" t="s" s="15">
        <v>77</v>
      </c>
      <c r="N1198" s="14"/>
      <c r="O1198" t="s" s="15">
        <v>71</v>
      </c>
      <c r="P1198" s="14"/>
      <c r="Q1198" t="s" s="15">
        <v>69</v>
      </c>
      <c r="R1198" t="s" s="15">
        <v>71</v>
      </c>
      <c r="S1198" s="14"/>
      <c r="T1198" s="14"/>
      <c r="U1198" s="14"/>
      <c r="V1198" t="s" s="15">
        <v>69</v>
      </c>
      <c r="W1198" t="s" s="15">
        <v>4586</v>
      </c>
      <c r="X1198" t="s" s="15">
        <v>78</v>
      </c>
      <c r="Y1198" s="14"/>
      <c r="Z1198" t="s" s="15">
        <v>76</v>
      </c>
      <c r="AA1198" s="14"/>
      <c r="AB1198" t="s" s="15">
        <v>76</v>
      </c>
      <c r="AC1198" t="s" s="15">
        <v>4586</v>
      </c>
      <c r="AD1198" s="14"/>
      <c r="AE1198" s="14"/>
      <c r="AF1198" s="14"/>
      <c r="AG1198" s="14"/>
      <c r="AH1198" s="14"/>
      <c r="AI1198" t="s" s="15">
        <v>76</v>
      </c>
      <c r="AJ1198" t="s" s="15">
        <v>76</v>
      </c>
      <c r="AK1198" t="s" s="15">
        <v>79</v>
      </c>
      <c r="AL1198" s="14"/>
      <c r="AM1198" s="14"/>
      <c r="AN1198" t="s" s="15">
        <v>116</v>
      </c>
      <c r="AO1198" s="14"/>
      <c r="AP1198" s="14"/>
      <c r="AQ1198" s="14"/>
      <c r="AR1198" s="14"/>
      <c r="AS1198" t="s" s="15">
        <v>4587</v>
      </c>
      <c r="AT1198" s="14"/>
      <c r="AU1198" s="14"/>
      <c r="AV1198" s="14"/>
      <c r="AW1198" s="14"/>
      <c r="AX1198" s="14"/>
      <c r="AY1198" s="14"/>
      <c r="AZ1198" s="14"/>
      <c r="BA1198" s="14"/>
      <c r="BB1198" s="14"/>
      <c r="BC1198" s="14"/>
      <c r="BD1198" s="14"/>
      <c r="BE1198" s="14"/>
      <c r="BF1198" s="14"/>
      <c r="BG1198" s="14"/>
      <c r="BH1198" s="14"/>
      <c r="BI1198" s="14"/>
      <c r="BJ1198" s="14"/>
      <c r="BK1198" s="14"/>
      <c r="BL1198" s="14"/>
      <c r="BM1198" s="14"/>
      <c r="BN1198" s="14"/>
      <c r="BO1198" s="16"/>
      <c r="BP1198" s="8"/>
    </row>
    <row r="1199" ht="9" customHeight="1" hidden="1">
      <c r="A1199" t="s" s="9">
        <v>4588</v>
      </c>
      <c r="B1199" s="11"/>
      <c r="C1199" t="str" s="11" cm="1">
        <f t="array" ref="C1199">_xlfn.IFERROR((VLOOKUP(A1199,#REF!,2,FALSE)),"")</f>
      </c>
      <c r="D1199" t="s" s="10">
        <v>70</v>
      </c>
      <c r="E1199" t="s" s="10">
        <v>126</v>
      </c>
      <c r="F1199" s="11"/>
      <c r="G1199" s="11"/>
      <c r="H1199" s="11"/>
      <c r="I1199" t="s" s="10">
        <v>111</v>
      </c>
      <c r="J1199" t="s" s="10">
        <v>122</v>
      </c>
      <c r="K1199" t="s" s="10">
        <v>127</v>
      </c>
      <c r="L1199" t="s" s="10">
        <v>76</v>
      </c>
      <c r="M1199" t="s" s="10">
        <v>77</v>
      </c>
      <c r="N1199" s="11"/>
      <c r="O1199" s="11"/>
      <c r="P1199" s="11"/>
      <c r="Q1199" t="s" s="10">
        <v>69</v>
      </c>
      <c r="R1199" t="s" s="10">
        <v>83</v>
      </c>
      <c r="S1199" s="11"/>
      <c r="T1199" s="11"/>
      <c r="U1199" s="11"/>
      <c r="V1199" t="s" s="10">
        <v>69</v>
      </c>
      <c r="W1199" s="11"/>
      <c r="X1199" t="s" s="10">
        <v>78</v>
      </c>
      <c r="Y1199" s="11"/>
      <c r="Z1199" t="s" s="10">
        <v>76</v>
      </c>
      <c r="AA1199" s="11"/>
      <c r="AB1199" t="s" s="10">
        <v>76</v>
      </c>
      <c r="AC1199" t="s" s="10">
        <v>4588</v>
      </c>
      <c r="AD1199" s="11"/>
      <c r="AE1199" s="11"/>
      <c r="AF1199" s="11"/>
      <c r="AG1199" s="11"/>
      <c r="AH1199" s="11"/>
      <c r="AI1199" t="s" s="10">
        <v>76</v>
      </c>
      <c r="AJ1199" t="s" s="10">
        <v>76</v>
      </c>
      <c r="AK1199" t="s" s="10">
        <v>79</v>
      </c>
      <c r="AL1199" s="11"/>
      <c r="AM1199" s="11"/>
      <c r="AN1199" t="s" s="10">
        <v>264</v>
      </c>
      <c r="AO1199" s="11"/>
      <c r="AP1199" s="11"/>
      <c r="AQ1199" s="11"/>
      <c r="AR1199" s="11"/>
      <c r="AS1199" t="s" s="10">
        <v>4589</v>
      </c>
      <c r="AT1199" s="11"/>
      <c r="AU1199" s="11"/>
      <c r="AV1199" s="11"/>
      <c r="AW1199" s="11"/>
      <c r="AX1199" s="11"/>
      <c r="AY1199" s="11"/>
      <c r="AZ1199" s="11"/>
      <c r="BA1199" s="11"/>
      <c r="BB1199" s="11"/>
      <c r="BC1199" s="11"/>
      <c r="BD1199" s="11"/>
      <c r="BE1199" s="11"/>
      <c r="BF1199" s="11"/>
      <c r="BG1199" s="11"/>
      <c r="BH1199" s="11"/>
      <c r="BI1199" s="11"/>
      <c r="BJ1199" s="11"/>
      <c r="BK1199" s="11"/>
      <c r="BL1199" s="11"/>
      <c r="BM1199" s="11"/>
      <c r="BN1199" t="s" s="10">
        <v>78</v>
      </c>
      <c r="BO1199" s="12"/>
      <c r="BP1199" s="8"/>
    </row>
    <row r="1200" ht="9" customHeight="1" hidden="1">
      <c r="A1200" t="s" s="13">
        <v>4590</v>
      </c>
      <c r="B1200" s="14"/>
      <c r="C1200" t="str" s="14" cm="1">
        <f t="array" ref="C1200">_xlfn.IFERROR((VLOOKUP(A1200,#REF!,2,FALSE)),"")</f>
      </c>
      <c r="D1200" t="s" s="15">
        <v>70</v>
      </c>
      <c r="E1200" t="s" s="15">
        <v>126</v>
      </c>
      <c r="F1200" s="14"/>
      <c r="G1200" s="14"/>
      <c r="H1200" s="14"/>
      <c r="I1200" t="s" s="15">
        <v>111</v>
      </c>
      <c r="J1200" t="s" s="15">
        <v>122</v>
      </c>
      <c r="K1200" t="s" s="15">
        <v>127</v>
      </c>
      <c r="L1200" t="s" s="15">
        <v>76</v>
      </c>
      <c r="M1200" t="s" s="15">
        <v>77</v>
      </c>
      <c r="N1200" s="14"/>
      <c r="O1200" s="14"/>
      <c r="P1200" s="14"/>
      <c r="Q1200" t="s" s="15">
        <v>69</v>
      </c>
      <c r="R1200" t="s" s="15">
        <v>223</v>
      </c>
      <c r="S1200" s="14"/>
      <c r="T1200" s="14"/>
      <c r="U1200" s="14"/>
      <c r="V1200" t="s" s="15">
        <v>69</v>
      </c>
      <c r="W1200" s="14"/>
      <c r="X1200" t="s" s="15">
        <v>78</v>
      </c>
      <c r="Y1200" s="14"/>
      <c r="Z1200" t="s" s="15">
        <v>76</v>
      </c>
      <c r="AA1200" s="14"/>
      <c r="AB1200" t="s" s="15">
        <v>76</v>
      </c>
      <c r="AC1200" t="s" s="15">
        <v>4590</v>
      </c>
      <c r="AD1200" s="14"/>
      <c r="AE1200" s="14"/>
      <c r="AF1200" s="14"/>
      <c r="AG1200" s="14"/>
      <c r="AH1200" s="14"/>
      <c r="AI1200" t="s" s="15">
        <v>76</v>
      </c>
      <c r="AJ1200" t="s" s="15">
        <v>76</v>
      </c>
      <c r="AK1200" t="s" s="15">
        <v>79</v>
      </c>
      <c r="AL1200" s="14"/>
      <c r="AM1200" s="14"/>
      <c r="AN1200" t="s" s="15">
        <v>116</v>
      </c>
      <c r="AO1200" s="14"/>
      <c r="AP1200" s="14"/>
      <c r="AQ1200" s="14"/>
      <c r="AR1200" s="14"/>
      <c r="AS1200" t="s" s="15">
        <v>4591</v>
      </c>
      <c r="AT1200" s="14"/>
      <c r="AU1200" s="14"/>
      <c r="AV1200" s="14"/>
      <c r="AW1200" s="14"/>
      <c r="AX1200" s="14"/>
      <c r="AY1200" s="14"/>
      <c r="AZ1200" s="14"/>
      <c r="BA1200" s="14"/>
      <c r="BB1200" s="14"/>
      <c r="BC1200" s="14"/>
      <c r="BD1200" s="14"/>
      <c r="BE1200" s="14"/>
      <c r="BF1200" s="14"/>
      <c r="BG1200" s="14"/>
      <c r="BH1200" s="14"/>
      <c r="BI1200" s="14"/>
      <c r="BJ1200" s="14"/>
      <c r="BK1200" s="14"/>
      <c r="BL1200" s="14"/>
      <c r="BM1200" s="14"/>
      <c r="BN1200" t="s" s="15">
        <v>78</v>
      </c>
      <c r="BO1200" s="16"/>
      <c r="BP1200" s="8"/>
    </row>
    <row r="1201" ht="9" customHeight="1" hidden="1">
      <c r="A1201" t="s" s="9">
        <v>4592</v>
      </c>
      <c r="B1201" s="11"/>
      <c r="C1201" t="str" s="11" cm="1">
        <f t="array" ref="C1201">_xlfn.IFERROR((VLOOKUP(A1201,#REF!,2,FALSE)),"")</f>
      </c>
      <c r="D1201" t="s" s="10">
        <v>70</v>
      </c>
      <c r="E1201" t="s" s="10">
        <v>126</v>
      </c>
      <c r="F1201" s="11"/>
      <c r="G1201" s="11"/>
      <c r="H1201" s="11"/>
      <c r="I1201" t="s" s="10">
        <v>111</v>
      </c>
      <c r="J1201" t="s" s="10">
        <v>122</v>
      </c>
      <c r="K1201" t="s" s="10">
        <v>127</v>
      </c>
      <c r="L1201" t="s" s="10">
        <v>76</v>
      </c>
      <c r="M1201" t="s" s="10">
        <v>77</v>
      </c>
      <c r="N1201" s="11"/>
      <c r="O1201" s="11"/>
      <c r="P1201" s="11"/>
      <c r="Q1201" t="s" s="10">
        <v>69</v>
      </c>
      <c r="R1201" t="s" s="10">
        <v>83</v>
      </c>
      <c r="S1201" s="11"/>
      <c r="T1201" s="11"/>
      <c r="U1201" s="11"/>
      <c r="V1201" t="s" s="10">
        <v>69</v>
      </c>
      <c r="W1201" s="11"/>
      <c r="X1201" t="s" s="10">
        <v>78</v>
      </c>
      <c r="Y1201" s="11"/>
      <c r="Z1201" t="s" s="10">
        <v>76</v>
      </c>
      <c r="AA1201" s="11"/>
      <c r="AB1201" t="s" s="10">
        <v>76</v>
      </c>
      <c r="AC1201" t="s" s="10">
        <v>4592</v>
      </c>
      <c r="AD1201" s="11"/>
      <c r="AE1201" s="11"/>
      <c r="AF1201" s="11"/>
      <c r="AG1201" s="11"/>
      <c r="AH1201" s="11"/>
      <c r="AI1201" t="s" s="10">
        <v>76</v>
      </c>
      <c r="AJ1201" t="s" s="10">
        <v>76</v>
      </c>
      <c r="AK1201" t="s" s="10">
        <v>79</v>
      </c>
      <c r="AL1201" s="11"/>
      <c r="AM1201" s="11"/>
      <c r="AN1201" t="s" s="10">
        <v>128</v>
      </c>
      <c r="AO1201" s="11"/>
      <c r="AP1201" s="11"/>
      <c r="AQ1201" s="11"/>
      <c r="AR1201" s="11"/>
      <c r="AS1201" t="s" s="10">
        <v>4593</v>
      </c>
      <c r="AT1201" s="11"/>
      <c r="AU1201" s="11"/>
      <c r="AV1201" s="11"/>
      <c r="AW1201" s="11"/>
      <c r="AX1201" s="11"/>
      <c r="AY1201" s="11"/>
      <c r="AZ1201" s="11"/>
      <c r="BA1201" s="11"/>
      <c r="BB1201" s="11"/>
      <c r="BC1201" s="11"/>
      <c r="BD1201" s="11"/>
      <c r="BE1201" s="11"/>
      <c r="BF1201" s="11"/>
      <c r="BG1201" s="11"/>
      <c r="BH1201" s="11"/>
      <c r="BI1201" s="11"/>
      <c r="BJ1201" s="11"/>
      <c r="BK1201" s="11"/>
      <c r="BL1201" s="11"/>
      <c r="BM1201" s="11"/>
      <c r="BN1201" t="s" s="10">
        <v>78</v>
      </c>
      <c r="BO1201" s="12"/>
      <c r="BP1201" s="8"/>
    </row>
    <row r="1202" ht="9" customHeight="1" hidden="1">
      <c r="A1202" t="s" s="13">
        <v>4594</v>
      </c>
      <c r="B1202" s="14"/>
      <c r="C1202" t="str" s="14" cm="1">
        <f t="array" ref="C1202">_xlfn.IFERROR((VLOOKUP(A1202,#REF!,2,FALSE)),"")</f>
      </c>
      <c r="D1202" t="s" s="15">
        <v>70</v>
      </c>
      <c r="E1202" t="s" s="15">
        <v>126</v>
      </c>
      <c r="F1202" s="14"/>
      <c r="G1202" s="14"/>
      <c r="H1202" s="14"/>
      <c r="I1202" t="s" s="15">
        <v>73</v>
      </c>
      <c r="J1202" t="s" s="15">
        <v>74</v>
      </c>
      <c r="K1202" t="s" s="15">
        <v>127</v>
      </c>
      <c r="L1202" t="s" s="15">
        <v>76</v>
      </c>
      <c r="M1202" t="s" s="15">
        <v>77</v>
      </c>
      <c r="N1202" s="14"/>
      <c r="O1202" t="s" s="15">
        <v>71</v>
      </c>
      <c r="P1202" s="14"/>
      <c r="Q1202" t="s" s="15">
        <v>69</v>
      </c>
      <c r="R1202" t="s" s="15">
        <v>71</v>
      </c>
      <c r="S1202" s="14"/>
      <c r="T1202" s="14"/>
      <c r="U1202" s="14"/>
      <c r="V1202" t="s" s="15">
        <v>69</v>
      </c>
      <c r="W1202" t="s" s="15">
        <v>4594</v>
      </c>
      <c r="X1202" t="s" s="15">
        <v>78</v>
      </c>
      <c r="Y1202" s="14"/>
      <c r="Z1202" t="s" s="15">
        <v>76</v>
      </c>
      <c r="AA1202" s="14"/>
      <c r="AB1202" t="s" s="15">
        <v>76</v>
      </c>
      <c r="AC1202" t="s" s="15">
        <v>4594</v>
      </c>
      <c r="AD1202" s="14"/>
      <c r="AE1202" s="14"/>
      <c r="AF1202" s="14"/>
      <c r="AG1202" s="14"/>
      <c r="AH1202" s="14"/>
      <c r="AI1202" t="s" s="15">
        <v>76</v>
      </c>
      <c r="AJ1202" t="s" s="15">
        <v>76</v>
      </c>
      <c r="AK1202" t="s" s="15">
        <v>79</v>
      </c>
      <c r="AL1202" s="14"/>
      <c r="AM1202" s="14"/>
      <c r="AN1202" t="s" s="15">
        <v>2447</v>
      </c>
      <c r="AO1202" s="14"/>
      <c r="AP1202" s="14"/>
      <c r="AQ1202" s="14"/>
      <c r="AR1202" s="14"/>
      <c r="AS1202" t="s" s="15">
        <v>4595</v>
      </c>
      <c r="AT1202" s="14"/>
      <c r="AU1202" s="14"/>
      <c r="AV1202" s="14"/>
      <c r="AW1202" s="14"/>
      <c r="AX1202" s="14"/>
      <c r="AY1202" s="14"/>
      <c r="AZ1202" s="14"/>
      <c r="BA1202" s="14"/>
      <c r="BB1202" s="14"/>
      <c r="BC1202" s="14"/>
      <c r="BD1202" s="14"/>
      <c r="BE1202" s="14"/>
      <c r="BF1202" s="14"/>
      <c r="BG1202" s="14"/>
      <c r="BH1202" s="14"/>
      <c r="BI1202" s="14"/>
      <c r="BJ1202" s="14"/>
      <c r="BK1202" s="14"/>
      <c r="BL1202" s="14"/>
      <c r="BM1202" s="14"/>
      <c r="BN1202" s="14"/>
      <c r="BO1202" s="16"/>
      <c r="BP1202" s="8"/>
    </row>
    <row r="1203" ht="9" customHeight="1" hidden="1">
      <c r="A1203" t="s" s="9">
        <v>4596</v>
      </c>
      <c r="B1203" s="11"/>
      <c r="C1203" t="str" s="11" cm="1">
        <f t="array" ref="C1203">_xlfn.IFERROR((VLOOKUP(A1203,#REF!,2,FALSE)),"")</f>
      </c>
      <c r="D1203" t="s" s="10">
        <v>70</v>
      </c>
      <c r="E1203" t="s" s="10">
        <v>126</v>
      </c>
      <c r="F1203" s="11"/>
      <c r="G1203" s="11"/>
      <c r="H1203" s="11"/>
      <c r="I1203" t="s" s="10">
        <v>111</v>
      </c>
      <c r="J1203" t="s" s="10">
        <v>122</v>
      </c>
      <c r="K1203" t="s" s="10">
        <v>127</v>
      </c>
      <c r="L1203" t="s" s="10">
        <v>76</v>
      </c>
      <c r="M1203" t="s" s="10">
        <v>77</v>
      </c>
      <c r="N1203" s="11"/>
      <c r="O1203" s="11"/>
      <c r="P1203" s="11"/>
      <c r="Q1203" t="s" s="10">
        <v>69</v>
      </c>
      <c r="R1203" t="s" s="10">
        <v>223</v>
      </c>
      <c r="S1203" s="11"/>
      <c r="T1203" s="11"/>
      <c r="U1203" s="11"/>
      <c r="V1203" t="s" s="10">
        <v>69</v>
      </c>
      <c r="W1203" s="11"/>
      <c r="X1203" t="s" s="10">
        <v>78</v>
      </c>
      <c r="Y1203" s="11"/>
      <c r="Z1203" t="s" s="10">
        <v>76</v>
      </c>
      <c r="AA1203" s="11"/>
      <c r="AB1203" t="s" s="10">
        <v>76</v>
      </c>
      <c r="AC1203" t="s" s="10">
        <v>4596</v>
      </c>
      <c r="AD1203" s="11"/>
      <c r="AE1203" s="11"/>
      <c r="AF1203" s="11"/>
      <c r="AG1203" s="11"/>
      <c r="AH1203" s="11"/>
      <c r="AI1203" t="s" s="10">
        <v>76</v>
      </c>
      <c r="AJ1203" t="s" s="10">
        <v>76</v>
      </c>
      <c r="AK1203" t="s" s="10">
        <v>79</v>
      </c>
      <c r="AL1203" s="11"/>
      <c r="AM1203" s="11"/>
      <c r="AN1203" t="s" s="10">
        <v>116</v>
      </c>
      <c r="AO1203" s="11"/>
      <c r="AP1203" s="11"/>
      <c r="AQ1203" s="11"/>
      <c r="AR1203" s="11"/>
      <c r="AS1203" t="s" s="10">
        <v>227</v>
      </c>
      <c r="AT1203" s="11"/>
      <c r="AU1203" s="11"/>
      <c r="AV1203" s="11"/>
      <c r="AW1203" s="11"/>
      <c r="AX1203" s="11"/>
      <c r="AY1203" s="11"/>
      <c r="AZ1203" s="11"/>
      <c r="BA1203" s="11"/>
      <c r="BB1203" s="11"/>
      <c r="BC1203" s="11"/>
      <c r="BD1203" s="11"/>
      <c r="BE1203" s="11"/>
      <c r="BF1203" s="11"/>
      <c r="BG1203" s="11"/>
      <c r="BH1203" s="11"/>
      <c r="BI1203" s="11"/>
      <c r="BJ1203" s="11"/>
      <c r="BK1203" s="11"/>
      <c r="BL1203" s="11"/>
      <c r="BM1203" s="11"/>
      <c r="BN1203" t="s" s="10">
        <v>78</v>
      </c>
      <c r="BO1203" s="12"/>
      <c r="BP1203" s="8"/>
    </row>
    <row r="1204" ht="9" customHeight="1" hidden="1">
      <c r="A1204" t="s" s="13">
        <v>4597</v>
      </c>
      <c r="B1204" s="14"/>
      <c r="C1204" t="str" s="14" cm="1">
        <f t="array" ref="C1204">_xlfn.IFERROR((VLOOKUP(A1204,#REF!,2,FALSE)),"")</f>
      </c>
      <c r="D1204" t="s" s="15">
        <v>70</v>
      </c>
      <c r="E1204" t="s" s="15">
        <v>126</v>
      </c>
      <c r="F1204" s="14"/>
      <c r="G1204" s="14"/>
      <c r="H1204" s="14"/>
      <c r="I1204" t="s" s="15">
        <v>111</v>
      </c>
      <c r="J1204" t="s" s="15">
        <v>122</v>
      </c>
      <c r="K1204" t="s" s="15">
        <v>127</v>
      </c>
      <c r="L1204" t="s" s="15">
        <v>76</v>
      </c>
      <c r="M1204" t="s" s="15">
        <v>77</v>
      </c>
      <c r="N1204" s="14"/>
      <c r="O1204" s="14"/>
      <c r="P1204" s="14"/>
      <c r="Q1204" t="s" s="15">
        <v>69</v>
      </c>
      <c r="R1204" t="s" s="15">
        <v>223</v>
      </c>
      <c r="S1204" s="14"/>
      <c r="T1204" s="14"/>
      <c r="U1204" s="14"/>
      <c r="V1204" t="s" s="15">
        <v>69</v>
      </c>
      <c r="W1204" s="14"/>
      <c r="X1204" t="s" s="15">
        <v>78</v>
      </c>
      <c r="Y1204" s="14"/>
      <c r="Z1204" t="s" s="15">
        <v>76</v>
      </c>
      <c r="AA1204" s="14"/>
      <c r="AB1204" t="s" s="15">
        <v>76</v>
      </c>
      <c r="AC1204" t="s" s="15">
        <v>4597</v>
      </c>
      <c r="AD1204" s="14"/>
      <c r="AE1204" s="14"/>
      <c r="AF1204" s="14"/>
      <c r="AG1204" s="14"/>
      <c r="AH1204" s="14"/>
      <c r="AI1204" t="s" s="15">
        <v>76</v>
      </c>
      <c r="AJ1204" t="s" s="15">
        <v>76</v>
      </c>
      <c r="AK1204" t="s" s="15">
        <v>79</v>
      </c>
      <c r="AL1204" s="14"/>
      <c r="AM1204" s="14"/>
      <c r="AN1204" t="s" s="15">
        <v>116</v>
      </c>
      <c r="AO1204" s="14"/>
      <c r="AP1204" s="14"/>
      <c r="AQ1204" s="14"/>
      <c r="AR1204" s="14"/>
      <c r="AS1204" t="s" s="15">
        <v>4598</v>
      </c>
      <c r="AT1204" s="14"/>
      <c r="AU1204" s="14"/>
      <c r="AV1204" s="14"/>
      <c r="AW1204" s="14"/>
      <c r="AX1204" s="14"/>
      <c r="AY1204" s="14"/>
      <c r="AZ1204" s="14"/>
      <c r="BA1204" s="14"/>
      <c r="BB1204" s="14"/>
      <c r="BC1204" s="14"/>
      <c r="BD1204" s="14"/>
      <c r="BE1204" s="14"/>
      <c r="BF1204" s="14"/>
      <c r="BG1204" s="14"/>
      <c r="BH1204" s="14"/>
      <c r="BI1204" s="14"/>
      <c r="BJ1204" s="14"/>
      <c r="BK1204" s="14"/>
      <c r="BL1204" s="14"/>
      <c r="BM1204" s="14"/>
      <c r="BN1204" t="s" s="15">
        <v>78</v>
      </c>
      <c r="BO1204" s="16"/>
      <c r="BP1204" s="8"/>
    </row>
    <row r="1205" ht="9" customHeight="1" hidden="1">
      <c r="A1205" t="s" s="9">
        <v>4599</v>
      </c>
      <c r="B1205" s="11"/>
      <c r="C1205" t="str" s="11" cm="1">
        <f t="array" ref="C1205">_xlfn.IFERROR((VLOOKUP(A1205,#REF!,2,FALSE)),"")</f>
      </c>
      <c r="D1205" t="s" s="10">
        <v>70</v>
      </c>
      <c r="E1205" t="s" s="10">
        <v>261</v>
      </c>
      <c r="F1205" s="11"/>
      <c r="G1205" s="11"/>
      <c r="H1205" s="11"/>
      <c r="I1205" t="s" s="10">
        <v>111</v>
      </c>
      <c r="J1205" t="s" s="10">
        <v>122</v>
      </c>
      <c r="K1205" t="s" s="10">
        <v>113</v>
      </c>
      <c r="L1205" t="s" s="10">
        <v>76</v>
      </c>
      <c r="M1205" t="s" s="10">
        <v>77</v>
      </c>
      <c r="N1205" s="11"/>
      <c r="O1205" s="11"/>
      <c r="P1205" s="11"/>
      <c r="Q1205" t="s" s="10">
        <v>69</v>
      </c>
      <c r="R1205" t="s" s="10">
        <v>223</v>
      </c>
      <c r="S1205" s="11"/>
      <c r="T1205" s="11"/>
      <c r="U1205" s="11"/>
      <c r="V1205" t="s" s="10">
        <v>69</v>
      </c>
      <c r="W1205" s="11"/>
      <c r="X1205" t="s" s="10">
        <v>78</v>
      </c>
      <c r="Y1205" s="11"/>
      <c r="Z1205" t="s" s="10">
        <v>76</v>
      </c>
      <c r="AA1205" s="11"/>
      <c r="AB1205" t="s" s="10">
        <v>76</v>
      </c>
      <c r="AC1205" t="s" s="10">
        <v>4599</v>
      </c>
      <c r="AD1205" s="11"/>
      <c r="AE1205" s="11"/>
      <c r="AF1205" s="11"/>
      <c r="AG1205" s="11"/>
      <c r="AH1205" s="11"/>
      <c r="AI1205" t="s" s="10">
        <v>76</v>
      </c>
      <c r="AJ1205" t="s" s="10">
        <v>76</v>
      </c>
      <c r="AK1205" t="s" s="10">
        <v>79</v>
      </c>
      <c r="AL1205" s="11"/>
      <c r="AM1205" s="11"/>
      <c r="AN1205" t="s" s="10">
        <v>116</v>
      </c>
      <c r="AO1205" s="11"/>
      <c r="AP1205" s="11"/>
      <c r="AQ1205" s="11"/>
      <c r="AR1205" s="11"/>
      <c r="AS1205" t="s" s="10">
        <v>4600</v>
      </c>
      <c r="AT1205" s="11"/>
      <c r="AU1205" s="11"/>
      <c r="AV1205" s="11"/>
      <c r="AW1205" s="11"/>
      <c r="AX1205" s="11"/>
      <c r="AY1205" s="11"/>
      <c r="AZ1205" s="11"/>
      <c r="BA1205" s="11"/>
      <c r="BB1205" s="11"/>
      <c r="BC1205" s="11"/>
      <c r="BD1205" s="11"/>
      <c r="BE1205" s="11"/>
      <c r="BF1205" s="11"/>
      <c r="BG1205" s="11"/>
      <c r="BH1205" s="11"/>
      <c r="BI1205" s="11"/>
      <c r="BJ1205" s="11"/>
      <c r="BK1205" s="11"/>
      <c r="BL1205" s="11"/>
      <c r="BM1205" s="11"/>
      <c r="BN1205" t="s" s="10">
        <v>78</v>
      </c>
      <c r="BO1205" s="12"/>
      <c r="BP1205" s="8"/>
    </row>
    <row r="1206" ht="9" customHeight="1" hidden="1">
      <c r="A1206" t="s" s="13">
        <v>4601</v>
      </c>
      <c r="B1206" s="14"/>
      <c r="C1206" t="str" s="14" cm="1">
        <f t="array" ref="C1206">_xlfn.IFERROR((VLOOKUP(A1206,#REF!,2,FALSE)),"")</f>
      </c>
      <c r="D1206" s="14"/>
      <c r="E1206" t="s" s="15">
        <v>195</v>
      </c>
      <c r="F1206" s="14"/>
      <c r="G1206" t="s" s="15">
        <v>4602</v>
      </c>
      <c r="H1206" t="s" s="15">
        <v>4603</v>
      </c>
      <c r="I1206" t="s" s="15">
        <v>73</v>
      </c>
      <c r="J1206" t="s" s="15">
        <v>74</v>
      </c>
      <c r="K1206" t="s" s="15">
        <v>140</v>
      </c>
      <c r="L1206" t="s" s="15">
        <v>76</v>
      </c>
      <c r="M1206" t="s" s="15">
        <v>77</v>
      </c>
      <c r="N1206" t="s" s="15">
        <v>4602</v>
      </c>
      <c r="O1206" t="s" s="15">
        <v>71</v>
      </c>
      <c r="P1206" s="14"/>
      <c r="Q1206" t="s" s="15">
        <v>78</v>
      </c>
      <c r="R1206" t="s" s="15">
        <v>71</v>
      </c>
      <c r="S1206" s="14"/>
      <c r="T1206" s="14"/>
      <c r="U1206" s="14"/>
      <c r="V1206" t="s" s="15">
        <v>78</v>
      </c>
      <c r="W1206" t="s" s="15">
        <v>4601</v>
      </c>
      <c r="X1206" t="s" s="15">
        <v>69</v>
      </c>
      <c r="Y1206" s="14"/>
      <c r="Z1206" t="s" s="15">
        <v>76</v>
      </c>
      <c r="AA1206" s="14"/>
      <c r="AB1206" t="s" s="15">
        <v>76</v>
      </c>
      <c r="AC1206" s="14"/>
      <c r="AD1206" s="14"/>
      <c r="AE1206" s="14"/>
      <c r="AF1206" s="14"/>
      <c r="AG1206" s="14"/>
      <c r="AH1206" s="14"/>
      <c r="AI1206" t="s" s="15">
        <v>76</v>
      </c>
      <c r="AJ1206" t="s" s="15">
        <v>76</v>
      </c>
      <c r="AK1206" t="s" s="15">
        <v>79</v>
      </c>
      <c r="AL1206" s="14"/>
      <c r="AM1206" t="s" s="15">
        <v>196</v>
      </c>
      <c r="AN1206" s="14"/>
      <c r="AO1206" s="14"/>
      <c r="AP1206" s="14"/>
      <c r="AQ1206" s="14"/>
      <c r="AR1206" s="14"/>
      <c r="AS1206" s="14"/>
      <c r="AT1206" s="14"/>
      <c r="AU1206" s="14"/>
      <c r="AV1206" s="14"/>
      <c r="AW1206" s="14"/>
      <c r="AX1206" s="14"/>
      <c r="AY1206" s="14"/>
      <c r="AZ1206" s="14"/>
      <c r="BA1206" s="14"/>
      <c r="BB1206" s="14"/>
      <c r="BC1206" s="14"/>
      <c r="BD1206" s="14"/>
      <c r="BE1206" s="14"/>
      <c r="BF1206" s="14"/>
      <c r="BG1206" s="14"/>
      <c r="BH1206" s="14"/>
      <c r="BI1206" s="14"/>
      <c r="BJ1206" s="14"/>
      <c r="BK1206" s="14"/>
      <c r="BL1206" s="14"/>
      <c r="BM1206" s="14"/>
      <c r="BN1206" s="14"/>
      <c r="BO1206" s="16"/>
      <c r="BP1206" s="8"/>
    </row>
    <row r="1207" ht="9" customHeight="1" hidden="1">
      <c r="A1207" t="s" s="9">
        <v>4604</v>
      </c>
      <c r="B1207" s="11"/>
      <c r="C1207" t="str" s="11" cm="1">
        <f t="array" ref="C1207">_xlfn.IFERROR((VLOOKUP(A1207,#REF!,2,FALSE)),"")</f>
      </c>
      <c r="D1207" s="11"/>
      <c r="E1207" s="11"/>
      <c r="F1207" s="11"/>
      <c r="G1207" t="s" s="10">
        <v>4605</v>
      </c>
      <c r="H1207" t="s" s="10">
        <v>4606</v>
      </c>
      <c r="I1207" t="s" s="10">
        <v>82</v>
      </c>
      <c r="J1207" t="s" s="10">
        <v>82</v>
      </c>
      <c r="K1207" t="s" s="10">
        <v>82</v>
      </c>
      <c r="L1207" t="s" s="10">
        <v>76</v>
      </c>
      <c r="M1207" s="11"/>
      <c r="N1207" s="11"/>
      <c r="O1207" s="11"/>
      <c r="P1207" s="11"/>
      <c r="Q1207" t="s" s="10">
        <v>78</v>
      </c>
      <c r="R1207" t="s" s="10">
        <v>83</v>
      </c>
      <c r="S1207" s="11"/>
      <c r="T1207" s="11"/>
      <c r="U1207" s="11"/>
      <c r="V1207" t="s" s="10">
        <v>78</v>
      </c>
      <c r="W1207" s="11"/>
      <c r="X1207" t="s" s="10">
        <v>78</v>
      </c>
      <c r="Y1207" s="11"/>
      <c r="Z1207" t="s" s="10">
        <v>76</v>
      </c>
      <c r="AA1207" s="11"/>
      <c r="AB1207" t="s" s="10">
        <v>76</v>
      </c>
      <c r="AC1207" s="11"/>
      <c r="AD1207" s="11"/>
      <c r="AE1207" s="11"/>
      <c r="AF1207" s="11"/>
      <c r="AG1207" t="s" s="10">
        <v>299</v>
      </c>
      <c r="AH1207" t="s" s="10">
        <v>106</v>
      </c>
      <c r="AI1207" t="s" s="10">
        <v>76</v>
      </c>
      <c r="AJ1207" t="s" s="10">
        <v>76</v>
      </c>
      <c r="AK1207" t="s" s="10">
        <v>79</v>
      </c>
      <c r="AL1207" t="s" s="10">
        <v>115</v>
      </c>
      <c r="AM1207" t="s" s="10">
        <v>294</v>
      </c>
      <c r="AN1207" s="11"/>
      <c r="AO1207" s="11"/>
      <c r="AP1207" s="11"/>
      <c r="AQ1207" s="11"/>
      <c r="AR1207" s="11"/>
      <c r="AS1207" t="s" s="10">
        <v>4607</v>
      </c>
      <c r="AT1207" s="11"/>
      <c r="AU1207" s="11"/>
      <c r="AV1207" s="11"/>
      <c r="AW1207" s="11"/>
      <c r="AX1207" s="11"/>
      <c r="AY1207" s="11"/>
      <c r="AZ1207" s="11"/>
      <c r="BA1207" s="11"/>
      <c r="BB1207" s="11"/>
      <c r="BC1207" s="11"/>
      <c r="BD1207" s="11"/>
      <c r="BE1207" s="11"/>
      <c r="BF1207" s="11"/>
      <c r="BG1207" s="11"/>
      <c r="BH1207" s="11"/>
      <c r="BI1207" s="11"/>
      <c r="BJ1207" s="11"/>
      <c r="BK1207" s="11"/>
      <c r="BL1207" s="11"/>
      <c r="BM1207" s="11"/>
      <c r="BN1207" s="11"/>
      <c r="BO1207" s="12"/>
      <c r="BP1207" s="8"/>
    </row>
    <row r="1208" ht="9" customHeight="1" hidden="1">
      <c r="A1208" t="s" s="13">
        <v>4608</v>
      </c>
      <c r="B1208" s="14"/>
      <c r="C1208" t="str" s="14" cm="1">
        <f t="array" ref="C1208">_xlfn.IFERROR((VLOOKUP(A1208,#REF!,2,FALSE)),"")</f>
      </c>
      <c r="D1208" s="14"/>
      <c r="E1208" s="14"/>
      <c r="F1208" s="14"/>
      <c r="G1208" t="s" s="15">
        <v>4605</v>
      </c>
      <c r="H1208" t="s" s="15">
        <v>4606</v>
      </c>
      <c r="I1208" t="s" s="15">
        <v>82</v>
      </c>
      <c r="J1208" t="s" s="15">
        <v>82</v>
      </c>
      <c r="K1208" t="s" s="15">
        <v>82</v>
      </c>
      <c r="L1208" t="s" s="15">
        <v>76</v>
      </c>
      <c r="M1208" s="14"/>
      <c r="N1208" s="14"/>
      <c r="O1208" s="14"/>
      <c r="P1208" s="14"/>
      <c r="Q1208" t="s" s="15">
        <v>78</v>
      </c>
      <c r="R1208" t="s" s="15">
        <v>83</v>
      </c>
      <c r="S1208" s="14"/>
      <c r="T1208" s="14"/>
      <c r="U1208" s="14"/>
      <c r="V1208" t="s" s="15">
        <v>78</v>
      </c>
      <c r="W1208" s="14"/>
      <c r="X1208" t="s" s="15">
        <v>78</v>
      </c>
      <c r="Y1208" s="14"/>
      <c r="Z1208" t="s" s="15">
        <v>76</v>
      </c>
      <c r="AA1208" s="14"/>
      <c r="AB1208" t="s" s="15">
        <v>76</v>
      </c>
      <c r="AC1208" s="14"/>
      <c r="AD1208" s="14"/>
      <c r="AE1208" s="14"/>
      <c r="AF1208" s="14"/>
      <c r="AG1208" t="s" s="15">
        <v>299</v>
      </c>
      <c r="AH1208" t="s" s="15">
        <v>106</v>
      </c>
      <c r="AI1208" t="s" s="15">
        <v>76</v>
      </c>
      <c r="AJ1208" t="s" s="15">
        <v>76</v>
      </c>
      <c r="AK1208" t="s" s="15">
        <v>79</v>
      </c>
      <c r="AL1208" t="s" s="15">
        <v>115</v>
      </c>
      <c r="AM1208" t="s" s="15">
        <v>294</v>
      </c>
      <c r="AN1208" s="14"/>
      <c r="AO1208" s="14"/>
      <c r="AP1208" s="14"/>
      <c r="AQ1208" s="14"/>
      <c r="AR1208" s="14"/>
      <c r="AS1208" t="s" s="15">
        <v>4609</v>
      </c>
      <c r="AT1208" s="14"/>
      <c r="AU1208" s="14"/>
      <c r="AV1208" s="14"/>
      <c r="AW1208" s="14"/>
      <c r="AX1208" s="14"/>
      <c r="AY1208" s="14"/>
      <c r="AZ1208" s="14"/>
      <c r="BA1208" s="14"/>
      <c r="BB1208" s="14"/>
      <c r="BC1208" s="14"/>
      <c r="BD1208" s="14"/>
      <c r="BE1208" s="14"/>
      <c r="BF1208" s="14"/>
      <c r="BG1208" s="14"/>
      <c r="BH1208" s="14"/>
      <c r="BI1208" s="14"/>
      <c r="BJ1208" s="14"/>
      <c r="BK1208" s="14"/>
      <c r="BL1208" s="14"/>
      <c r="BM1208" s="14"/>
      <c r="BN1208" s="14"/>
      <c r="BO1208" s="16"/>
      <c r="BP1208" s="8"/>
    </row>
    <row r="1209" ht="9" customHeight="1" hidden="1">
      <c r="A1209" t="s" s="9">
        <v>4610</v>
      </c>
      <c r="B1209" s="11"/>
      <c r="C1209" t="str" s="11" cm="1">
        <f t="array" ref="C1209">_xlfn.IFERROR((VLOOKUP(A1209,#REF!,2,FALSE)),"")</f>
      </c>
      <c r="D1209" s="11"/>
      <c r="E1209" s="11"/>
      <c r="F1209" s="11"/>
      <c r="G1209" t="s" s="10">
        <v>4605</v>
      </c>
      <c r="H1209" t="s" s="10">
        <v>4606</v>
      </c>
      <c r="I1209" t="s" s="10">
        <v>82</v>
      </c>
      <c r="J1209" t="s" s="10">
        <v>82</v>
      </c>
      <c r="K1209" t="s" s="10">
        <v>82</v>
      </c>
      <c r="L1209" t="s" s="10">
        <v>76</v>
      </c>
      <c r="M1209" s="11"/>
      <c r="N1209" s="11"/>
      <c r="O1209" t="s" s="10">
        <v>71</v>
      </c>
      <c r="P1209" s="11"/>
      <c r="Q1209" t="s" s="10">
        <v>78</v>
      </c>
      <c r="R1209" t="s" s="10">
        <v>83</v>
      </c>
      <c r="S1209" s="11"/>
      <c r="T1209" s="11"/>
      <c r="U1209" s="11"/>
      <c r="V1209" t="s" s="10">
        <v>78</v>
      </c>
      <c r="W1209" s="11"/>
      <c r="X1209" t="s" s="10">
        <v>78</v>
      </c>
      <c r="Y1209" s="11"/>
      <c r="Z1209" t="s" s="10">
        <v>76</v>
      </c>
      <c r="AA1209" s="11"/>
      <c r="AB1209" t="s" s="10">
        <v>76</v>
      </c>
      <c r="AC1209" s="11"/>
      <c r="AD1209" s="11"/>
      <c r="AE1209" s="11"/>
      <c r="AF1209" s="11"/>
      <c r="AG1209" t="s" s="10">
        <v>288</v>
      </c>
      <c r="AH1209" t="s" s="10">
        <v>106</v>
      </c>
      <c r="AI1209" t="s" s="10">
        <v>76</v>
      </c>
      <c r="AJ1209" t="s" s="10">
        <v>76</v>
      </c>
      <c r="AK1209" t="s" s="10">
        <v>79</v>
      </c>
      <c r="AL1209" t="s" s="10">
        <v>115</v>
      </c>
      <c r="AM1209" t="s" s="10">
        <v>294</v>
      </c>
      <c r="AN1209" s="11"/>
      <c r="AO1209" s="11"/>
      <c r="AP1209" s="11"/>
      <c r="AQ1209" s="11"/>
      <c r="AR1209" s="11"/>
      <c r="AS1209" t="s" s="10">
        <v>4611</v>
      </c>
      <c r="AT1209" s="11"/>
      <c r="AU1209" s="11"/>
      <c r="AV1209" s="11"/>
      <c r="AW1209" s="11"/>
      <c r="AX1209" s="11"/>
      <c r="AY1209" s="11"/>
      <c r="AZ1209" s="11"/>
      <c r="BA1209" s="11"/>
      <c r="BB1209" s="11"/>
      <c r="BC1209" s="11"/>
      <c r="BD1209" s="11"/>
      <c r="BE1209" s="11"/>
      <c r="BF1209" s="11"/>
      <c r="BG1209" s="11"/>
      <c r="BH1209" s="11"/>
      <c r="BI1209" s="11"/>
      <c r="BJ1209" s="11"/>
      <c r="BK1209" s="11"/>
      <c r="BL1209" s="11"/>
      <c r="BM1209" s="11"/>
      <c r="BN1209" s="11"/>
      <c r="BO1209" s="12"/>
      <c r="BP1209" s="8"/>
    </row>
    <row r="1210" ht="9" customHeight="1" hidden="1">
      <c r="A1210" t="s" s="13">
        <v>4612</v>
      </c>
      <c r="B1210" s="14"/>
      <c r="C1210" t="str" s="14" cm="1">
        <f t="array" ref="C1210">_xlfn.IFERROR((VLOOKUP(A1210,#REF!,2,FALSE)),"")</f>
      </c>
      <c r="D1210" s="14"/>
      <c r="E1210" s="14"/>
      <c r="F1210" s="14"/>
      <c r="G1210" t="s" s="15">
        <v>4605</v>
      </c>
      <c r="H1210" t="s" s="15">
        <v>4606</v>
      </c>
      <c r="I1210" t="s" s="15">
        <v>82</v>
      </c>
      <c r="J1210" t="s" s="15">
        <v>82</v>
      </c>
      <c r="K1210" t="s" s="15">
        <v>82</v>
      </c>
      <c r="L1210" t="s" s="15">
        <v>76</v>
      </c>
      <c r="M1210" s="14"/>
      <c r="N1210" s="14"/>
      <c r="O1210" t="s" s="15">
        <v>71</v>
      </c>
      <c r="P1210" s="14"/>
      <c r="Q1210" t="s" s="15">
        <v>78</v>
      </c>
      <c r="R1210" t="s" s="15">
        <v>83</v>
      </c>
      <c r="S1210" s="14"/>
      <c r="T1210" s="14"/>
      <c r="U1210" s="14"/>
      <c r="V1210" t="s" s="15">
        <v>78</v>
      </c>
      <c r="W1210" s="14"/>
      <c r="X1210" t="s" s="15">
        <v>78</v>
      </c>
      <c r="Y1210" s="14"/>
      <c r="Z1210" t="s" s="15">
        <v>76</v>
      </c>
      <c r="AA1210" s="14"/>
      <c r="AB1210" t="s" s="15">
        <v>76</v>
      </c>
      <c r="AC1210" s="14"/>
      <c r="AD1210" s="14"/>
      <c r="AE1210" s="14"/>
      <c r="AF1210" s="14"/>
      <c r="AG1210" t="s" s="15">
        <v>288</v>
      </c>
      <c r="AH1210" t="s" s="15">
        <v>106</v>
      </c>
      <c r="AI1210" t="s" s="15">
        <v>76</v>
      </c>
      <c r="AJ1210" t="s" s="15">
        <v>76</v>
      </c>
      <c r="AK1210" t="s" s="15">
        <v>79</v>
      </c>
      <c r="AL1210" t="s" s="15">
        <v>115</v>
      </c>
      <c r="AM1210" t="s" s="15">
        <v>294</v>
      </c>
      <c r="AN1210" s="14"/>
      <c r="AO1210" s="14"/>
      <c r="AP1210" s="14"/>
      <c r="AQ1210" s="14"/>
      <c r="AR1210" s="14"/>
      <c r="AS1210" t="s" s="15">
        <v>4613</v>
      </c>
      <c r="AT1210" s="14"/>
      <c r="AU1210" s="14"/>
      <c r="AV1210" s="14"/>
      <c r="AW1210" s="14"/>
      <c r="AX1210" s="14"/>
      <c r="AY1210" s="14"/>
      <c r="AZ1210" s="14"/>
      <c r="BA1210" s="14"/>
      <c r="BB1210" s="14"/>
      <c r="BC1210" s="14"/>
      <c r="BD1210" s="14"/>
      <c r="BE1210" s="14"/>
      <c r="BF1210" s="14"/>
      <c r="BG1210" s="14"/>
      <c r="BH1210" s="14"/>
      <c r="BI1210" s="14"/>
      <c r="BJ1210" s="14"/>
      <c r="BK1210" s="14"/>
      <c r="BL1210" s="14"/>
      <c r="BM1210" s="14"/>
      <c r="BN1210" s="14"/>
      <c r="BO1210" s="16"/>
      <c r="BP1210" s="8"/>
    </row>
    <row r="1211" ht="9" customHeight="1" hidden="1">
      <c r="A1211" t="s" s="9">
        <v>4614</v>
      </c>
      <c r="B1211" s="11"/>
      <c r="C1211" t="str" s="11" cm="1">
        <f t="array" ref="C1211">_xlfn.IFERROR((VLOOKUP(A1211,#REF!,2,FALSE)),"")</f>
      </c>
      <c r="D1211" s="11"/>
      <c r="E1211" t="s" s="10">
        <v>2974</v>
      </c>
      <c r="F1211" s="11"/>
      <c r="G1211" t="s" s="10">
        <v>4615</v>
      </c>
      <c r="H1211" t="s" s="10">
        <v>4615</v>
      </c>
      <c r="I1211" t="s" s="10">
        <v>82</v>
      </c>
      <c r="J1211" t="s" s="10">
        <v>82</v>
      </c>
      <c r="K1211" t="s" s="10">
        <v>82</v>
      </c>
      <c r="L1211" t="s" s="10">
        <v>76</v>
      </c>
      <c r="M1211" t="s" s="10">
        <v>77</v>
      </c>
      <c r="N1211" s="11"/>
      <c r="O1211" s="11"/>
      <c r="P1211" s="11"/>
      <c r="Q1211" t="s" s="10">
        <v>78</v>
      </c>
      <c r="R1211" t="s" s="10">
        <v>83</v>
      </c>
      <c r="S1211" s="11"/>
      <c r="T1211" s="11"/>
      <c r="U1211" s="11"/>
      <c r="V1211" t="s" s="10">
        <v>78</v>
      </c>
      <c r="W1211" s="11"/>
      <c r="X1211" t="s" s="10">
        <v>78</v>
      </c>
      <c r="Y1211" s="11"/>
      <c r="Z1211" t="s" s="10">
        <v>76</v>
      </c>
      <c r="AA1211" s="11"/>
      <c r="AB1211" t="s" s="10">
        <v>76</v>
      </c>
      <c r="AC1211" s="11"/>
      <c r="AD1211" s="11"/>
      <c r="AE1211" s="11"/>
      <c r="AF1211" s="11"/>
      <c r="AG1211" s="11"/>
      <c r="AH1211" s="11"/>
      <c r="AI1211" t="s" s="10">
        <v>76</v>
      </c>
      <c r="AJ1211" t="s" s="10">
        <v>76</v>
      </c>
      <c r="AK1211" t="s" s="10">
        <v>79</v>
      </c>
      <c r="AL1211" t="s" s="10">
        <v>293</v>
      </c>
      <c r="AM1211" t="s" s="10">
        <v>294</v>
      </c>
      <c r="AN1211" s="11"/>
      <c r="AO1211" s="18">
        <v>4</v>
      </c>
      <c r="AP1211" s="18">
        <v>4096</v>
      </c>
      <c r="AQ1211" s="18">
        <v>86100</v>
      </c>
      <c r="AR1211" s="18">
        <v>76254</v>
      </c>
      <c r="AS1211" s="11"/>
      <c r="AT1211" s="11"/>
      <c r="AU1211" s="11"/>
      <c r="AV1211" s="11"/>
      <c r="AW1211" s="11"/>
      <c r="AX1211" s="11"/>
      <c r="AY1211" s="11"/>
      <c r="AZ1211" s="11"/>
      <c r="BA1211" s="11"/>
      <c r="BB1211" s="11"/>
      <c r="BC1211" s="11"/>
      <c r="BD1211" s="11"/>
      <c r="BE1211" s="11"/>
      <c r="BF1211" s="11"/>
      <c r="BG1211" s="11"/>
      <c r="BH1211" s="11"/>
      <c r="BI1211" s="11"/>
      <c r="BJ1211" s="11"/>
      <c r="BK1211" s="11"/>
      <c r="BL1211" s="11"/>
      <c r="BM1211" s="11"/>
      <c r="BN1211" s="11"/>
      <c r="BO1211" s="12"/>
      <c r="BP1211" s="8"/>
    </row>
    <row r="1212" ht="9" customHeight="1" hidden="1">
      <c r="A1212" t="s" s="13">
        <v>4616</v>
      </c>
      <c r="B1212" s="14"/>
      <c r="C1212" t="str" s="14" cm="1">
        <f t="array" ref="C1212">_xlfn.IFERROR((VLOOKUP(A1212,#REF!,2,FALSE)),"")</f>
      </c>
      <c r="D1212" t="s" s="15">
        <v>70</v>
      </c>
      <c r="E1212" t="s" s="15">
        <v>842</v>
      </c>
      <c r="F1212" s="14"/>
      <c r="G1212" s="14"/>
      <c r="H1212" s="14"/>
      <c r="I1212" t="s" s="15">
        <v>73</v>
      </c>
      <c r="J1212" t="s" s="15">
        <v>74</v>
      </c>
      <c r="K1212" t="s" s="15">
        <v>127</v>
      </c>
      <c r="L1212" t="s" s="15">
        <v>76</v>
      </c>
      <c r="M1212" t="s" s="15">
        <v>77</v>
      </c>
      <c r="N1212" s="14"/>
      <c r="O1212" t="s" s="15">
        <v>71</v>
      </c>
      <c r="P1212" s="14"/>
      <c r="Q1212" t="s" s="15">
        <v>69</v>
      </c>
      <c r="R1212" t="s" s="15">
        <v>339</v>
      </c>
      <c r="S1212" s="14"/>
      <c r="T1212" s="14"/>
      <c r="U1212" s="14"/>
      <c r="V1212" t="s" s="15">
        <v>69</v>
      </c>
      <c r="W1212" t="s" s="15">
        <v>4616</v>
      </c>
      <c r="X1212" t="s" s="15">
        <v>78</v>
      </c>
      <c r="Y1212" s="14"/>
      <c r="Z1212" t="s" s="15">
        <v>76</v>
      </c>
      <c r="AA1212" s="14"/>
      <c r="AB1212" t="s" s="15">
        <v>76</v>
      </c>
      <c r="AC1212" t="s" s="15">
        <v>4616</v>
      </c>
      <c r="AD1212" s="14"/>
      <c r="AE1212" s="14"/>
      <c r="AF1212" s="14"/>
      <c r="AG1212" s="14"/>
      <c r="AH1212" s="14"/>
      <c r="AI1212" t="s" s="15">
        <v>76</v>
      </c>
      <c r="AJ1212" t="s" s="15">
        <v>76</v>
      </c>
      <c r="AK1212" t="s" s="15">
        <v>79</v>
      </c>
      <c r="AL1212" t="s" s="15">
        <v>115</v>
      </c>
      <c r="AM1212" s="14"/>
      <c r="AN1212" t="s" s="15">
        <v>128</v>
      </c>
      <c r="AO1212" s="14"/>
      <c r="AP1212" s="14"/>
      <c r="AQ1212" s="14"/>
      <c r="AR1212" s="14"/>
      <c r="AS1212" t="s" s="15">
        <v>4617</v>
      </c>
      <c r="AT1212" s="14"/>
      <c r="AU1212" s="14"/>
      <c r="AV1212" s="14"/>
      <c r="AW1212" s="14"/>
      <c r="AX1212" s="14"/>
      <c r="AY1212" s="14"/>
      <c r="AZ1212" s="14"/>
      <c r="BA1212" s="14"/>
      <c r="BB1212" s="14"/>
      <c r="BC1212" s="14"/>
      <c r="BD1212" s="14"/>
      <c r="BE1212" s="14"/>
      <c r="BF1212" s="14"/>
      <c r="BG1212" s="14"/>
      <c r="BH1212" s="14"/>
      <c r="BI1212" s="14"/>
      <c r="BJ1212" s="14"/>
      <c r="BK1212" s="14"/>
      <c r="BL1212" s="14"/>
      <c r="BM1212" s="14"/>
      <c r="BN1212" s="14"/>
      <c r="BO1212" s="16"/>
      <c r="BP1212" s="8"/>
    </row>
    <row r="1213" ht="9" customHeight="1" hidden="1">
      <c r="A1213" t="s" s="9">
        <v>4618</v>
      </c>
      <c r="B1213" s="11"/>
      <c r="C1213" t="str" s="11" cm="1">
        <f t="array" ref="C1213">_xlfn.IFERROR((VLOOKUP(A1213,#REF!,2,FALSE)),"")</f>
      </c>
      <c r="D1213" t="s" s="10">
        <v>70</v>
      </c>
      <c r="E1213" t="s" s="10">
        <v>842</v>
      </c>
      <c r="F1213" s="11"/>
      <c r="G1213" s="11"/>
      <c r="H1213" s="11"/>
      <c r="I1213" t="s" s="10">
        <v>73</v>
      </c>
      <c r="J1213" t="s" s="10">
        <v>74</v>
      </c>
      <c r="K1213" t="s" s="10">
        <v>127</v>
      </c>
      <c r="L1213" t="s" s="10">
        <v>76</v>
      </c>
      <c r="M1213" t="s" s="10">
        <v>77</v>
      </c>
      <c r="N1213" s="11"/>
      <c r="O1213" t="s" s="10">
        <v>71</v>
      </c>
      <c r="P1213" s="11"/>
      <c r="Q1213" t="s" s="10">
        <v>69</v>
      </c>
      <c r="R1213" t="s" s="10">
        <v>339</v>
      </c>
      <c r="S1213" s="11"/>
      <c r="T1213" s="11"/>
      <c r="U1213" s="11"/>
      <c r="V1213" t="s" s="10">
        <v>69</v>
      </c>
      <c r="W1213" t="s" s="10">
        <v>4619</v>
      </c>
      <c r="X1213" t="s" s="10">
        <v>78</v>
      </c>
      <c r="Y1213" s="11"/>
      <c r="Z1213" t="s" s="10">
        <v>76</v>
      </c>
      <c r="AA1213" s="11"/>
      <c r="AB1213" t="s" s="10">
        <v>76</v>
      </c>
      <c r="AC1213" t="s" s="10">
        <v>4618</v>
      </c>
      <c r="AD1213" s="11"/>
      <c r="AE1213" s="11"/>
      <c r="AF1213" s="11"/>
      <c r="AG1213" s="11"/>
      <c r="AH1213" s="11"/>
      <c r="AI1213" t="s" s="10">
        <v>76</v>
      </c>
      <c r="AJ1213" t="s" s="10">
        <v>76</v>
      </c>
      <c r="AK1213" t="s" s="10">
        <v>79</v>
      </c>
      <c r="AL1213" t="s" s="10">
        <v>115</v>
      </c>
      <c r="AM1213" s="11"/>
      <c r="AN1213" t="s" s="10">
        <v>128</v>
      </c>
      <c r="AO1213" s="11"/>
      <c r="AP1213" s="11"/>
      <c r="AQ1213" s="11"/>
      <c r="AR1213" s="11"/>
      <c r="AS1213" t="s" s="10">
        <v>4620</v>
      </c>
      <c r="AT1213" s="11"/>
      <c r="AU1213" s="11"/>
      <c r="AV1213" s="11"/>
      <c r="AW1213" s="11"/>
      <c r="AX1213" s="11"/>
      <c r="AY1213" s="11"/>
      <c r="AZ1213" s="11"/>
      <c r="BA1213" s="11"/>
      <c r="BB1213" s="11"/>
      <c r="BC1213" s="11"/>
      <c r="BD1213" s="11"/>
      <c r="BE1213" s="11"/>
      <c r="BF1213" s="11"/>
      <c r="BG1213" s="11"/>
      <c r="BH1213" s="11"/>
      <c r="BI1213" s="11"/>
      <c r="BJ1213" s="11"/>
      <c r="BK1213" s="11"/>
      <c r="BL1213" s="11"/>
      <c r="BM1213" s="11"/>
      <c r="BN1213" s="11"/>
      <c r="BO1213" s="12"/>
      <c r="BP1213" s="8"/>
    </row>
    <row r="1214" ht="9" customHeight="1" hidden="1">
      <c r="A1214" t="s" s="13">
        <v>4621</v>
      </c>
      <c r="B1214" s="14"/>
      <c r="C1214" t="str" s="14" cm="1">
        <f t="array" ref="C1214">_xlfn.IFERROR((VLOOKUP(A1214,#REF!,2,FALSE)),"")</f>
      </c>
      <c r="D1214" t="s" s="15">
        <v>70</v>
      </c>
      <c r="E1214" t="s" s="15">
        <v>842</v>
      </c>
      <c r="F1214" s="14"/>
      <c r="G1214" s="14"/>
      <c r="H1214" s="14"/>
      <c r="I1214" t="s" s="15">
        <v>73</v>
      </c>
      <c r="J1214" t="s" s="15">
        <v>74</v>
      </c>
      <c r="K1214" t="s" s="15">
        <v>127</v>
      </c>
      <c r="L1214" t="s" s="15">
        <v>76</v>
      </c>
      <c r="M1214" t="s" s="15">
        <v>77</v>
      </c>
      <c r="N1214" s="14"/>
      <c r="O1214" t="s" s="15">
        <v>71</v>
      </c>
      <c r="P1214" s="14"/>
      <c r="Q1214" t="s" s="15">
        <v>69</v>
      </c>
      <c r="R1214" t="s" s="15">
        <v>339</v>
      </c>
      <c r="S1214" s="14"/>
      <c r="T1214" s="14"/>
      <c r="U1214" s="14"/>
      <c r="V1214" t="s" s="15">
        <v>69</v>
      </c>
      <c r="W1214" t="s" s="15">
        <v>4622</v>
      </c>
      <c r="X1214" t="s" s="15">
        <v>78</v>
      </c>
      <c r="Y1214" s="14"/>
      <c r="Z1214" t="s" s="15">
        <v>76</v>
      </c>
      <c r="AA1214" s="14"/>
      <c r="AB1214" t="s" s="15">
        <v>76</v>
      </c>
      <c r="AC1214" t="s" s="15">
        <v>4621</v>
      </c>
      <c r="AD1214" s="14"/>
      <c r="AE1214" s="14"/>
      <c r="AF1214" s="14"/>
      <c r="AG1214" s="14"/>
      <c r="AH1214" s="14"/>
      <c r="AI1214" t="s" s="15">
        <v>76</v>
      </c>
      <c r="AJ1214" t="s" s="15">
        <v>76</v>
      </c>
      <c r="AK1214" t="s" s="15">
        <v>79</v>
      </c>
      <c r="AL1214" t="s" s="15">
        <v>115</v>
      </c>
      <c r="AM1214" s="14"/>
      <c r="AN1214" t="s" s="15">
        <v>128</v>
      </c>
      <c r="AO1214" s="14"/>
      <c r="AP1214" s="14"/>
      <c r="AQ1214" s="14"/>
      <c r="AR1214" s="14"/>
      <c r="AS1214" t="s" s="15">
        <v>4623</v>
      </c>
      <c r="AT1214" s="14"/>
      <c r="AU1214" s="14"/>
      <c r="AV1214" s="14"/>
      <c r="AW1214" s="14"/>
      <c r="AX1214" s="14"/>
      <c r="AY1214" s="14"/>
      <c r="AZ1214" s="14"/>
      <c r="BA1214" s="14"/>
      <c r="BB1214" s="14"/>
      <c r="BC1214" s="14"/>
      <c r="BD1214" s="14"/>
      <c r="BE1214" s="14"/>
      <c r="BF1214" s="14"/>
      <c r="BG1214" s="14"/>
      <c r="BH1214" s="14"/>
      <c r="BI1214" s="14"/>
      <c r="BJ1214" s="14"/>
      <c r="BK1214" s="14"/>
      <c r="BL1214" s="14"/>
      <c r="BM1214" s="14"/>
      <c r="BN1214" s="14"/>
      <c r="BO1214" s="16"/>
      <c r="BP1214" s="8"/>
    </row>
    <row r="1215" ht="9" customHeight="1" hidden="1">
      <c r="A1215" t="s" s="9">
        <v>4624</v>
      </c>
      <c r="B1215" s="11"/>
      <c r="C1215" t="str" s="11" cm="1">
        <f t="array" ref="C1215">_xlfn.IFERROR((VLOOKUP(A1215,#REF!,2,FALSE)),"")</f>
      </c>
      <c r="D1215" t="s" s="10">
        <v>70</v>
      </c>
      <c r="E1215" t="s" s="10">
        <v>842</v>
      </c>
      <c r="F1215" s="11"/>
      <c r="G1215" s="11"/>
      <c r="H1215" s="11"/>
      <c r="I1215" t="s" s="10">
        <v>73</v>
      </c>
      <c r="J1215" t="s" s="10">
        <v>74</v>
      </c>
      <c r="K1215" t="s" s="10">
        <v>127</v>
      </c>
      <c r="L1215" t="s" s="10">
        <v>76</v>
      </c>
      <c r="M1215" t="s" s="10">
        <v>77</v>
      </c>
      <c r="N1215" s="11"/>
      <c r="O1215" t="s" s="10">
        <v>71</v>
      </c>
      <c r="P1215" s="11"/>
      <c r="Q1215" t="s" s="10">
        <v>69</v>
      </c>
      <c r="R1215" t="s" s="10">
        <v>339</v>
      </c>
      <c r="S1215" s="11"/>
      <c r="T1215" s="11"/>
      <c r="U1215" s="11"/>
      <c r="V1215" t="s" s="10">
        <v>69</v>
      </c>
      <c r="W1215" t="s" s="10">
        <v>4625</v>
      </c>
      <c r="X1215" t="s" s="10">
        <v>78</v>
      </c>
      <c r="Y1215" s="11"/>
      <c r="Z1215" t="s" s="10">
        <v>76</v>
      </c>
      <c r="AA1215" s="11"/>
      <c r="AB1215" t="s" s="10">
        <v>76</v>
      </c>
      <c r="AC1215" t="s" s="10">
        <v>4624</v>
      </c>
      <c r="AD1215" s="11"/>
      <c r="AE1215" s="11"/>
      <c r="AF1215" s="11"/>
      <c r="AG1215" s="11"/>
      <c r="AH1215" s="11"/>
      <c r="AI1215" t="s" s="10">
        <v>76</v>
      </c>
      <c r="AJ1215" t="s" s="10">
        <v>76</v>
      </c>
      <c r="AK1215" t="s" s="10">
        <v>79</v>
      </c>
      <c r="AL1215" t="s" s="10">
        <v>115</v>
      </c>
      <c r="AM1215" s="11"/>
      <c r="AN1215" t="s" s="10">
        <v>128</v>
      </c>
      <c r="AO1215" s="11"/>
      <c r="AP1215" s="11"/>
      <c r="AQ1215" s="11"/>
      <c r="AR1215" s="11"/>
      <c r="AS1215" t="s" s="10">
        <v>4626</v>
      </c>
      <c r="AT1215" s="11"/>
      <c r="AU1215" s="11"/>
      <c r="AV1215" s="11"/>
      <c r="AW1215" s="11"/>
      <c r="AX1215" s="11"/>
      <c r="AY1215" s="11"/>
      <c r="AZ1215" s="11"/>
      <c r="BA1215" s="11"/>
      <c r="BB1215" s="11"/>
      <c r="BC1215" s="11"/>
      <c r="BD1215" s="11"/>
      <c r="BE1215" s="11"/>
      <c r="BF1215" s="11"/>
      <c r="BG1215" s="11"/>
      <c r="BH1215" s="11"/>
      <c r="BI1215" s="11"/>
      <c r="BJ1215" s="11"/>
      <c r="BK1215" s="11"/>
      <c r="BL1215" s="11"/>
      <c r="BM1215" s="11"/>
      <c r="BN1215" s="11"/>
      <c r="BO1215" s="12"/>
      <c r="BP1215" s="8"/>
    </row>
    <row r="1216" ht="9" customHeight="1" hidden="1">
      <c r="A1216" t="s" s="13">
        <v>4627</v>
      </c>
      <c r="B1216" s="14"/>
      <c r="C1216" t="str" s="14" cm="1">
        <f t="array" ref="C1216">_xlfn.IFERROR((VLOOKUP(A1216,#REF!,2,FALSE)),"")</f>
      </c>
      <c r="D1216" t="s" s="15">
        <v>70</v>
      </c>
      <c r="E1216" t="s" s="15">
        <v>842</v>
      </c>
      <c r="F1216" s="14"/>
      <c r="G1216" s="14"/>
      <c r="H1216" s="14"/>
      <c r="I1216" t="s" s="15">
        <v>73</v>
      </c>
      <c r="J1216" t="s" s="15">
        <v>74</v>
      </c>
      <c r="K1216" t="s" s="15">
        <v>127</v>
      </c>
      <c r="L1216" t="s" s="15">
        <v>76</v>
      </c>
      <c r="M1216" t="s" s="15">
        <v>77</v>
      </c>
      <c r="N1216" s="14"/>
      <c r="O1216" t="s" s="15">
        <v>71</v>
      </c>
      <c r="P1216" s="14"/>
      <c r="Q1216" t="s" s="15">
        <v>69</v>
      </c>
      <c r="R1216" t="s" s="15">
        <v>339</v>
      </c>
      <c r="S1216" s="14"/>
      <c r="T1216" s="14"/>
      <c r="U1216" s="14"/>
      <c r="V1216" t="s" s="15">
        <v>69</v>
      </c>
      <c r="W1216" t="s" s="15">
        <v>4628</v>
      </c>
      <c r="X1216" t="s" s="15">
        <v>78</v>
      </c>
      <c r="Y1216" s="14"/>
      <c r="Z1216" t="s" s="15">
        <v>76</v>
      </c>
      <c r="AA1216" s="14"/>
      <c r="AB1216" t="s" s="15">
        <v>76</v>
      </c>
      <c r="AC1216" t="s" s="15">
        <v>4627</v>
      </c>
      <c r="AD1216" s="14"/>
      <c r="AE1216" s="14"/>
      <c r="AF1216" s="14"/>
      <c r="AG1216" s="14"/>
      <c r="AH1216" s="14"/>
      <c r="AI1216" t="s" s="15">
        <v>76</v>
      </c>
      <c r="AJ1216" t="s" s="15">
        <v>76</v>
      </c>
      <c r="AK1216" t="s" s="15">
        <v>79</v>
      </c>
      <c r="AL1216" t="s" s="15">
        <v>115</v>
      </c>
      <c r="AM1216" s="14"/>
      <c r="AN1216" t="s" s="15">
        <v>128</v>
      </c>
      <c r="AO1216" s="14"/>
      <c r="AP1216" s="14"/>
      <c r="AQ1216" s="14"/>
      <c r="AR1216" s="14"/>
      <c r="AS1216" t="s" s="15">
        <v>4629</v>
      </c>
      <c r="AT1216" s="14"/>
      <c r="AU1216" s="14"/>
      <c r="AV1216" s="14"/>
      <c r="AW1216" s="14"/>
      <c r="AX1216" s="14"/>
      <c r="AY1216" s="14"/>
      <c r="AZ1216" s="14"/>
      <c r="BA1216" s="14"/>
      <c r="BB1216" s="14"/>
      <c r="BC1216" s="14"/>
      <c r="BD1216" s="14"/>
      <c r="BE1216" s="14"/>
      <c r="BF1216" s="14"/>
      <c r="BG1216" s="14"/>
      <c r="BH1216" s="14"/>
      <c r="BI1216" s="14"/>
      <c r="BJ1216" s="14"/>
      <c r="BK1216" s="14"/>
      <c r="BL1216" s="14"/>
      <c r="BM1216" s="14"/>
      <c r="BN1216" s="14"/>
      <c r="BO1216" s="16"/>
      <c r="BP1216" s="8"/>
    </row>
    <row r="1217" ht="9" customHeight="1" hidden="1">
      <c r="A1217" t="s" s="9">
        <v>4630</v>
      </c>
      <c r="B1217" s="11"/>
      <c r="C1217" t="str" s="11" cm="1">
        <f t="array" ref="C1217">_xlfn.IFERROR((VLOOKUP(A1217,#REF!,2,FALSE)),"")</f>
      </c>
      <c r="D1217" t="s" s="10">
        <v>70</v>
      </c>
      <c r="E1217" t="s" s="10">
        <v>842</v>
      </c>
      <c r="F1217" s="11"/>
      <c r="G1217" s="11"/>
      <c r="H1217" s="11"/>
      <c r="I1217" t="s" s="10">
        <v>73</v>
      </c>
      <c r="J1217" t="s" s="10">
        <v>74</v>
      </c>
      <c r="K1217" t="s" s="10">
        <v>127</v>
      </c>
      <c r="L1217" t="s" s="10">
        <v>76</v>
      </c>
      <c r="M1217" t="s" s="10">
        <v>77</v>
      </c>
      <c r="N1217" s="11"/>
      <c r="O1217" t="s" s="10">
        <v>71</v>
      </c>
      <c r="P1217" s="11"/>
      <c r="Q1217" t="s" s="10">
        <v>69</v>
      </c>
      <c r="R1217" t="s" s="10">
        <v>339</v>
      </c>
      <c r="S1217" s="11"/>
      <c r="T1217" s="11"/>
      <c r="U1217" s="11"/>
      <c r="V1217" t="s" s="10">
        <v>69</v>
      </c>
      <c r="W1217" t="s" s="10">
        <v>4631</v>
      </c>
      <c r="X1217" t="s" s="10">
        <v>78</v>
      </c>
      <c r="Y1217" s="11"/>
      <c r="Z1217" t="s" s="10">
        <v>76</v>
      </c>
      <c r="AA1217" s="11"/>
      <c r="AB1217" t="s" s="10">
        <v>76</v>
      </c>
      <c r="AC1217" t="s" s="10">
        <v>4630</v>
      </c>
      <c r="AD1217" s="11"/>
      <c r="AE1217" s="11"/>
      <c r="AF1217" s="11"/>
      <c r="AG1217" s="11"/>
      <c r="AH1217" s="11"/>
      <c r="AI1217" t="s" s="10">
        <v>76</v>
      </c>
      <c r="AJ1217" t="s" s="10">
        <v>76</v>
      </c>
      <c r="AK1217" t="s" s="10">
        <v>79</v>
      </c>
      <c r="AL1217" t="s" s="10">
        <v>115</v>
      </c>
      <c r="AM1217" s="11"/>
      <c r="AN1217" t="s" s="10">
        <v>128</v>
      </c>
      <c r="AO1217" s="11"/>
      <c r="AP1217" s="11"/>
      <c r="AQ1217" s="11"/>
      <c r="AR1217" s="11"/>
      <c r="AS1217" t="s" s="10">
        <v>4632</v>
      </c>
      <c r="AT1217" s="11"/>
      <c r="AU1217" s="11"/>
      <c r="AV1217" s="11"/>
      <c r="AW1217" s="11"/>
      <c r="AX1217" s="11"/>
      <c r="AY1217" s="11"/>
      <c r="AZ1217" s="11"/>
      <c r="BA1217" s="11"/>
      <c r="BB1217" s="11"/>
      <c r="BC1217" s="11"/>
      <c r="BD1217" s="11"/>
      <c r="BE1217" s="11"/>
      <c r="BF1217" s="11"/>
      <c r="BG1217" s="11"/>
      <c r="BH1217" s="11"/>
      <c r="BI1217" s="11"/>
      <c r="BJ1217" s="11"/>
      <c r="BK1217" s="11"/>
      <c r="BL1217" s="11"/>
      <c r="BM1217" s="11"/>
      <c r="BN1217" s="11"/>
      <c r="BO1217" s="12"/>
      <c r="BP1217" s="8"/>
    </row>
    <row r="1218" ht="9" customHeight="1" hidden="1">
      <c r="A1218" t="s" s="13">
        <v>4633</v>
      </c>
      <c r="B1218" s="14"/>
      <c r="C1218" t="str" s="14" cm="1">
        <f t="array" ref="C1218">_xlfn.IFERROR((VLOOKUP(A1218,#REF!,2,FALSE)),"")</f>
      </c>
      <c r="D1218" t="s" s="15">
        <v>70</v>
      </c>
      <c r="E1218" t="s" s="15">
        <v>842</v>
      </c>
      <c r="F1218" s="14"/>
      <c r="G1218" s="14"/>
      <c r="H1218" s="14"/>
      <c r="I1218" t="s" s="15">
        <v>73</v>
      </c>
      <c r="J1218" t="s" s="15">
        <v>74</v>
      </c>
      <c r="K1218" t="s" s="15">
        <v>127</v>
      </c>
      <c r="L1218" t="s" s="15">
        <v>76</v>
      </c>
      <c r="M1218" t="s" s="15">
        <v>77</v>
      </c>
      <c r="N1218" s="14"/>
      <c r="O1218" t="s" s="15">
        <v>71</v>
      </c>
      <c r="P1218" s="14"/>
      <c r="Q1218" t="s" s="15">
        <v>69</v>
      </c>
      <c r="R1218" t="s" s="15">
        <v>339</v>
      </c>
      <c r="S1218" s="14"/>
      <c r="T1218" s="14"/>
      <c r="U1218" s="14"/>
      <c r="V1218" t="s" s="15">
        <v>69</v>
      </c>
      <c r="W1218" t="s" s="15">
        <v>4634</v>
      </c>
      <c r="X1218" t="s" s="15">
        <v>78</v>
      </c>
      <c r="Y1218" s="14"/>
      <c r="Z1218" t="s" s="15">
        <v>76</v>
      </c>
      <c r="AA1218" s="14"/>
      <c r="AB1218" t="s" s="15">
        <v>76</v>
      </c>
      <c r="AC1218" t="s" s="15">
        <v>4633</v>
      </c>
      <c r="AD1218" s="14"/>
      <c r="AE1218" s="14"/>
      <c r="AF1218" s="14"/>
      <c r="AG1218" s="14"/>
      <c r="AH1218" s="14"/>
      <c r="AI1218" t="s" s="15">
        <v>76</v>
      </c>
      <c r="AJ1218" t="s" s="15">
        <v>76</v>
      </c>
      <c r="AK1218" t="s" s="15">
        <v>79</v>
      </c>
      <c r="AL1218" t="s" s="15">
        <v>115</v>
      </c>
      <c r="AM1218" s="14"/>
      <c r="AN1218" t="s" s="15">
        <v>128</v>
      </c>
      <c r="AO1218" s="14"/>
      <c r="AP1218" s="14"/>
      <c r="AQ1218" s="14"/>
      <c r="AR1218" s="14"/>
      <c r="AS1218" t="s" s="15">
        <v>4635</v>
      </c>
      <c r="AT1218" s="14"/>
      <c r="AU1218" s="14"/>
      <c r="AV1218" s="14"/>
      <c r="AW1218" s="14"/>
      <c r="AX1218" s="14"/>
      <c r="AY1218" s="14"/>
      <c r="AZ1218" s="14"/>
      <c r="BA1218" s="14"/>
      <c r="BB1218" s="14"/>
      <c r="BC1218" s="14"/>
      <c r="BD1218" s="14"/>
      <c r="BE1218" s="14"/>
      <c r="BF1218" s="14"/>
      <c r="BG1218" s="14"/>
      <c r="BH1218" s="14"/>
      <c r="BI1218" s="14"/>
      <c r="BJ1218" s="14"/>
      <c r="BK1218" s="14"/>
      <c r="BL1218" s="14"/>
      <c r="BM1218" s="14"/>
      <c r="BN1218" s="14"/>
      <c r="BO1218" s="16"/>
      <c r="BP1218" s="8"/>
    </row>
    <row r="1219" ht="9" customHeight="1" hidden="1">
      <c r="A1219" t="s" s="9">
        <v>4636</v>
      </c>
      <c r="B1219" s="11"/>
      <c r="C1219" t="str" s="11" cm="1">
        <f t="array" ref="C1219">_xlfn.IFERROR((VLOOKUP(A1219,#REF!,2,FALSE)),"")</f>
      </c>
      <c r="D1219" t="s" s="10">
        <v>70</v>
      </c>
      <c r="E1219" t="s" s="10">
        <v>842</v>
      </c>
      <c r="F1219" s="11"/>
      <c r="G1219" s="11"/>
      <c r="H1219" s="11"/>
      <c r="I1219" t="s" s="10">
        <v>73</v>
      </c>
      <c r="J1219" t="s" s="10">
        <v>74</v>
      </c>
      <c r="K1219" t="s" s="10">
        <v>127</v>
      </c>
      <c r="L1219" t="s" s="10">
        <v>76</v>
      </c>
      <c r="M1219" t="s" s="10">
        <v>77</v>
      </c>
      <c r="N1219" s="11"/>
      <c r="O1219" t="s" s="10">
        <v>71</v>
      </c>
      <c r="P1219" s="11"/>
      <c r="Q1219" t="s" s="10">
        <v>69</v>
      </c>
      <c r="R1219" t="s" s="10">
        <v>339</v>
      </c>
      <c r="S1219" s="11"/>
      <c r="T1219" s="11"/>
      <c r="U1219" s="11"/>
      <c r="V1219" t="s" s="10">
        <v>69</v>
      </c>
      <c r="W1219" t="s" s="10">
        <v>4637</v>
      </c>
      <c r="X1219" t="s" s="10">
        <v>78</v>
      </c>
      <c r="Y1219" s="11"/>
      <c r="Z1219" t="s" s="10">
        <v>76</v>
      </c>
      <c r="AA1219" s="11"/>
      <c r="AB1219" t="s" s="10">
        <v>76</v>
      </c>
      <c r="AC1219" t="s" s="10">
        <v>4636</v>
      </c>
      <c r="AD1219" s="11"/>
      <c r="AE1219" s="11"/>
      <c r="AF1219" s="11"/>
      <c r="AG1219" s="11"/>
      <c r="AH1219" s="11"/>
      <c r="AI1219" t="s" s="10">
        <v>76</v>
      </c>
      <c r="AJ1219" t="s" s="10">
        <v>76</v>
      </c>
      <c r="AK1219" t="s" s="10">
        <v>79</v>
      </c>
      <c r="AL1219" t="s" s="10">
        <v>115</v>
      </c>
      <c r="AM1219" s="11"/>
      <c r="AN1219" t="s" s="10">
        <v>128</v>
      </c>
      <c r="AO1219" s="11"/>
      <c r="AP1219" s="11"/>
      <c r="AQ1219" s="11"/>
      <c r="AR1219" s="11"/>
      <c r="AS1219" t="s" s="10">
        <v>4638</v>
      </c>
      <c r="AT1219" s="11"/>
      <c r="AU1219" s="11"/>
      <c r="AV1219" s="11"/>
      <c r="AW1219" s="11"/>
      <c r="AX1219" s="11"/>
      <c r="AY1219" s="11"/>
      <c r="AZ1219" s="11"/>
      <c r="BA1219" s="11"/>
      <c r="BB1219" s="11"/>
      <c r="BC1219" s="11"/>
      <c r="BD1219" s="11"/>
      <c r="BE1219" s="11"/>
      <c r="BF1219" s="11"/>
      <c r="BG1219" s="11"/>
      <c r="BH1219" s="11"/>
      <c r="BI1219" s="11"/>
      <c r="BJ1219" s="11"/>
      <c r="BK1219" s="11"/>
      <c r="BL1219" s="11"/>
      <c r="BM1219" s="11"/>
      <c r="BN1219" s="11"/>
      <c r="BO1219" s="12"/>
      <c r="BP1219" s="8"/>
    </row>
    <row r="1220" ht="9" customHeight="1" hidden="1">
      <c r="A1220" t="s" s="13">
        <v>4639</v>
      </c>
      <c r="B1220" s="14"/>
      <c r="C1220" t="str" s="14" cm="1">
        <f t="array" ref="C1220">_xlfn.IFERROR((VLOOKUP(A1220,#REF!,2,FALSE)),"")</f>
      </c>
      <c r="D1220" t="s" s="15">
        <v>70</v>
      </c>
      <c r="E1220" t="s" s="15">
        <v>842</v>
      </c>
      <c r="F1220" s="14"/>
      <c r="G1220" s="14"/>
      <c r="H1220" s="14"/>
      <c r="I1220" t="s" s="15">
        <v>73</v>
      </c>
      <c r="J1220" t="s" s="15">
        <v>74</v>
      </c>
      <c r="K1220" t="s" s="15">
        <v>127</v>
      </c>
      <c r="L1220" t="s" s="15">
        <v>76</v>
      </c>
      <c r="M1220" t="s" s="15">
        <v>77</v>
      </c>
      <c r="N1220" s="14"/>
      <c r="O1220" t="s" s="15">
        <v>71</v>
      </c>
      <c r="P1220" s="14"/>
      <c r="Q1220" t="s" s="15">
        <v>69</v>
      </c>
      <c r="R1220" t="s" s="15">
        <v>339</v>
      </c>
      <c r="S1220" s="14"/>
      <c r="T1220" s="14"/>
      <c r="U1220" s="14"/>
      <c r="V1220" t="s" s="15">
        <v>69</v>
      </c>
      <c r="W1220" t="s" s="15">
        <v>4640</v>
      </c>
      <c r="X1220" t="s" s="15">
        <v>78</v>
      </c>
      <c r="Y1220" s="14"/>
      <c r="Z1220" t="s" s="15">
        <v>76</v>
      </c>
      <c r="AA1220" s="14"/>
      <c r="AB1220" t="s" s="15">
        <v>76</v>
      </c>
      <c r="AC1220" t="s" s="15">
        <v>4639</v>
      </c>
      <c r="AD1220" s="14"/>
      <c r="AE1220" s="14"/>
      <c r="AF1220" s="14"/>
      <c r="AG1220" s="14"/>
      <c r="AH1220" s="14"/>
      <c r="AI1220" t="s" s="15">
        <v>76</v>
      </c>
      <c r="AJ1220" t="s" s="15">
        <v>76</v>
      </c>
      <c r="AK1220" t="s" s="15">
        <v>79</v>
      </c>
      <c r="AL1220" t="s" s="15">
        <v>115</v>
      </c>
      <c r="AM1220" s="14"/>
      <c r="AN1220" t="s" s="15">
        <v>128</v>
      </c>
      <c r="AO1220" s="14"/>
      <c r="AP1220" s="14"/>
      <c r="AQ1220" s="14"/>
      <c r="AR1220" s="14"/>
      <c r="AS1220" t="s" s="15">
        <v>4641</v>
      </c>
      <c r="AT1220" s="14"/>
      <c r="AU1220" s="14"/>
      <c r="AV1220" s="14"/>
      <c r="AW1220" s="14"/>
      <c r="AX1220" s="14"/>
      <c r="AY1220" s="14"/>
      <c r="AZ1220" s="14"/>
      <c r="BA1220" s="14"/>
      <c r="BB1220" s="14"/>
      <c r="BC1220" s="14"/>
      <c r="BD1220" s="14"/>
      <c r="BE1220" s="14"/>
      <c r="BF1220" s="14"/>
      <c r="BG1220" s="14"/>
      <c r="BH1220" s="14"/>
      <c r="BI1220" s="14"/>
      <c r="BJ1220" s="14"/>
      <c r="BK1220" s="14"/>
      <c r="BL1220" s="14"/>
      <c r="BM1220" s="14"/>
      <c r="BN1220" s="14"/>
      <c r="BO1220" s="16"/>
      <c r="BP1220" s="8"/>
    </row>
    <row r="1221" ht="9" customHeight="1" hidden="1">
      <c r="A1221" t="s" s="9">
        <v>4642</v>
      </c>
      <c r="B1221" s="11"/>
      <c r="C1221" t="str" s="11" cm="1">
        <f t="array" ref="C1221">_xlfn.IFERROR((VLOOKUP(A1221,#REF!,2,FALSE)),"")</f>
      </c>
      <c r="D1221" t="s" s="10">
        <v>70</v>
      </c>
      <c r="E1221" t="s" s="10">
        <v>71</v>
      </c>
      <c r="F1221" s="11"/>
      <c r="G1221" s="11"/>
      <c r="H1221" s="11"/>
      <c r="I1221" t="s" s="10">
        <v>73</v>
      </c>
      <c r="J1221" t="s" s="10">
        <v>74</v>
      </c>
      <c r="K1221" t="s" s="10">
        <v>127</v>
      </c>
      <c r="L1221" t="s" s="10">
        <v>76</v>
      </c>
      <c r="M1221" t="s" s="10">
        <v>77</v>
      </c>
      <c r="N1221" s="11"/>
      <c r="O1221" t="s" s="10">
        <v>71</v>
      </c>
      <c r="P1221" s="11"/>
      <c r="Q1221" t="s" s="10">
        <v>78</v>
      </c>
      <c r="R1221" t="s" s="10">
        <v>71</v>
      </c>
      <c r="S1221" s="11"/>
      <c r="T1221" s="11"/>
      <c r="U1221" s="11"/>
      <c r="V1221" t="s" s="10">
        <v>69</v>
      </c>
      <c r="W1221" t="s" s="10">
        <v>4643</v>
      </c>
      <c r="X1221" t="s" s="10">
        <v>78</v>
      </c>
      <c r="Y1221" s="11"/>
      <c r="Z1221" t="s" s="10">
        <v>76</v>
      </c>
      <c r="AA1221" s="11"/>
      <c r="AB1221" t="s" s="10">
        <v>76</v>
      </c>
      <c r="AC1221" s="11"/>
      <c r="AD1221" s="11"/>
      <c r="AE1221" s="11"/>
      <c r="AF1221" s="11"/>
      <c r="AG1221" s="11"/>
      <c r="AH1221" s="11"/>
      <c r="AI1221" t="s" s="10">
        <v>76</v>
      </c>
      <c r="AJ1221" t="s" s="10">
        <v>76</v>
      </c>
      <c r="AK1221" t="s" s="10">
        <v>79</v>
      </c>
      <c r="AL1221" t="s" s="10">
        <v>115</v>
      </c>
      <c r="AM1221" s="11"/>
      <c r="AN1221" t="s" s="10">
        <v>128</v>
      </c>
      <c r="AO1221" s="11"/>
      <c r="AP1221" s="11"/>
      <c r="AQ1221" s="11"/>
      <c r="AR1221" s="11"/>
      <c r="AS1221" t="s" s="10">
        <v>4644</v>
      </c>
      <c r="AT1221" s="11"/>
      <c r="AU1221" s="11"/>
      <c r="AV1221" s="11"/>
      <c r="AW1221" s="11"/>
      <c r="AX1221" s="11"/>
      <c r="AY1221" s="11"/>
      <c r="AZ1221" s="11"/>
      <c r="BA1221" s="11"/>
      <c r="BB1221" s="11"/>
      <c r="BC1221" s="11"/>
      <c r="BD1221" s="11"/>
      <c r="BE1221" s="11"/>
      <c r="BF1221" s="11"/>
      <c r="BG1221" s="11"/>
      <c r="BH1221" s="11"/>
      <c r="BI1221" s="11"/>
      <c r="BJ1221" s="11"/>
      <c r="BK1221" s="11"/>
      <c r="BL1221" s="11"/>
      <c r="BM1221" s="11"/>
      <c r="BN1221" s="11"/>
      <c r="BO1221" s="12"/>
      <c r="BP1221" s="8"/>
    </row>
    <row r="1222" ht="9" customHeight="1" hidden="1">
      <c r="A1222" t="s" s="13">
        <v>4645</v>
      </c>
      <c r="B1222" s="14"/>
      <c r="C1222" t="str" s="14" cm="1">
        <f t="array" ref="C1222">_xlfn.IFERROR((VLOOKUP(A1222,#REF!,2,FALSE)),"")</f>
      </c>
      <c r="D1222" t="s" s="15">
        <v>70</v>
      </c>
      <c r="E1222" t="s" s="15">
        <v>842</v>
      </c>
      <c r="F1222" s="14"/>
      <c r="G1222" s="14"/>
      <c r="H1222" s="14"/>
      <c r="I1222" t="s" s="15">
        <v>73</v>
      </c>
      <c r="J1222" t="s" s="15">
        <v>74</v>
      </c>
      <c r="K1222" t="s" s="15">
        <v>127</v>
      </c>
      <c r="L1222" t="s" s="15">
        <v>76</v>
      </c>
      <c r="M1222" t="s" s="15">
        <v>77</v>
      </c>
      <c r="N1222" s="14"/>
      <c r="O1222" t="s" s="15">
        <v>71</v>
      </c>
      <c r="P1222" s="14"/>
      <c r="Q1222" t="s" s="15">
        <v>69</v>
      </c>
      <c r="R1222" t="s" s="15">
        <v>339</v>
      </c>
      <c r="S1222" s="14"/>
      <c r="T1222" s="14"/>
      <c r="U1222" s="14"/>
      <c r="V1222" t="s" s="15">
        <v>69</v>
      </c>
      <c r="W1222" t="s" s="15">
        <v>4646</v>
      </c>
      <c r="X1222" t="s" s="15">
        <v>78</v>
      </c>
      <c r="Y1222" s="14"/>
      <c r="Z1222" t="s" s="15">
        <v>76</v>
      </c>
      <c r="AA1222" s="14"/>
      <c r="AB1222" t="s" s="15">
        <v>76</v>
      </c>
      <c r="AC1222" t="s" s="15">
        <v>4645</v>
      </c>
      <c r="AD1222" s="14"/>
      <c r="AE1222" s="14"/>
      <c r="AF1222" s="14"/>
      <c r="AG1222" s="14"/>
      <c r="AH1222" s="14"/>
      <c r="AI1222" t="s" s="15">
        <v>76</v>
      </c>
      <c r="AJ1222" t="s" s="15">
        <v>76</v>
      </c>
      <c r="AK1222" t="s" s="15">
        <v>79</v>
      </c>
      <c r="AL1222" t="s" s="15">
        <v>115</v>
      </c>
      <c r="AM1222" s="14"/>
      <c r="AN1222" t="s" s="15">
        <v>128</v>
      </c>
      <c r="AO1222" s="14"/>
      <c r="AP1222" s="14"/>
      <c r="AQ1222" s="14"/>
      <c r="AR1222" s="14"/>
      <c r="AS1222" t="s" s="15">
        <v>4647</v>
      </c>
      <c r="AT1222" s="14"/>
      <c r="AU1222" s="14"/>
      <c r="AV1222" s="14"/>
      <c r="AW1222" s="14"/>
      <c r="AX1222" s="14"/>
      <c r="AY1222" s="14"/>
      <c r="AZ1222" s="14"/>
      <c r="BA1222" s="14"/>
      <c r="BB1222" s="14"/>
      <c r="BC1222" s="14"/>
      <c r="BD1222" s="14"/>
      <c r="BE1222" s="14"/>
      <c r="BF1222" s="14"/>
      <c r="BG1222" s="14"/>
      <c r="BH1222" s="14"/>
      <c r="BI1222" s="14"/>
      <c r="BJ1222" s="14"/>
      <c r="BK1222" s="14"/>
      <c r="BL1222" s="14"/>
      <c r="BM1222" s="14"/>
      <c r="BN1222" s="14"/>
      <c r="BO1222" s="16"/>
      <c r="BP1222" s="8"/>
    </row>
    <row r="1223" ht="9" customHeight="1" hidden="1">
      <c r="A1223" t="s" s="9">
        <v>4648</v>
      </c>
      <c r="B1223" s="11"/>
      <c r="C1223" t="str" s="11" cm="1">
        <f t="array" ref="C1223">_xlfn.IFERROR((VLOOKUP(A1223,#REF!,2,FALSE)),"")</f>
      </c>
      <c r="D1223" t="s" s="10">
        <v>70</v>
      </c>
      <c r="E1223" t="s" s="10">
        <v>842</v>
      </c>
      <c r="F1223" s="11"/>
      <c r="G1223" s="11"/>
      <c r="H1223" s="11"/>
      <c r="I1223" t="s" s="10">
        <v>73</v>
      </c>
      <c r="J1223" t="s" s="10">
        <v>74</v>
      </c>
      <c r="K1223" t="s" s="10">
        <v>127</v>
      </c>
      <c r="L1223" t="s" s="10">
        <v>76</v>
      </c>
      <c r="M1223" t="s" s="10">
        <v>77</v>
      </c>
      <c r="N1223" s="11"/>
      <c r="O1223" t="s" s="10">
        <v>71</v>
      </c>
      <c r="P1223" s="11"/>
      <c r="Q1223" t="s" s="10">
        <v>69</v>
      </c>
      <c r="R1223" t="s" s="10">
        <v>339</v>
      </c>
      <c r="S1223" s="11"/>
      <c r="T1223" s="11"/>
      <c r="U1223" s="11"/>
      <c r="V1223" t="s" s="10">
        <v>69</v>
      </c>
      <c r="W1223" t="s" s="10">
        <v>4649</v>
      </c>
      <c r="X1223" t="s" s="10">
        <v>78</v>
      </c>
      <c r="Y1223" s="11"/>
      <c r="Z1223" t="s" s="10">
        <v>76</v>
      </c>
      <c r="AA1223" s="11"/>
      <c r="AB1223" t="s" s="10">
        <v>76</v>
      </c>
      <c r="AC1223" t="s" s="10">
        <v>4648</v>
      </c>
      <c r="AD1223" s="11"/>
      <c r="AE1223" s="11"/>
      <c r="AF1223" s="11"/>
      <c r="AG1223" s="11"/>
      <c r="AH1223" s="11"/>
      <c r="AI1223" t="s" s="10">
        <v>76</v>
      </c>
      <c r="AJ1223" t="s" s="10">
        <v>76</v>
      </c>
      <c r="AK1223" t="s" s="10">
        <v>79</v>
      </c>
      <c r="AL1223" t="s" s="10">
        <v>115</v>
      </c>
      <c r="AM1223" s="11"/>
      <c r="AN1223" t="s" s="10">
        <v>128</v>
      </c>
      <c r="AO1223" s="11"/>
      <c r="AP1223" s="11"/>
      <c r="AQ1223" s="11"/>
      <c r="AR1223" s="11"/>
      <c r="AS1223" t="s" s="10">
        <v>4650</v>
      </c>
      <c r="AT1223" s="11"/>
      <c r="AU1223" s="11"/>
      <c r="AV1223" s="11"/>
      <c r="AW1223" s="11"/>
      <c r="AX1223" s="11"/>
      <c r="AY1223" s="11"/>
      <c r="AZ1223" s="11"/>
      <c r="BA1223" s="11"/>
      <c r="BB1223" s="11"/>
      <c r="BC1223" s="11"/>
      <c r="BD1223" s="11"/>
      <c r="BE1223" s="11"/>
      <c r="BF1223" s="11"/>
      <c r="BG1223" s="11"/>
      <c r="BH1223" s="11"/>
      <c r="BI1223" s="11"/>
      <c r="BJ1223" s="11"/>
      <c r="BK1223" s="11"/>
      <c r="BL1223" s="11"/>
      <c r="BM1223" s="11"/>
      <c r="BN1223" s="11"/>
      <c r="BO1223" s="12"/>
      <c r="BP1223" s="8"/>
    </row>
    <row r="1224" ht="9" customHeight="1" hidden="1">
      <c r="A1224" t="s" s="13">
        <v>4651</v>
      </c>
      <c r="B1224" s="14"/>
      <c r="C1224" t="str" s="14" cm="1">
        <f t="array" ref="C1224">_xlfn.IFERROR((VLOOKUP(A1224,#REF!,2,FALSE)),"")</f>
      </c>
      <c r="D1224" t="s" s="15">
        <v>70</v>
      </c>
      <c r="E1224" t="s" s="15">
        <v>71</v>
      </c>
      <c r="F1224" s="14"/>
      <c r="G1224" s="14"/>
      <c r="H1224" s="14"/>
      <c r="I1224" t="s" s="15">
        <v>73</v>
      </c>
      <c r="J1224" t="s" s="15">
        <v>74</v>
      </c>
      <c r="K1224" t="s" s="15">
        <v>127</v>
      </c>
      <c r="L1224" t="s" s="15">
        <v>76</v>
      </c>
      <c r="M1224" t="s" s="15">
        <v>77</v>
      </c>
      <c r="N1224" s="14"/>
      <c r="O1224" t="s" s="15">
        <v>71</v>
      </c>
      <c r="P1224" s="14"/>
      <c r="Q1224" t="s" s="15">
        <v>78</v>
      </c>
      <c r="R1224" t="s" s="15">
        <v>71</v>
      </c>
      <c r="S1224" s="14"/>
      <c r="T1224" s="14"/>
      <c r="U1224" s="14"/>
      <c r="V1224" t="s" s="15">
        <v>78</v>
      </c>
      <c r="W1224" t="s" s="15">
        <v>4651</v>
      </c>
      <c r="X1224" t="s" s="15">
        <v>78</v>
      </c>
      <c r="Y1224" s="14"/>
      <c r="Z1224" t="s" s="15">
        <v>76</v>
      </c>
      <c r="AA1224" s="14"/>
      <c r="AB1224" t="s" s="15">
        <v>76</v>
      </c>
      <c r="AC1224" s="14"/>
      <c r="AD1224" s="14"/>
      <c r="AE1224" s="14"/>
      <c r="AF1224" s="14"/>
      <c r="AG1224" s="14"/>
      <c r="AH1224" s="14"/>
      <c r="AI1224" t="s" s="15">
        <v>76</v>
      </c>
      <c r="AJ1224" t="s" s="15">
        <v>76</v>
      </c>
      <c r="AK1224" t="s" s="15">
        <v>79</v>
      </c>
      <c r="AL1224" t="s" s="15">
        <v>115</v>
      </c>
      <c r="AM1224" s="14"/>
      <c r="AN1224" s="14"/>
      <c r="AO1224" s="14"/>
      <c r="AP1224" s="14"/>
      <c r="AQ1224" s="14"/>
      <c r="AR1224" s="14"/>
      <c r="AS1224" t="s" s="15">
        <v>4652</v>
      </c>
      <c r="AT1224" s="14"/>
      <c r="AU1224" s="14"/>
      <c r="AV1224" s="14"/>
      <c r="AW1224" s="14"/>
      <c r="AX1224" s="14"/>
      <c r="AY1224" s="14"/>
      <c r="AZ1224" s="14"/>
      <c r="BA1224" s="14"/>
      <c r="BB1224" s="14"/>
      <c r="BC1224" s="14"/>
      <c r="BD1224" s="14"/>
      <c r="BE1224" s="14"/>
      <c r="BF1224" s="14"/>
      <c r="BG1224" s="14"/>
      <c r="BH1224" s="14"/>
      <c r="BI1224" s="14"/>
      <c r="BJ1224" s="14"/>
      <c r="BK1224" s="14"/>
      <c r="BL1224" s="14"/>
      <c r="BM1224" s="14"/>
      <c r="BN1224" s="14"/>
      <c r="BO1224" s="16"/>
      <c r="BP1224" s="8"/>
    </row>
    <row r="1225" ht="9" customHeight="1" hidden="1">
      <c r="A1225" t="s" s="9">
        <v>4653</v>
      </c>
      <c r="B1225" s="11"/>
      <c r="C1225" t="str" s="11" cm="1">
        <f t="array" ref="C1225">_xlfn.IFERROR((VLOOKUP(A1225,#REF!,2,FALSE)),"")</f>
      </c>
      <c r="D1225" t="s" s="10">
        <v>70</v>
      </c>
      <c r="E1225" t="s" s="10">
        <v>842</v>
      </c>
      <c r="F1225" s="11"/>
      <c r="G1225" s="11"/>
      <c r="H1225" s="11"/>
      <c r="I1225" t="s" s="10">
        <v>73</v>
      </c>
      <c r="J1225" t="s" s="10">
        <v>74</v>
      </c>
      <c r="K1225" t="s" s="10">
        <v>127</v>
      </c>
      <c r="L1225" t="s" s="10">
        <v>76</v>
      </c>
      <c r="M1225" t="s" s="10">
        <v>77</v>
      </c>
      <c r="N1225" s="11"/>
      <c r="O1225" t="s" s="10">
        <v>71</v>
      </c>
      <c r="P1225" s="11"/>
      <c r="Q1225" t="s" s="10">
        <v>69</v>
      </c>
      <c r="R1225" t="s" s="10">
        <v>339</v>
      </c>
      <c r="S1225" s="11"/>
      <c r="T1225" s="11"/>
      <c r="U1225" s="11"/>
      <c r="V1225" t="s" s="10">
        <v>69</v>
      </c>
      <c r="W1225" t="s" s="10">
        <v>4654</v>
      </c>
      <c r="X1225" t="s" s="10">
        <v>78</v>
      </c>
      <c r="Y1225" s="11"/>
      <c r="Z1225" t="s" s="10">
        <v>76</v>
      </c>
      <c r="AA1225" s="11"/>
      <c r="AB1225" t="s" s="10">
        <v>76</v>
      </c>
      <c r="AC1225" t="s" s="10">
        <v>4653</v>
      </c>
      <c r="AD1225" s="11"/>
      <c r="AE1225" s="11"/>
      <c r="AF1225" s="11"/>
      <c r="AG1225" s="11"/>
      <c r="AH1225" s="11"/>
      <c r="AI1225" t="s" s="10">
        <v>76</v>
      </c>
      <c r="AJ1225" t="s" s="10">
        <v>76</v>
      </c>
      <c r="AK1225" t="s" s="10">
        <v>79</v>
      </c>
      <c r="AL1225" t="s" s="10">
        <v>115</v>
      </c>
      <c r="AM1225" s="11"/>
      <c r="AN1225" t="s" s="10">
        <v>128</v>
      </c>
      <c r="AO1225" s="11"/>
      <c r="AP1225" s="11"/>
      <c r="AQ1225" s="11"/>
      <c r="AR1225" s="11"/>
      <c r="AS1225" t="s" s="10">
        <v>4655</v>
      </c>
      <c r="AT1225" s="11"/>
      <c r="AU1225" s="11"/>
      <c r="AV1225" s="11"/>
      <c r="AW1225" s="11"/>
      <c r="AX1225" s="11"/>
      <c r="AY1225" s="11"/>
      <c r="AZ1225" s="11"/>
      <c r="BA1225" s="11"/>
      <c r="BB1225" s="11"/>
      <c r="BC1225" s="11"/>
      <c r="BD1225" s="11"/>
      <c r="BE1225" s="11"/>
      <c r="BF1225" s="11"/>
      <c r="BG1225" s="11"/>
      <c r="BH1225" s="11"/>
      <c r="BI1225" s="11"/>
      <c r="BJ1225" s="11"/>
      <c r="BK1225" s="11"/>
      <c r="BL1225" s="11"/>
      <c r="BM1225" s="11"/>
      <c r="BN1225" s="11"/>
      <c r="BO1225" s="12"/>
      <c r="BP1225" s="8"/>
    </row>
    <row r="1226" ht="9" customHeight="1" hidden="1">
      <c r="A1226" t="s" s="13">
        <v>4656</v>
      </c>
      <c r="B1226" s="14"/>
      <c r="C1226" t="str" s="14" cm="1">
        <f t="array" ref="C1226">_xlfn.IFERROR((VLOOKUP(A1226,#REF!,2,FALSE)),"")</f>
      </c>
      <c r="D1226" t="s" s="15">
        <v>70</v>
      </c>
      <c r="E1226" t="s" s="15">
        <v>842</v>
      </c>
      <c r="F1226" s="14"/>
      <c r="G1226" s="14"/>
      <c r="H1226" s="14"/>
      <c r="I1226" t="s" s="15">
        <v>73</v>
      </c>
      <c r="J1226" t="s" s="15">
        <v>74</v>
      </c>
      <c r="K1226" t="s" s="15">
        <v>127</v>
      </c>
      <c r="L1226" t="s" s="15">
        <v>76</v>
      </c>
      <c r="M1226" t="s" s="15">
        <v>77</v>
      </c>
      <c r="N1226" s="14"/>
      <c r="O1226" t="s" s="15">
        <v>71</v>
      </c>
      <c r="P1226" s="14"/>
      <c r="Q1226" t="s" s="15">
        <v>69</v>
      </c>
      <c r="R1226" t="s" s="15">
        <v>339</v>
      </c>
      <c r="S1226" s="14"/>
      <c r="T1226" s="14"/>
      <c r="U1226" s="14"/>
      <c r="V1226" t="s" s="15">
        <v>69</v>
      </c>
      <c r="W1226" t="s" s="15">
        <v>4657</v>
      </c>
      <c r="X1226" t="s" s="15">
        <v>78</v>
      </c>
      <c r="Y1226" s="14"/>
      <c r="Z1226" t="s" s="15">
        <v>76</v>
      </c>
      <c r="AA1226" s="14"/>
      <c r="AB1226" t="s" s="15">
        <v>76</v>
      </c>
      <c r="AC1226" t="s" s="15">
        <v>4656</v>
      </c>
      <c r="AD1226" s="14"/>
      <c r="AE1226" s="14"/>
      <c r="AF1226" s="14"/>
      <c r="AG1226" s="14"/>
      <c r="AH1226" s="14"/>
      <c r="AI1226" t="s" s="15">
        <v>76</v>
      </c>
      <c r="AJ1226" t="s" s="15">
        <v>76</v>
      </c>
      <c r="AK1226" t="s" s="15">
        <v>79</v>
      </c>
      <c r="AL1226" t="s" s="15">
        <v>115</v>
      </c>
      <c r="AM1226" s="14"/>
      <c r="AN1226" t="s" s="15">
        <v>128</v>
      </c>
      <c r="AO1226" s="14"/>
      <c r="AP1226" s="14"/>
      <c r="AQ1226" s="14"/>
      <c r="AR1226" s="14"/>
      <c r="AS1226" t="s" s="15">
        <v>4658</v>
      </c>
      <c r="AT1226" s="14"/>
      <c r="AU1226" s="14"/>
      <c r="AV1226" s="14"/>
      <c r="AW1226" s="14"/>
      <c r="AX1226" s="14"/>
      <c r="AY1226" s="14"/>
      <c r="AZ1226" s="14"/>
      <c r="BA1226" s="14"/>
      <c r="BB1226" s="14"/>
      <c r="BC1226" s="14"/>
      <c r="BD1226" s="14"/>
      <c r="BE1226" s="14"/>
      <c r="BF1226" s="14"/>
      <c r="BG1226" s="14"/>
      <c r="BH1226" s="14"/>
      <c r="BI1226" s="14"/>
      <c r="BJ1226" s="14"/>
      <c r="BK1226" s="14"/>
      <c r="BL1226" s="14"/>
      <c r="BM1226" s="14"/>
      <c r="BN1226" s="14"/>
      <c r="BO1226" s="16"/>
      <c r="BP1226" s="8"/>
    </row>
    <row r="1227" ht="9" customHeight="1" hidden="1">
      <c r="A1227" t="s" s="9">
        <v>4659</v>
      </c>
      <c r="B1227" s="11"/>
      <c r="C1227" t="str" s="11" cm="1">
        <f t="array" ref="C1227">_xlfn.IFERROR((VLOOKUP(A1227,#REF!,2,FALSE)),"")</f>
      </c>
      <c r="D1227" t="s" s="10">
        <v>70</v>
      </c>
      <c r="E1227" t="s" s="10">
        <v>842</v>
      </c>
      <c r="F1227" s="11"/>
      <c r="G1227" s="11"/>
      <c r="H1227" s="11"/>
      <c r="I1227" t="s" s="10">
        <v>73</v>
      </c>
      <c r="J1227" t="s" s="10">
        <v>74</v>
      </c>
      <c r="K1227" t="s" s="10">
        <v>127</v>
      </c>
      <c r="L1227" t="s" s="10">
        <v>76</v>
      </c>
      <c r="M1227" t="s" s="10">
        <v>77</v>
      </c>
      <c r="N1227" s="11"/>
      <c r="O1227" t="s" s="10">
        <v>71</v>
      </c>
      <c r="P1227" s="11"/>
      <c r="Q1227" t="s" s="10">
        <v>69</v>
      </c>
      <c r="R1227" t="s" s="10">
        <v>339</v>
      </c>
      <c r="S1227" s="11"/>
      <c r="T1227" s="11"/>
      <c r="U1227" s="11"/>
      <c r="V1227" t="s" s="10">
        <v>69</v>
      </c>
      <c r="W1227" t="s" s="10">
        <v>4660</v>
      </c>
      <c r="X1227" t="s" s="10">
        <v>78</v>
      </c>
      <c r="Y1227" s="11"/>
      <c r="Z1227" t="s" s="10">
        <v>76</v>
      </c>
      <c r="AA1227" s="11"/>
      <c r="AB1227" t="s" s="10">
        <v>76</v>
      </c>
      <c r="AC1227" t="s" s="10">
        <v>4659</v>
      </c>
      <c r="AD1227" s="11"/>
      <c r="AE1227" s="11"/>
      <c r="AF1227" s="11"/>
      <c r="AG1227" s="11"/>
      <c r="AH1227" s="11"/>
      <c r="AI1227" t="s" s="10">
        <v>76</v>
      </c>
      <c r="AJ1227" t="s" s="10">
        <v>76</v>
      </c>
      <c r="AK1227" t="s" s="10">
        <v>79</v>
      </c>
      <c r="AL1227" t="s" s="10">
        <v>115</v>
      </c>
      <c r="AM1227" s="11"/>
      <c r="AN1227" t="s" s="10">
        <v>128</v>
      </c>
      <c r="AO1227" s="11"/>
      <c r="AP1227" s="11"/>
      <c r="AQ1227" s="11"/>
      <c r="AR1227" s="11"/>
      <c r="AS1227" t="s" s="10">
        <v>4661</v>
      </c>
      <c r="AT1227" s="11"/>
      <c r="AU1227" s="11"/>
      <c r="AV1227" s="11"/>
      <c r="AW1227" s="11"/>
      <c r="AX1227" s="11"/>
      <c r="AY1227" s="11"/>
      <c r="AZ1227" s="11"/>
      <c r="BA1227" s="11"/>
      <c r="BB1227" s="11"/>
      <c r="BC1227" s="11"/>
      <c r="BD1227" s="11"/>
      <c r="BE1227" s="11"/>
      <c r="BF1227" s="11"/>
      <c r="BG1227" s="11"/>
      <c r="BH1227" s="11"/>
      <c r="BI1227" s="11"/>
      <c r="BJ1227" s="11"/>
      <c r="BK1227" s="11"/>
      <c r="BL1227" s="11"/>
      <c r="BM1227" s="11"/>
      <c r="BN1227" s="11"/>
      <c r="BO1227" s="12"/>
      <c r="BP1227" s="8"/>
    </row>
    <row r="1228" ht="9" customHeight="1" hidden="1">
      <c r="A1228" t="s" s="13">
        <v>4662</v>
      </c>
      <c r="B1228" s="14"/>
      <c r="C1228" t="str" s="14" cm="1">
        <f t="array" ref="C1228">_xlfn.IFERROR((VLOOKUP(A1228,#REF!,2,FALSE)),"")</f>
      </c>
      <c r="D1228" t="s" s="15">
        <v>70</v>
      </c>
      <c r="E1228" t="s" s="15">
        <v>842</v>
      </c>
      <c r="F1228" s="14"/>
      <c r="G1228" t="s" s="15">
        <v>3858</v>
      </c>
      <c r="H1228" t="s" s="15">
        <v>3859</v>
      </c>
      <c r="I1228" t="s" s="15">
        <v>73</v>
      </c>
      <c r="J1228" t="s" s="15">
        <v>74</v>
      </c>
      <c r="K1228" t="s" s="15">
        <v>127</v>
      </c>
      <c r="L1228" t="s" s="15">
        <v>76</v>
      </c>
      <c r="M1228" t="s" s="15">
        <v>77</v>
      </c>
      <c r="N1228" t="s" s="15">
        <v>3858</v>
      </c>
      <c r="O1228" t="s" s="15">
        <v>71</v>
      </c>
      <c r="P1228" s="14"/>
      <c r="Q1228" t="s" s="15">
        <v>69</v>
      </c>
      <c r="R1228" t="s" s="15">
        <v>339</v>
      </c>
      <c r="S1228" s="14"/>
      <c r="T1228" s="14"/>
      <c r="U1228" s="14"/>
      <c r="V1228" t="s" s="15">
        <v>69</v>
      </c>
      <c r="W1228" t="s" s="15">
        <v>4663</v>
      </c>
      <c r="X1228" t="s" s="15">
        <v>69</v>
      </c>
      <c r="Y1228" s="14"/>
      <c r="Z1228" t="s" s="15">
        <v>76</v>
      </c>
      <c r="AA1228" s="14"/>
      <c r="AB1228" t="s" s="15">
        <v>76</v>
      </c>
      <c r="AC1228" t="s" s="15">
        <v>4662</v>
      </c>
      <c r="AD1228" s="14"/>
      <c r="AE1228" s="14"/>
      <c r="AF1228" s="14"/>
      <c r="AG1228" s="14"/>
      <c r="AH1228" s="14"/>
      <c r="AI1228" t="s" s="15">
        <v>76</v>
      </c>
      <c r="AJ1228" t="s" s="15">
        <v>76</v>
      </c>
      <c r="AK1228" t="s" s="15">
        <v>79</v>
      </c>
      <c r="AL1228" t="s" s="15">
        <v>115</v>
      </c>
      <c r="AM1228" s="14"/>
      <c r="AN1228" t="s" s="15">
        <v>128</v>
      </c>
      <c r="AO1228" s="14"/>
      <c r="AP1228" s="14"/>
      <c r="AQ1228" s="14"/>
      <c r="AR1228" s="14"/>
      <c r="AS1228" t="s" s="15">
        <v>4664</v>
      </c>
      <c r="AT1228" s="14"/>
      <c r="AU1228" s="14"/>
      <c r="AV1228" s="14"/>
      <c r="AW1228" s="14"/>
      <c r="AX1228" s="14"/>
      <c r="AY1228" s="14"/>
      <c r="AZ1228" s="14"/>
      <c r="BA1228" s="14"/>
      <c r="BB1228" s="14"/>
      <c r="BC1228" s="14"/>
      <c r="BD1228" s="14"/>
      <c r="BE1228" s="14"/>
      <c r="BF1228" s="14"/>
      <c r="BG1228" s="14"/>
      <c r="BH1228" s="14"/>
      <c r="BI1228" s="14"/>
      <c r="BJ1228" s="14"/>
      <c r="BK1228" s="14"/>
      <c r="BL1228" s="14"/>
      <c r="BM1228" s="14"/>
      <c r="BN1228" s="14"/>
      <c r="BO1228" s="16"/>
      <c r="BP1228" s="8"/>
    </row>
    <row r="1229" ht="9" customHeight="1" hidden="1">
      <c r="A1229" t="s" s="9">
        <v>4665</v>
      </c>
      <c r="B1229" s="11"/>
      <c r="C1229" t="str" s="11" cm="1">
        <f t="array" ref="C1229">_xlfn.IFERROR((VLOOKUP(A1229,#REF!,2,FALSE)),"")</f>
      </c>
      <c r="D1229" t="s" s="10">
        <v>70</v>
      </c>
      <c r="E1229" t="s" s="10">
        <v>842</v>
      </c>
      <c r="F1229" s="11"/>
      <c r="G1229" s="11"/>
      <c r="H1229" s="11"/>
      <c r="I1229" t="s" s="10">
        <v>73</v>
      </c>
      <c r="J1229" t="s" s="10">
        <v>74</v>
      </c>
      <c r="K1229" t="s" s="10">
        <v>127</v>
      </c>
      <c r="L1229" t="s" s="10">
        <v>76</v>
      </c>
      <c r="M1229" t="s" s="10">
        <v>77</v>
      </c>
      <c r="N1229" s="11"/>
      <c r="O1229" t="s" s="10">
        <v>71</v>
      </c>
      <c r="P1229" s="11"/>
      <c r="Q1229" t="s" s="10">
        <v>69</v>
      </c>
      <c r="R1229" t="s" s="10">
        <v>339</v>
      </c>
      <c r="S1229" s="11"/>
      <c r="T1229" s="11"/>
      <c r="U1229" s="11"/>
      <c r="V1229" t="s" s="10">
        <v>69</v>
      </c>
      <c r="W1229" t="s" s="10">
        <v>4666</v>
      </c>
      <c r="X1229" t="s" s="10">
        <v>78</v>
      </c>
      <c r="Y1229" s="11"/>
      <c r="Z1229" t="s" s="10">
        <v>76</v>
      </c>
      <c r="AA1229" s="11"/>
      <c r="AB1229" t="s" s="10">
        <v>76</v>
      </c>
      <c r="AC1229" t="s" s="10">
        <v>4665</v>
      </c>
      <c r="AD1229" s="11"/>
      <c r="AE1229" s="11"/>
      <c r="AF1229" s="11"/>
      <c r="AG1229" s="11"/>
      <c r="AH1229" s="11"/>
      <c r="AI1229" t="s" s="10">
        <v>76</v>
      </c>
      <c r="AJ1229" t="s" s="10">
        <v>76</v>
      </c>
      <c r="AK1229" t="s" s="10">
        <v>79</v>
      </c>
      <c r="AL1229" t="s" s="10">
        <v>115</v>
      </c>
      <c r="AM1229" s="11"/>
      <c r="AN1229" t="s" s="10">
        <v>128</v>
      </c>
      <c r="AO1229" s="11"/>
      <c r="AP1229" s="11"/>
      <c r="AQ1229" s="11"/>
      <c r="AR1229" s="11"/>
      <c r="AS1229" t="s" s="10">
        <v>4667</v>
      </c>
      <c r="AT1229" s="11"/>
      <c r="AU1229" s="11"/>
      <c r="AV1229" s="11"/>
      <c r="AW1229" s="11"/>
      <c r="AX1229" s="11"/>
      <c r="AY1229" s="11"/>
      <c r="AZ1229" s="11"/>
      <c r="BA1229" s="11"/>
      <c r="BB1229" s="11"/>
      <c r="BC1229" s="11"/>
      <c r="BD1229" s="11"/>
      <c r="BE1229" s="11"/>
      <c r="BF1229" s="11"/>
      <c r="BG1229" s="11"/>
      <c r="BH1229" s="11"/>
      <c r="BI1229" s="11"/>
      <c r="BJ1229" s="11"/>
      <c r="BK1229" s="11"/>
      <c r="BL1229" s="11"/>
      <c r="BM1229" s="11"/>
      <c r="BN1229" s="11"/>
      <c r="BO1229" s="12"/>
      <c r="BP1229" s="8"/>
    </row>
    <row r="1230" ht="9" customHeight="1" hidden="1">
      <c r="A1230" t="s" s="13">
        <v>4668</v>
      </c>
      <c r="B1230" s="14"/>
      <c r="C1230" t="str" s="14" cm="1">
        <f t="array" ref="C1230">_xlfn.IFERROR((VLOOKUP(A1230,#REF!,2,FALSE)),"")</f>
      </c>
      <c r="D1230" t="s" s="15">
        <v>70</v>
      </c>
      <c r="E1230" t="s" s="15">
        <v>842</v>
      </c>
      <c r="F1230" s="14"/>
      <c r="G1230" s="14"/>
      <c r="H1230" s="14"/>
      <c r="I1230" t="s" s="15">
        <v>73</v>
      </c>
      <c r="J1230" t="s" s="15">
        <v>74</v>
      </c>
      <c r="K1230" t="s" s="15">
        <v>127</v>
      </c>
      <c r="L1230" t="s" s="15">
        <v>76</v>
      </c>
      <c r="M1230" t="s" s="15">
        <v>77</v>
      </c>
      <c r="N1230" s="14"/>
      <c r="O1230" t="s" s="15">
        <v>71</v>
      </c>
      <c r="P1230" s="14"/>
      <c r="Q1230" t="s" s="15">
        <v>69</v>
      </c>
      <c r="R1230" t="s" s="15">
        <v>339</v>
      </c>
      <c r="S1230" s="14"/>
      <c r="T1230" s="14"/>
      <c r="U1230" s="14"/>
      <c r="V1230" t="s" s="15">
        <v>69</v>
      </c>
      <c r="W1230" t="s" s="15">
        <v>4669</v>
      </c>
      <c r="X1230" t="s" s="15">
        <v>78</v>
      </c>
      <c r="Y1230" s="14"/>
      <c r="Z1230" t="s" s="15">
        <v>76</v>
      </c>
      <c r="AA1230" s="14"/>
      <c r="AB1230" t="s" s="15">
        <v>76</v>
      </c>
      <c r="AC1230" t="s" s="15">
        <v>4668</v>
      </c>
      <c r="AD1230" s="14"/>
      <c r="AE1230" s="14"/>
      <c r="AF1230" s="14"/>
      <c r="AG1230" s="14"/>
      <c r="AH1230" s="14"/>
      <c r="AI1230" t="s" s="15">
        <v>76</v>
      </c>
      <c r="AJ1230" t="s" s="15">
        <v>76</v>
      </c>
      <c r="AK1230" t="s" s="15">
        <v>79</v>
      </c>
      <c r="AL1230" t="s" s="15">
        <v>115</v>
      </c>
      <c r="AM1230" s="14"/>
      <c r="AN1230" t="s" s="15">
        <v>128</v>
      </c>
      <c r="AO1230" s="14"/>
      <c r="AP1230" s="14"/>
      <c r="AQ1230" s="14"/>
      <c r="AR1230" s="14"/>
      <c r="AS1230" t="s" s="15">
        <v>4670</v>
      </c>
      <c r="AT1230" s="14"/>
      <c r="AU1230" s="14"/>
      <c r="AV1230" s="14"/>
      <c r="AW1230" s="14"/>
      <c r="AX1230" s="14"/>
      <c r="AY1230" s="14"/>
      <c r="AZ1230" s="14"/>
      <c r="BA1230" s="14"/>
      <c r="BB1230" s="14"/>
      <c r="BC1230" s="14"/>
      <c r="BD1230" s="14"/>
      <c r="BE1230" s="14"/>
      <c r="BF1230" s="14"/>
      <c r="BG1230" s="14"/>
      <c r="BH1230" s="14"/>
      <c r="BI1230" s="14"/>
      <c r="BJ1230" s="14"/>
      <c r="BK1230" s="14"/>
      <c r="BL1230" s="14"/>
      <c r="BM1230" s="14"/>
      <c r="BN1230" s="14"/>
      <c r="BO1230" s="16"/>
      <c r="BP1230" s="8"/>
    </row>
    <row r="1231" ht="9" customHeight="1" hidden="1">
      <c r="A1231" t="s" s="9">
        <v>4671</v>
      </c>
      <c r="B1231" s="11"/>
      <c r="C1231" t="str" s="11" cm="1">
        <f t="array" ref="C1231">_xlfn.IFERROR((VLOOKUP(A1231,#REF!,2,FALSE)),"")</f>
      </c>
      <c r="D1231" t="s" s="10">
        <v>70</v>
      </c>
      <c r="E1231" t="s" s="10">
        <v>842</v>
      </c>
      <c r="F1231" s="11"/>
      <c r="G1231" s="11"/>
      <c r="H1231" s="11"/>
      <c r="I1231" t="s" s="10">
        <v>73</v>
      </c>
      <c r="J1231" t="s" s="10">
        <v>74</v>
      </c>
      <c r="K1231" t="s" s="10">
        <v>127</v>
      </c>
      <c r="L1231" t="s" s="10">
        <v>76</v>
      </c>
      <c r="M1231" t="s" s="10">
        <v>77</v>
      </c>
      <c r="N1231" s="11"/>
      <c r="O1231" t="s" s="10">
        <v>71</v>
      </c>
      <c r="P1231" s="11"/>
      <c r="Q1231" t="s" s="10">
        <v>69</v>
      </c>
      <c r="R1231" t="s" s="10">
        <v>339</v>
      </c>
      <c r="S1231" s="11"/>
      <c r="T1231" s="11"/>
      <c r="U1231" s="11"/>
      <c r="V1231" t="s" s="10">
        <v>69</v>
      </c>
      <c r="W1231" t="s" s="10">
        <v>4671</v>
      </c>
      <c r="X1231" t="s" s="10">
        <v>78</v>
      </c>
      <c r="Y1231" s="11"/>
      <c r="Z1231" t="s" s="10">
        <v>76</v>
      </c>
      <c r="AA1231" s="11"/>
      <c r="AB1231" t="s" s="10">
        <v>76</v>
      </c>
      <c r="AC1231" t="s" s="10">
        <v>4671</v>
      </c>
      <c r="AD1231" s="11"/>
      <c r="AE1231" s="11"/>
      <c r="AF1231" s="11"/>
      <c r="AG1231" s="11"/>
      <c r="AH1231" s="11"/>
      <c r="AI1231" t="s" s="10">
        <v>76</v>
      </c>
      <c r="AJ1231" t="s" s="10">
        <v>76</v>
      </c>
      <c r="AK1231" t="s" s="10">
        <v>79</v>
      </c>
      <c r="AL1231" t="s" s="10">
        <v>115</v>
      </c>
      <c r="AM1231" s="11"/>
      <c r="AN1231" t="s" s="10">
        <v>128</v>
      </c>
      <c r="AO1231" s="11"/>
      <c r="AP1231" s="11"/>
      <c r="AQ1231" s="11"/>
      <c r="AR1231" s="11"/>
      <c r="AS1231" t="s" s="10">
        <v>4672</v>
      </c>
      <c r="AT1231" s="11"/>
      <c r="AU1231" s="11"/>
      <c r="AV1231" s="11"/>
      <c r="AW1231" s="11"/>
      <c r="AX1231" s="11"/>
      <c r="AY1231" s="11"/>
      <c r="AZ1231" s="11"/>
      <c r="BA1231" s="11"/>
      <c r="BB1231" s="11"/>
      <c r="BC1231" s="11"/>
      <c r="BD1231" s="11"/>
      <c r="BE1231" s="11"/>
      <c r="BF1231" s="11"/>
      <c r="BG1231" s="11"/>
      <c r="BH1231" s="11"/>
      <c r="BI1231" s="11"/>
      <c r="BJ1231" s="11"/>
      <c r="BK1231" s="11"/>
      <c r="BL1231" s="11"/>
      <c r="BM1231" s="11"/>
      <c r="BN1231" s="11"/>
      <c r="BO1231" s="12"/>
      <c r="BP1231" s="8"/>
    </row>
    <row r="1232" ht="9" customHeight="1" hidden="1">
      <c r="A1232" t="s" s="13">
        <v>4673</v>
      </c>
      <c r="B1232" s="14"/>
      <c r="C1232" t="str" s="14" cm="1">
        <f t="array" ref="C1232">_xlfn.IFERROR((VLOOKUP(A1232,#REF!,2,FALSE)),"")</f>
      </c>
      <c r="D1232" t="s" s="15">
        <v>70</v>
      </c>
      <c r="E1232" t="s" s="15">
        <v>842</v>
      </c>
      <c r="F1232" s="14"/>
      <c r="G1232" s="14"/>
      <c r="H1232" s="14"/>
      <c r="I1232" t="s" s="15">
        <v>73</v>
      </c>
      <c r="J1232" t="s" s="15">
        <v>74</v>
      </c>
      <c r="K1232" t="s" s="15">
        <v>127</v>
      </c>
      <c r="L1232" t="s" s="15">
        <v>76</v>
      </c>
      <c r="M1232" t="s" s="15">
        <v>77</v>
      </c>
      <c r="N1232" s="14"/>
      <c r="O1232" t="s" s="15">
        <v>71</v>
      </c>
      <c r="P1232" s="14"/>
      <c r="Q1232" t="s" s="15">
        <v>69</v>
      </c>
      <c r="R1232" t="s" s="15">
        <v>339</v>
      </c>
      <c r="S1232" s="14"/>
      <c r="T1232" s="14"/>
      <c r="U1232" s="14"/>
      <c r="V1232" t="s" s="15">
        <v>69</v>
      </c>
      <c r="W1232" t="s" s="15">
        <v>4674</v>
      </c>
      <c r="X1232" t="s" s="15">
        <v>78</v>
      </c>
      <c r="Y1232" s="14"/>
      <c r="Z1232" t="s" s="15">
        <v>76</v>
      </c>
      <c r="AA1232" s="14"/>
      <c r="AB1232" t="s" s="15">
        <v>76</v>
      </c>
      <c r="AC1232" t="s" s="15">
        <v>4673</v>
      </c>
      <c r="AD1232" s="14"/>
      <c r="AE1232" s="14"/>
      <c r="AF1232" s="14"/>
      <c r="AG1232" s="14"/>
      <c r="AH1232" s="14"/>
      <c r="AI1232" t="s" s="15">
        <v>76</v>
      </c>
      <c r="AJ1232" t="s" s="15">
        <v>76</v>
      </c>
      <c r="AK1232" t="s" s="15">
        <v>79</v>
      </c>
      <c r="AL1232" t="s" s="15">
        <v>115</v>
      </c>
      <c r="AM1232" s="14"/>
      <c r="AN1232" t="s" s="15">
        <v>128</v>
      </c>
      <c r="AO1232" s="14"/>
      <c r="AP1232" s="14"/>
      <c r="AQ1232" s="14"/>
      <c r="AR1232" s="14"/>
      <c r="AS1232" t="s" s="15">
        <v>4675</v>
      </c>
      <c r="AT1232" s="14"/>
      <c r="AU1232" s="14"/>
      <c r="AV1232" s="14"/>
      <c r="AW1232" s="14"/>
      <c r="AX1232" s="14"/>
      <c r="AY1232" s="14"/>
      <c r="AZ1232" s="14"/>
      <c r="BA1232" s="14"/>
      <c r="BB1232" s="14"/>
      <c r="BC1232" s="14"/>
      <c r="BD1232" s="14"/>
      <c r="BE1232" s="14"/>
      <c r="BF1232" s="14"/>
      <c r="BG1232" s="14"/>
      <c r="BH1232" s="14"/>
      <c r="BI1232" s="14"/>
      <c r="BJ1232" s="14"/>
      <c r="BK1232" s="14"/>
      <c r="BL1232" s="14"/>
      <c r="BM1232" s="14"/>
      <c r="BN1232" s="14"/>
      <c r="BO1232" s="16"/>
      <c r="BP1232" s="8"/>
    </row>
    <row r="1233" ht="9" customHeight="1" hidden="1">
      <c r="A1233" t="s" s="9">
        <v>4676</v>
      </c>
      <c r="B1233" s="11"/>
      <c r="C1233" t="str" s="11" cm="1">
        <f t="array" ref="C1233">_xlfn.IFERROR((VLOOKUP(A1233,#REF!,2,FALSE)),"")</f>
      </c>
      <c r="D1233" t="s" s="10">
        <v>70</v>
      </c>
      <c r="E1233" t="s" s="10">
        <v>842</v>
      </c>
      <c r="F1233" s="11"/>
      <c r="G1233" s="11"/>
      <c r="H1233" s="11"/>
      <c r="I1233" t="s" s="10">
        <v>73</v>
      </c>
      <c r="J1233" t="s" s="10">
        <v>74</v>
      </c>
      <c r="K1233" t="s" s="10">
        <v>127</v>
      </c>
      <c r="L1233" t="s" s="10">
        <v>76</v>
      </c>
      <c r="M1233" t="s" s="10">
        <v>77</v>
      </c>
      <c r="N1233" s="11"/>
      <c r="O1233" t="s" s="10">
        <v>71</v>
      </c>
      <c r="P1233" s="11"/>
      <c r="Q1233" t="s" s="10">
        <v>69</v>
      </c>
      <c r="R1233" t="s" s="10">
        <v>339</v>
      </c>
      <c r="S1233" s="11"/>
      <c r="T1233" s="11"/>
      <c r="U1233" s="11"/>
      <c r="V1233" t="s" s="10">
        <v>69</v>
      </c>
      <c r="W1233" t="s" s="10">
        <v>4676</v>
      </c>
      <c r="X1233" t="s" s="10">
        <v>78</v>
      </c>
      <c r="Y1233" s="11"/>
      <c r="Z1233" t="s" s="10">
        <v>76</v>
      </c>
      <c r="AA1233" s="11"/>
      <c r="AB1233" t="s" s="10">
        <v>76</v>
      </c>
      <c r="AC1233" t="s" s="10">
        <v>4676</v>
      </c>
      <c r="AD1233" s="11"/>
      <c r="AE1233" s="11"/>
      <c r="AF1233" s="11"/>
      <c r="AG1233" s="11"/>
      <c r="AH1233" s="11"/>
      <c r="AI1233" t="s" s="10">
        <v>76</v>
      </c>
      <c r="AJ1233" t="s" s="10">
        <v>76</v>
      </c>
      <c r="AK1233" t="s" s="10">
        <v>79</v>
      </c>
      <c r="AL1233" t="s" s="10">
        <v>115</v>
      </c>
      <c r="AM1233" s="11"/>
      <c r="AN1233" t="s" s="10">
        <v>128</v>
      </c>
      <c r="AO1233" s="11"/>
      <c r="AP1233" s="11"/>
      <c r="AQ1233" s="11"/>
      <c r="AR1233" s="11"/>
      <c r="AS1233" t="s" s="10">
        <v>4677</v>
      </c>
      <c r="AT1233" s="11"/>
      <c r="AU1233" s="11"/>
      <c r="AV1233" s="11"/>
      <c r="AW1233" s="11"/>
      <c r="AX1233" s="11"/>
      <c r="AY1233" s="11"/>
      <c r="AZ1233" s="11"/>
      <c r="BA1233" s="11"/>
      <c r="BB1233" s="11"/>
      <c r="BC1233" s="11"/>
      <c r="BD1233" s="11"/>
      <c r="BE1233" s="11"/>
      <c r="BF1233" s="11"/>
      <c r="BG1233" s="11"/>
      <c r="BH1233" s="11"/>
      <c r="BI1233" s="11"/>
      <c r="BJ1233" s="11"/>
      <c r="BK1233" s="11"/>
      <c r="BL1233" s="11"/>
      <c r="BM1233" s="11"/>
      <c r="BN1233" s="11"/>
      <c r="BO1233" s="12"/>
      <c r="BP1233" s="8"/>
    </row>
    <row r="1234" ht="9" customHeight="1" hidden="1">
      <c r="A1234" t="s" s="13">
        <v>4678</v>
      </c>
      <c r="B1234" s="14"/>
      <c r="C1234" t="str" s="14" cm="1">
        <f t="array" ref="C1234">_xlfn.IFERROR((VLOOKUP(A1234,#REF!,2,FALSE)),"")</f>
      </c>
      <c r="D1234" t="s" s="15">
        <v>70</v>
      </c>
      <c r="E1234" t="s" s="15">
        <v>842</v>
      </c>
      <c r="F1234" s="14"/>
      <c r="G1234" s="14"/>
      <c r="H1234" s="14"/>
      <c r="I1234" t="s" s="15">
        <v>73</v>
      </c>
      <c r="J1234" t="s" s="15">
        <v>74</v>
      </c>
      <c r="K1234" t="s" s="15">
        <v>127</v>
      </c>
      <c r="L1234" t="s" s="15">
        <v>76</v>
      </c>
      <c r="M1234" t="s" s="15">
        <v>77</v>
      </c>
      <c r="N1234" s="14"/>
      <c r="O1234" t="s" s="15">
        <v>71</v>
      </c>
      <c r="P1234" s="14"/>
      <c r="Q1234" t="s" s="15">
        <v>69</v>
      </c>
      <c r="R1234" t="s" s="15">
        <v>339</v>
      </c>
      <c r="S1234" s="14"/>
      <c r="T1234" s="14"/>
      <c r="U1234" s="14"/>
      <c r="V1234" t="s" s="15">
        <v>69</v>
      </c>
      <c r="W1234" t="s" s="15">
        <v>4679</v>
      </c>
      <c r="X1234" t="s" s="15">
        <v>78</v>
      </c>
      <c r="Y1234" s="14"/>
      <c r="Z1234" t="s" s="15">
        <v>76</v>
      </c>
      <c r="AA1234" s="14"/>
      <c r="AB1234" t="s" s="15">
        <v>76</v>
      </c>
      <c r="AC1234" t="s" s="15">
        <v>4678</v>
      </c>
      <c r="AD1234" s="14"/>
      <c r="AE1234" s="14"/>
      <c r="AF1234" s="14"/>
      <c r="AG1234" s="14"/>
      <c r="AH1234" s="14"/>
      <c r="AI1234" t="s" s="15">
        <v>76</v>
      </c>
      <c r="AJ1234" t="s" s="15">
        <v>76</v>
      </c>
      <c r="AK1234" t="s" s="15">
        <v>79</v>
      </c>
      <c r="AL1234" t="s" s="15">
        <v>115</v>
      </c>
      <c r="AM1234" s="14"/>
      <c r="AN1234" t="s" s="15">
        <v>128</v>
      </c>
      <c r="AO1234" s="14"/>
      <c r="AP1234" s="14"/>
      <c r="AQ1234" s="14"/>
      <c r="AR1234" s="14"/>
      <c r="AS1234" t="s" s="15">
        <v>4680</v>
      </c>
      <c r="AT1234" s="14"/>
      <c r="AU1234" s="14"/>
      <c r="AV1234" s="14"/>
      <c r="AW1234" s="14"/>
      <c r="AX1234" s="14"/>
      <c r="AY1234" s="14"/>
      <c r="AZ1234" s="14"/>
      <c r="BA1234" s="14"/>
      <c r="BB1234" s="14"/>
      <c r="BC1234" s="14"/>
      <c r="BD1234" s="14"/>
      <c r="BE1234" s="14"/>
      <c r="BF1234" s="14"/>
      <c r="BG1234" s="14"/>
      <c r="BH1234" s="14"/>
      <c r="BI1234" s="14"/>
      <c r="BJ1234" s="14"/>
      <c r="BK1234" s="14"/>
      <c r="BL1234" s="14"/>
      <c r="BM1234" s="14"/>
      <c r="BN1234" s="14"/>
      <c r="BO1234" s="16"/>
      <c r="BP1234" s="8"/>
    </row>
    <row r="1235" ht="9" customHeight="1" hidden="1">
      <c r="A1235" t="s" s="9">
        <v>4681</v>
      </c>
      <c r="B1235" s="11"/>
      <c r="C1235" t="str" s="11" cm="1">
        <f t="array" ref="C1235">_xlfn.IFERROR((VLOOKUP(A1235,#REF!,2,FALSE)),"")</f>
      </c>
      <c r="D1235" t="s" s="10">
        <v>70</v>
      </c>
      <c r="E1235" t="s" s="10">
        <v>842</v>
      </c>
      <c r="F1235" s="11"/>
      <c r="G1235" s="11"/>
      <c r="H1235" s="11"/>
      <c r="I1235" t="s" s="10">
        <v>73</v>
      </c>
      <c r="J1235" t="s" s="10">
        <v>74</v>
      </c>
      <c r="K1235" t="s" s="10">
        <v>113</v>
      </c>
      <c r="L1235" t="s" s="10">
        <v>76</v>
      </c>
      <c r="M1235" t="s" s="10">
        <v>77</v>
      </c>
      <c r="N1235" s="11"/>
      <c r="O1235" t="s" s="10">
        <v>71</v>
      </c>
      <c r="P1235" s="11"/>
      <c r="Q1235" t="s" s="10">
        <v>69</v>
      </c>
      <c r="R1235" t="s" s="10">
        <v>339</v>
      </c>
      <c r="S1235" s="11"/>
      <c r="T1235" s="11"/>
      <c r="U1235" s="11"/>
      <c r="V1235" t="s" s="10">
        <v>69</v>
      </c>
      <c r="W1235" t="s" s="10">
        <v>4681</v>
      </c>
      <c r="X1235" t="s" s="10">
        <v>78</v>
      </c>
      <c r="Y1235" s="11"/>
      <c r="Z1235" t="s" s="10">
        <v>76</v>
      </c>
      <c r="AA1235" s="11"/>
      <c r="AB1235" t="s" s="10">
        <v>76</v>
      </c>
      <c r="AC1235" t="s" s="10">
        <v>4681</v>
      </c>
      <c r="AD1235" s="11"/>
      <c r="AE1235" s="11"/>
      <c r="AF1235" s="11"/>
      <c r="AG1235" s="11"/>
      <c r="AH1235" s="11"/>
      <c r="AI1235" t="s" s="10">
        <v>76</v>
      </c>
      <c r="AJ1235" t="s" s="10">
        <v>76</v>
      </c>
      <c r="AK1235" t="s" s="10">
        <v>79</v>
      </c>
      <c r="AL1235" s="11"/>
      <c r="AM1235" s="11"/>
      <c r="AN1235" t="s" s="10">
        <v>128</v>
      </c>
      <c r="AO1235" s="11"/>
      <c r="AP1235" s="11"/>
      <c r="AQ1235" s="11"/>
      <c r="AR1235" s="11"/>
      <c r="AS1235" t="s" s="10">
        <v>4682</v>
      </c>
      <c r="AT1235" s="11"/>
      <c r="AU1235" s="11"/>
      <c r="AV1235" s="11"/>
      <c r="AW1235" s="11"/>
      <c r="AX1235" s="11"/>
      <c r="AY1235" s="11"/>
      <c r="AZ1235" s="11"/>
      <c r="BA1235" s="11"/>
      <c r="BB1235" s="11"/>
      <c r="BC1235" s="11"/>
      <c r="BD1235" s="11"/>
      <c r="BE1235" s="11"/>
      <c r="BF1235" s="11"/>
      <c r="BG1235" s="11"/>
      <c r="BH1235" s="11"/>
      <c r="BI1235" s="11"/>
      <c r="BJ1235" s="11"/>
      <c r="BK1235" s="11"/>
      <c r="BL1235" s="11"/>
      <c r="BM1235" s="11"/>
      <c r="BN1235" s="11"/>
      <c r="BO1235" s="12"/>
      <c r="BP1235" s="8"/>
    </row>
    <row r="1236" ht="9" customHeight="1" hidden="1">
      <c r="A1236" t="s" s="13">
        <v>4683</v>
      </c>
      <c r="B1236" s="14"/>
      <c r="C1236" t="str" s="14" cm="1">
        <f t="array" ref="C1236">_xlfn.IFERROR((VLOOKUP(A1236,#REF!,2,FALSE)),"")</f>
      </c>
      <c r="D1236" t="s" s="15">
        <v>70</v>
      </c>
      <c r="E1236" t="s" s="15">
        <v>842</v>
      </c>
      <c r="F1236" s="14"/>
      <c r="G1236" s="14"/>
      <c r="H1236" s="14"/>
      <c r="I1236" t="s" s="15">
        <v>73</v>
      </c>
      <c r="J1236" t="s" s="15">
        <v>74</v>
      </c>
      <c r="K1236" t="s" s="15">
        <v>127</v>
      </c>
      <c r="L1236" t="s" s="15">
        <v>76</v>
      </c>
      <c r="M1236" t="s" s="15">
        <v>77</v>
      </c>
      <c r="N1236" s="14"/>
      <c r="O1236" t="s" s="15">
        <v>71</v>
      </c>
      <c r="P1236" s="14"/>
      <c r="Q1236" t="s" s="15">
        <v>69</v>
      </c>
      <c r="R1236" t="s" s="15">
        <v>339</v>
      </c>
      <c r="S1236" s="14"/>
      <c r="T1236" s="14"/>
      <c r="U1236" s="14"/>
      <c r="V1236" t="s" s="15">
        <v>69</v>
      </c>
      <c r="W1236" t="s" s="15">
        <v>4683</v>
      </c>
      <c r="X1236" t="s" s="15">
        <v>78</v>
      </c>
      <c r="Y1236" s="14"/>
      <c r="Z1236" t="s" s="15">
        <v>76</v>
      </c>
      <c r="AA1236" s="14"/>
      <c r="AB1236" t="s" s="15">
        <v>76</v>
      </c>
      <c r="AC1236" t="s" s="15">
        <v>4683</v>
      </c>
      <c r="AD1236" s="14"/>
      <c r="AE1236" s="14"/>
      <c r="AF1236" s="14"/>
      <c r="AG1236" s="14"/>
      <c r="AH1236" s="14"/>
      <c r="AI1236" t="s" s="15">
        <v>76</v>
      </c>
      <c r="AJ1236" t="s" s="15">
        <v>76</v>
      </c>
      <c r="AK1236" t="s" s="15">
        <v>79</v>
      </c>
      <c r="AL1236" t="s" s="15">
        <v>115</v>
      </c>
      <c r="AM1236" s="14"/>
      <c r="AN1236" t="s" s="15">
        <v>128</v>
      </c>
      <c r="AO1236" s="14"/>
      <c r="AP1236" s="14"/>
      <c r="AQ1236" s="14"/>
      <c r="AR1236" s="14"/>
      <c r="AS1236" t="s" s="15">
        <v>4684</v>
      </c>
      <c r="AT1236" s="14"/>
      <c r="AU1236" s="14"/>
      <c r="AV1236" s="14"/>
      <c r="AW1236" s="14"/>
      <c r="AX1236" s="14"/>
      <c r="AY1236" s="14"/>
      <c r="AZ1236" s="14"/>
      <c r="BA1236" s="14"/>
      <c r="BB1236" s="14"/>
      <c r="BC1236" s="14"/>
      <c r="BD1236" s="14"/>
      <c r="BE1236" s="14"/>
      <c r="BF1236" s="14"/>
      <c r="BG1236" s="14"/>
      <c r="BH1236" s="14"/>
      <c r="BI1236" s="14"/>
      <c r="BJ1236" s="14"/>
      <c r="BK1236" s="14"/>
      <c r="BL1236" s="14"/>
      <c r="BM1236" s="14"/>
      <c r="BN1236" s="14"/>
      <c r="BO1236" s="16"/>
      <c r="BP1236" s="8"/>
    </row>
    <row r="1237" ht="9" customHeight="1" hidden="1">
      <c r="A1237" t="s" s="9">
        <v>4685</v>
      </c>
      <c r="B1237" s="11"/>
      <c r="C1237" t="str" s="11" cm="1">
        <f t="array" ref="C1237">_xlfn.IFERROR((VLOOKUP(A1237,#REF!,2,FALSE)),"")</f>
      </c>
      <c r="D1237" s="11"/>
      <c r="E1237" s="11"/>
      <c r="F1237" s="11"/>
      <c r="G1237" t="s" s="10">
        <v>4686</v>
      </c>
      <c r="H1237" t="s" s="10">
        <v>4687</v>
      </c>
      <c r="I1237" t="s" s="10">
        <v>111</v>
      </c>
      <c r="J1237" t="s" s="10">
        <v>122</v>
      </c>
      <c r="K1237" t="s" s="10">
        <v>113</v>
      </c>
      <c r="L1237" t="s" s="10">
        <v>76</v>
      </c>
      <c r="M1237" t="s" s="10">
        <v>77</v>
      </c>
      <c r="N1237" s="11"/>
      <c r="O1237" s="11"/>
      <c r="P1237" s="11"/>
      <c r="Q1237" t="s" s="10">
        <v>69</v>
      </c>
      <c r="R1237" t="s" s="10">
        <v>323</v>
      </c>
      <c r="S1237" s="11"/>
      <c r="T1237" s="11"/>
      <c r="U1237" s="11"/>
      <c r="V1237" t="s" s="10">
        <v>69</v>
      </c>
      <c r="W1237" t="s" s="10">
        <v>4685</v>
      </c>
      <c r="X1237" t="s" s="10">
        <v>78</v>
      </c>
      <c r="Y1237" s="11"/>
      <c r="Z1237" t="s" s="10">
        <v>76</v>
      </c>
      <c r="AA1237" s="11"/>
      <c r="AB1237" t="s" s="10">
        <v>76</v>
      </c>
      <c r="AC1237" t="s" s="10">
        <v>4685</v>
      </c>
      <c r="AD1237" t="s" s="10">
        <v>4688</v>
      </c>
      <c r="AE1237" s="11"/>
      <c r="AF1237" s="11"/>
      <c r="AG1237" t="s" s="10">
        <v>299</v>
      </c>
      <c r="AH1237" t="s" s="10">
        <v>106</v>
      </c>
      <c r="AI1237" t="s" s="10">
        <v>76</v>
      </c>
      <c r="AJ1237" t="s" s="10">
        <v>76</v>
      </c>
      <c r="AK1237" t="s" s="10">
        <v>79</v>
      </c>
      <c r="AL1237" t="s" s="10">
        <v>115</v>
      </c>
      <c r="AM1237" t="s" s="10">
        <v>294</v>
      </c>
      <c r="AN1237" t="s" s="10">
        <v>187</v>
      </c>
      <c r="AO1237" s="18">
        <v>8</v>
      </c>
      <c r="AP1237" s="18">
        <v>8192</v>
      </c>
      <c r="AQ1237" s="18">
        <v>1441882</v>
      </c>
      <c r="AR1237" s="18">
        <v>1441882</v>
      </c>
      <c r="AS1237" t="s" s="10">
        <v>4689</v>
      </c>
      <c r="AT1237" t="s" s="10">
        <v>301</v>
      </c>
      <c r="AU1237" s="11"/>
      <c r="AV1237" s="11"/>
      <c r="AW1237" s="11"/>
      <c r="AX1237" s="11"/>
      <c r="AY1237" s="11"/>
      <c r="AZ1237" s="11"/>
      <c r="BA1237" s="11"/>
      <c r="BB1237" s="11"/>
      <c r="BC1237" s="11"/>
      <c r="BD1237" s="11"/>
      <c r="BE1237" s="11"/>
      <c r="BF1237" s="11"/>
      <c r="BG1237" s="11"/>
      <c r="BH1237" s="11"/>
      <c r="BI1237" s="11"/>
      <c r="BJ1237" s="11"/>
      <c r="BK1237" s="11"/>
      <c r="BL1237" s="11"/>
      <c r="BM1237" s="11"/>
      <c r="BN1237" t="s" s="10">
        <v>69</v>
      </c>
      <c r="BO1237" s="12"/>
      <c r="BP1237" s="8"/>
    </row>
    <row r="1238" ht="9" customHeight="1" hidden="1">
      <c r="A1238" t="s" s="13">
        <v>4690</v>
      </c>
      <c r="B1238" s="14"/>
      <c r="C1238" t="str" s="14" cm="1">
        <f t="array" ref="C1238">_xlfn.IFERROR((VLOOKUP(A1238,#REF!,2,FALSE)),"")</f>
      </c>
      <c r="D1238" s="14"/>
      <c r="E1238" t="s" s="15">
        <v>195</v>
      </c>
      <c r="F1238" s="14"/>
      <c r="G1238" t="s" s="15">
        <v>4535</v>
      </c>
      <c r="H1238" t="s" s="15">
        <v>4535</v>
      </c>
      <c r="I1238" t="s" s="15">
        <v>73</v>
      </c>
      <c r="J1238" t="s" s="15">
        <v>74</v>
      </c>
      <c r="K1238" t="s" s="15">
        <v>113</v>
      </c>
      <c r="L1238" t="s" s="15">
        <v>76</v>
      </c>
      <c r="M1238" t="s" s="15">
        <v>77</v>
      </c>
      <c r="N1238" t="s" s="15">
        <v>4535</v>
      </c>
      <c r="O1238" t="s" s="15">
        <v>71</v>
      </c>
      <c r="P1238" s="14"/>
      <c r="Q1238" t="s" s="15">
        <v>78</v>
      </c>
      <c r="R1238" t="s" s="15">
        <v>339</v>
      </c>
      <c r="S1238" s="14"/>
      <c r="T1238" s="14"/>
      <c r="U1238" s="14"/>
      <c r="V1238" t="s" s="15">
        <v>78</v>
      </c>
      <c r="W1238" t="s" s="15">
        <v>4690</v>
      </c>
      <c r="X1238" t="s" s="15">
        <v>69</v>
      </c>
      <c r="Y1238" s="14"/>
      <c r="Z1238" t="s" s="15">
        <v>76</v>
      </c>
      <c r="AA1238" s="14"/>
      <c r="AB1238" t="s" s="15">
        <v>76</v>
      </c>
      <c r="AC1238" s="14"/>
      <c r="AD1238" s="14"/>
      <c r="AE1238" s="14"/>
      <c r="AF1238" s="14"/>
      <c r="AG1238" s="14"/>
      <c r="AH1238" t="s" s="15">
        <v>106</v>
      </c>
      <c r="AI1238" t="s" s="15">
        <v>76</v>
      </c>
      <c r="AJ1238" t="s" s="15">
        <v>76</v>
      </c>
      <c r="AK1238" t="s" s="15">
        <v>79</v>
      </c>
      <c r="AL1238" s="14"/>
      <c r="AM1238" t="s" s="15">
        <v>196</v>
      </c>
      <c r="AN1238" s="14"/>
      <c r="AO1238" s="14"/>
      <c r="AP1238" s="14"/>
      <c r="AQ1238" s="14"/>
      <c r="AR1238" s="14"/>
      <c r="AS1238" s="14"/>
      <c r="AT1238" s="14"/>
      <c r="AU1238" s="14"/>
      <c r="AV1238" s="14"/>
      <c r="AW1238" s="14"/>
      <c r="AX1238" s="14"/>
      <c r="AY1238" s="14"/>
      <c r="AZ1238" s="14"/>
      <c r="BA1238" s="14"/>
      <c r="BB1238" s="14"/>
      <c r="BC1238" s="14"/>
      <c r="BD1238" s="14"/>
      <c r="BE1238" s="14"/>
      <c r="BF1238" s="14"/>
      <c r="BG1238" s="14"/>
      <c r="BH1238" s="14"/>
      <c r="BI1238" s="14"/>
      <c r="BJ1238" s="14"/>
      <c r="BK1238" s="14"/>
      <c r="BL1238" s="14"/>
      <c r="BM1238" s="14"/>
      <c r="BN1238" s="14"/>
      <c r="BO1238" s="16"/>
      <c r="BP1238" s="8"/>
    </row>
    <row r="1239" ht="9" customHeight="1" hidden="1">
      <c r="A1239" t="s" s="9">
        <v>4691</v>
      </c>
      <c r="B1239" s="11"/>
      <c r="C1239" t="str" s="11" cm="1">
        <f t="array" ref="C1239">_xlfn.IFERROR((VLOOKUP(A1239,#REF!,2,FALSE)),"")</f>
      </c>
      <c r="D1239" s="11"/>
      <c r="E1239" t="s" s="10">
        <v>195</v>
      </c>
      <c r="F1239" s="11"/>
      <c r="G1239" t="s" s="10">
        <v>4692</v>
      </c>
      <c r="H1239" t="s" s="10">
        <v>4692</v>
      </c>
      <c r="I1239" t="s" s="10">
        <v>73</v>
      </c>
      <c r="J1239" t="s" s="10">
        <v>74</v>
      </c>
      <c r="K1239" t="s" s="10">
        <v>140</v>
      </c>
      <c r="L1239" t="s" s="10">
        <v>76</v>
      </c>
      <c r="M1239" t="s" s="10">
        <v>77</v>
      </c>
      <c r="N1239" t="s" s="10">
        <v>4692</v>
      </c>
      <c r="O1239" t="s" s="10">
        <v>71</v>
      </c>
      <c r="P1239" s="11"/>
      <c r="Q1239" t="s" s="10">
        <v>78</v>
      </c>
      <c r="R1239" t="s" s="10">
        <v>71</v>
      </c>
      <c r="S1239" s="11"/>
      <c r="T1239" s="11"/>
      <c r="U1239" s="11"/>
      <c r="V1239" t="s" s="10">
        <v>78</v>
      </c>
      <c r="W1239" t="s" s="10">
        <v>4691</v>
      </c>
      <c r="X1239" t="s" s="10">
        <v>69</v>
      </c>
      <c r="Y1239" s="11"/>
      <c r="Z1239" t="s" s="10">
        <v>76</v>
      </c>
      <c r="AA1239" s="11"/>
      <c r="AB1239" t="s" s="10">
        <v>76</v>
      </c>
      <c r="AC1239" s="11"/>
      <c r="AD1239" s="11"/>
      <c r="AE1239" s="11"/>
      <c r="AF1239" s="11"/>
      <c r="AG1239" s="11"/>
      <c r="AH1239" t="s" s="10">
        <v>106</v>
      </c>
      <c r="AI1239" t="s" s="10">
        <v>76</v>
      </c>
      <c r="AJ1239" t="s" s="10">
        <v>76</v>
      </c>
      <c r="AK1239" t="s" s="10">
        <v>79</v>
      </c>
      <c r="AL1239" s="11"/>
      <c r="AM1239" t="s" s="10">
        <v>196</v>
      </c>
      <c r="AN1239" s="11"/>
      <c r="AO1239" s="11"/>
      <c r="AP1239" s="11"/>
      <c r="AQ1239" s="11"/>
      <c r="AR1239" s="11"/>
      <c r="AS1239" s="11"/>
      <c r="AT1239" s="11"/>
      <c r="AU1239" s="11"/>
      <c r="AV1239" s="11"/>
      <c r="AW1239" s="11"/>
      <c r="AX1239" s="11"/>
      <c r="AY1239" s="11"/>
      <c r="AZ1239" s="11"/>
      <c r="BA1239" s="11"/>
      <c r="BB1239" s="11"/>
      <c r="BC1239" s="11"/>
      <c r="BD1239" s="11"/>
      <c r="BE1239" s="11"/>
      <c r="BF1239" s="11"/>
      <c r="BG1239" s="11"/>
      <c r="BH1239" s="11"/>
      <c r="BI1239" s="11"/>
      <c r="BJ1239" s="11"/>
      <c r="BK1239" s="11"/>
      <c r="BL1239" s="11"/>
      <c r="BM1239" s="11"/>
      <c r="BN1239" s="11"/>
      <c r="BO1239" s="12"/>
      <c r="BP1239" s="8"/>
    </row>
    <row r="1240" ht="9" customHeight="1" hidden="1">
      <c r="A1240" t="s" s="13">
        <v>4693</v>
      </c>
      <c r="B1240" s="14"/>
      <c r="C1240" t="str" s="14" cm="1">
        <f t="array" ref="C1240">_xlfn.IFERROR((VLOOKUP(A1240,#REF!,2,FALSE)),"")</f>
      </c>
      <c r="D1240" s="14"/>
      <c r="E1240" t="s" s="15">
        <v>4694</v>
      </c>
      <c r="F1240" s="14"/>
      <c r="G1240" t="s" s="15">
        <v>4695</v>
      </c>
      <c r="H1240" t="s" s="15">
        <v>4696</v>
      </c>
      <c r="I1240" t="s" s="15">
        <v>111</v>
      </c>
      <c r="J1240" t="s" s="15">
        <v>122</v>
      </c>
      <c r="K1240" t="s" s="15">
        <v>113</v>
      </c>
      <c r="L1240" t="s" s="15">
        <v>76</v>
      </c>
      <c r="M1240" t="s" s="15">
        <v>77</v>
      </c>
      <c r="N1240" t="s" s="15">
        <v>4695</v>
      </c>
      <c r="O1240" s="14"/>
      <c r="P1240" s="14"/>
      <c r="Q1240" t="s" s="15">
        <v>69</v>
      </c>
      <c r="R1240" t="s" s="15">
        <v>83</v>
      </c>
      <c r="S1240" s="14"/>
      <c r="T1240" s="14"/>
      <c r="U1240" s="14"/>
      <c r="V1240" t="s" s="15">
        <v>69</v>
      </c>
      <c r="W1240" s="14"/>
      <c r="X1240" t="s" s="15">
        <v>69</v>
      </c>
      <c r="Y1240" s="14"/>
      <c r="Z1240" t="s" s="15">
        <v>76</v>
      </c>
      <c r="AA1240" s="14"/>
      <c r="AB1240" t="s" s="15">
        <v>76</v>
      </c>
      <c r="AC1240" s="14"/>
      <c r="AD1240" s="14"/>
      <c r="AE1240" s="14"/>
      <c r="AF1240" s="14"/>
      <c r="AG1240" t="s" s="15">
        <v>299</v>
      </c>
      <c r="AH1240" t="s" s="15">
        <v>114</v>
      </c>
      <c r="AI1240" t="s" s="15">
        <v>440</v>
      </c>
      <c r="AJ1240" s="14"/>
      <c r="AK1240" t="s" s="15">
        <v>292</v>
      </c>
      <c r="AL1240" t="s" s="15">
        <v>293</v>
      </c>
      <c r="AM1240" t="s" s="15">
        <v>294</v>
      </c>
      <c r="AN1240" t="s" s="15">
        <v>372</v>
      </c>
      <c r="AO1240" s="17">
        <v>2</v>
      </c>
      <c r="AP1240" s="17">
        <v>2048</v>
      </c>
      <c r="AQ1240" s="17">
        <v>84918</v>
      </c>
      <c r="AR1240" s="17">
        <v>84918</v>
      </c>
      <c r="AS1240" t="s" s="15">
        <v>4697</v>
      </c>
      <c r="AT1240" s="14"/>
      <c r="AU1240" s="14"/>
      <c r="AV1240" s="14"/>
      <c r="AW1240" s="14"/>
      <c r="AX1240" s="14"/>
      <c r="AY1240" s="14"/>
      <c r="AZ1240" s="14"/>
      <c r="BA1240" s="14"/>
      <c r="BB1240" s="14"/>
      <c r="BC1240" s="14"/>
      <c r="BD1240" t="s" s="15">
        <v>310</v>
      </c>
      <c r="BE1240" t="s" s="15">
        <v>419</v>
      </c>
      <c r="BF1240" s="17">
        <v>2</v>
      </c>
      <c r="BG1240" s="17">
        <v>4</v>
      </c>
      <c r="BH1240" s="14"/>
      <c r="BI1240" s="14"/>
      <c r="BJ1240" s="14"/>
      <c r="BK1240" s="14"/>
      <c r="BL1240" s="14"/>
      <c r="BM1240" s="14"/>
      <c r="BN1240" t="s" s="15">
        <v>78</v>
      </c>
      <c r="BO1240" s="16"/>
      <c r="BP1240" s="8"/>
    </row>
    <row r="1241" ht="15" customHeight="1">
      <c r="A1241" t="s" s="42">
        <v>4698</v>
      </c>
      <c r="B1241" s="43"/>
      <c r="C1241" t="str" s="43" cm="1">
        <f t="array" ref="C1241">_xlfn.IFERROR((VLOOKUP(A1241,#REF!,2,FALSE)),"")</f>
      </c>
      <c r="D1241" s="43"/>
      <c r="E1241" s="43"/>
      <c r="F1241" s="43"/>
      <c r="G1241" t="s" s="44">
        <v>4699</v>
      </c>
      <c r="H1241" t="s" s="44">
        <v>1332</v>
      </c>
      <c r="I1241" t="s" s="44">
        <v>111</v>
      </c>
      <c r="J1241" t="s" s="44">
        <v>122</v>
      </c>
      <c r="K1241" t="s" s="44">
        <v>113</v>
      </c>
      <c r="L1241" t="s" s="44">
        <v>1333</v>
      </c>
      <c r="M1241" t="s" s="44">
        <v>77</v>
      </c>
      <c r="N1241" t="s" s="44">
        <v>4700</v>
      </c>
      <c r="O1241" s="43"/>
      <c r="P1241" s="43"/>
      <c r="Q1241" t="s" s="44">
        <v>69</v>
      </c>
      <c r="R1241" t="s" s="44">
        <v>83</v>
      </c>
      <c r="S1241" s="43"/>
      <c r="T1241" s="43"/>
      <c r="U1241" s="43"/>
      <c r="V1241" t="s" s="44">
        <v>69</v>
      </c>
      <c r="W1241" s="43"/>
      <c r="X1241" t="s" s="44">
        <v>69</v>
      </c>
      <c r="Y1241" s="43"/>
      <c r="Z1241" t="s" s="44">
        <v>1334</v>
      </c>
      <c r="AA1241" s="43"/>
      <c r="AB1241" t="s" s="44">
        <v>1335</v>
      </c>
      <c r="AC1241" t="s" s="44">
        <v>4698</v>
      </c>
      <c r="AD1241" t="s" s="44">
        <v>4701</v>
      </c>
      <c r="AE1241" s="43"/>
      <c r="AF1241" t="s" s="44">
        <v>1332</v>
      </c>
      <c r="AG1241" t="s" s="44">
        <v>299</v>
      </c>
      <c r="AH1241" t="s" s="44">
        <v>114</v>
      </c>
      <c r="AI1241" t="s" s="44">
        <v>332</v>
      </c>
      <c r="AJ1241" t="s" s="44">
        <v>523</v>
      </c>
      <c r="AK1241" t="s" s="44">
        <v>83</v>
      </c>
      <c r="AL1241" t="s" s="44">
        <v>293</v>
      </c>
      <c r="AM1241" t="s" s="44">
        <v>294</v>
      </c>
      <c r="AN1241" t="s" s="44">
        <v>128</v>
      </c>
      <c r="AO1241" s="45">
        <v>6</v>
      </c>
      <c r="AP1241" s="45">
        <v>8192</v>
      </c>
      <c r="AQ1241" s="45">
        <v>264292</v>
      </c>
      <c r="AR1241" s="45">
        <v>264292</v>
      </c>
      <c r="AS1241" t="s" s="44">
        <v>4702</v>
      </c>
      <c r="AT1241" t="s" s="44">
        <v>301</v>
      </c>
      <c r="AU1241" s="43"/>
      <c r="AV1241" s="43"/>
      <c r="AW1241" s="43"/>
      <c r="AX1241" s="43"/>
      <c r="AY1241" s="43"/>
      <c r="AZ1241" s="43"/>
      <c r="BA1241" s="43"/>
      <c r="BB1241" s="43"/>
      <c r="BC1241" s="43"/>
      <c r="BD1241" t="s" s="44">
        <v>310</v>
      </c>
      <c r="BE1241" t="s" s="44">
        <v>311</v>
      </c>
      <c r="BF1241" s="45">
        <v>8</v>
      </c>
      <c r="BG1241" s="45">
        <v>16</v>
      </c>
      <c r="BH1241" s="43"/>
      <c r="BI1241" s="43"/>
      <c r="BJ1241" s="43"/>
      <c r="BK1241" s="43"/>
      <c r="BL1241" s="43"/>
      <c r="BM1241" s="43"/>
      <c r="BN1241" t="s" s="44">
        <v>69</v>
      </c>
      <c r="BO1241" s="46"/>
      <c r="BP1241" s="8"/>
    </row>
    <row r="1242" ht="9" customHeight="1" hidden="1">
      <c r="A1242" t="s" s="47">
        <v>4703</v>
      </c>
      <c r="B1242" s="48"/>
      <c r="C1242" t="str" s="48" cm="1">
        <f t="array" ref="C1242">_xlfn.IFERROR((VLOOKUP(A1242,#REF!,2,FALSE)),"")</f>
      </c>
      <c r="D1242" s="48"/>
      <c r="E1242" t="s" s="49">
        <v>4704</v>
      </c>
      <c r="F1242" s="48"/>
      <c r="G1242" t="s" s="49">
        <v>4705</v>
      </c>
      <c r="H1242" t="s" s="49">
        <v>4706</v>
      </c>
      <c r="I1242" t="s" s="49">
        <v>111</v>
      </c>
      <c r="J1242" t="s" s="49">
        <v>322</v>
      </c>
      <c r="K1242" t="s" s="49">
        <v>140</v>
      </c>
      <c r="L1242" t="s" s="49">
        <v>76</v>
      </c>
      <c r="M1242" t="s" s="49">
        <v>77</v>
      </c>
      <c r="N1242" t="s" s="49">
        <v>4705</v>
      </c>
      <c r="O1242" s="48"/>
      <c r="P1242" s="48"/>
      <c r="Q1242" t="s" s="49">
        <v>69</v>
      </c>
      <c r="R1242" t="s" s="49">
        <v>83</v>
      </c>
      <c r="S1242" s="48"/>
      <c r="T1242" s="48"/>
      <c r="U1242" s="48"/>
      <c r="V1242" t="s" s="49">
        <v>69</v>
      </c>
      <c r="W1242" s="48"/>
      <c r="X1242" t="s" s="49">
        <v>69</v>
      </c>
      <c r="Y1242" s="48"/>
      <c r="Z1242" t="s" s="49">
        <v>76</v>
      </c>
      <c r="AA1242" s="48"/>
      <c r="AB1242" t="s" s="49">
        <v>76</v>
      </c>
      <c r="AC1242" t="s" s="49">
        <v>4703</v>
      </c>
      <c r="AD1242" s="48"/>
      <c r="AE1242" s="48"/>
      <c r="AF1242" s="48"/>
      <c r="AG1242" t="s" s="49">
        <v>299</v>
      </c>
      <c r="AH1242" t="s" s="49">
        <v>114</v>
      </c>
      <c r="AI1242" t="s" s="49">
        <v>76</v>
      </c>
      <c r="AJ1242" t="s" s="49">
        <v>76</v>
      </c>
      <c r="AK1242" t="s" s="49">
        <v>79</v>
      </c>
      <c r="AL1242" t="s" s="49">
        <v>115</v>
      </c>
      <c r="AM1242" s="48"/>
      <c r="AN1242" t="s" s="49">
        <v>264</v>
      </c>
      <c r="AO1242" s="48"/>
      <c r="AP1242" s="48"/>
      <c r="AQ1242" s="48"/>
      <c r="AR1242" s="48"/>
      <c r="AS1242" t="s" s="49">
        <v>4707</v>
      </c>
      <c r="AT1242" t="s" s="49">
        <v>301</v>
      </c>
      <c r="AU1242" s="48"/>
      <c r="AV1242" s="48"/>
      <c r="AW1242" s="48"/>
      <c r="AX1242" s="48"/>
      <c r="AY1242" s="48"/>
      <c r="AZ1242" s="48"/>
      <c r="BA1242" s="48"/>
      <c r="BB1242" s="48"/>
      <c r="BC1242" s="48"/>
      <c r="BD1242" t="s" s="49">
        <v>118</v>
      </c>
      <c r="BE1242" s="48"/>
      <c r="BF1242" s="48"/>
      <c r="BG1242" s="48"/>
      <c r="BH1242" s="48"/>
      <c r="BI1242" s="48"/>
      <c r="BJ1242" s="48"/>
      <c r="BK1242" s="48"/>
      <c r="BL1242" s="48"/>
      <c r="BM1242" s="48"/>
      <c r="BN1242" s="48"/>
      <c r="BO1242" s="50"/>
      <c r="BP1242" s="8"/>
    </row>
    <row r="1243" ht="9" customHeight="1" hidden="1">
      <c r="A1243" t="s" s="51">
        <v>4708</v>
      </c>
      <c r="B1243" s="52"/>
      <c r="C1243" t="str" s="52" cm="1">
        <f t="array" ref="C1243">_xlfn.IFERROR((VLOOKUP(A1243,#REF!,2,FALSE)),"")</f>
      </c>
      <c r="D1243" s="52"/>
      <c r="E1243" s="52"/>
      <c r="F1243" s="52"/>
      <c r="G1243" t="s" s="53">
        <v>4709</v>
      </c>
      <c r="H1243" t="s" s="53">
        <v>4709</v>
      </c>
      <c r="I1243" t="s" s="53">
        <v>271</v>
      </c>
      <c r="J1243" t="s" s="53">
        <v>74</v>
      </c>
      <c r="K1243" t="s" s="53">
        <v>140</v>
      </c>
      <c r="L1243" t="s" s="53">
        <v>76</v>
      </c>
      <c r="M1243" t="s" s="53">
        <v>77</v>
      </c>
      <c r="N1243" t="s" s="53">
        <v>4709</v>
      </c>
      <c r="O1243" s="52"/>
      <c r="P1243" s="52"/>
      <c r="Q1243" t="s" s="53">
        <v>78</v>
      </c>
      <c r="R1243" t="s" s="53">
        <v>83</v>
      </c>
      <c r="S1243" s="52"/>
      <c r="T1243" s="52"/>
      <c r="U1243" s="52"/>
      <c r="V1243" t="s" s="53">
        <v>78</v>
      </c>
      <c r="W1243" s="52"/>
      <c r="X1243" t="s" s="53">
        <v>69</v>
      </c>
      <c r="Y1243" s="52"/>
      <c r="Z1243" t="s" s="53">
        <v>76</v>
      </c>
      <c r="AA1243" s="52"/>
      <c r="AB1243" t="s" s="53">
        <v>76</v>
      </c>
      <c r="AC1243" s="52"/>
      <c r="AD1243" s="52"/>
      <c r="AE1243" s="52"/>
      <c r="AF1243" s="52"/>
      <c r="AG1243" s="52"/>
      <c r="AH1243" t="s" s="53">
        <v>106</v>
      </c>
      <c r="AI1243" t="s" s="53">
        <v>76</v>
      </c>
      <c r="AJ1243" t="s" s="53">
        <v>76</v>
      </c>
      <c r="AK1243" t="s" s="53">
        <v>79</v>
      </c>
      <c r="AL1243" s="52"/>
      <c r="AM1243" s="52"/>
      <c r="AN1243" s="52"/>
      <c r="AO1243" s="52"/>
      <c r="AP1243" s="52"/>
      <c r="AQ1243" s="52"/>
      <c r="AR1243" s="52"/>
      <c r="AS1243" s="52"/>
      <c r="AT1243" s="52"/>
      <c r="AU1243" s="52"/>
      <c r="AV1243" s="52"/>
      <c r="AW1243" s="52"/>
      <c r="AX1243" s="52"/>
      <c r="AY1243" s="52"/>
      <c r="AZ1243" s="52"/>
      <c r="BA1243" s="52"/>
      <c r="BB1243" s="52"/>
      <c r="BC1243" s="52"/>
      <c r="BD1243" s="52"/>
      <c r="BE1243" s="52"/>
      <c r="BF1243" s="52"/>
      <c r="BG1243" s="52"/>
      <c r="BH1243" s="52"/>
      <c r="BI1243" s="52"/>
      <c r="BJ1243" s="52"/>
      <c r="BK1243" s="52"/>
      <c r="BL1243" s="52"/>
      <c r="BM1243" s="52"/>
      <c r="BN1243" s="52"/>
      <c r="BO1243" s="54"/>
      <c r="BP1243" s="8"/>
    </row>
    <row r="1244" ht="15" customHeight="1" hidden="1">
      <c r="A1244" t="s" s="47">
        <v>4710</v>
      </c>
      <c r="B1244" s="48"/>
      <c r="C1244" t="str" s="48" cm="1">
        <f t="array" ref="C1244">_xlfn.IFERROR((VLOOKUP(A1244,#REF!,2,FALSE)),"")</f>
      </c>
      <c r="D1244" s="48"/>
      <c r="E1244" t="s" s="49">
        <v>4711</v>
      </c>
      <c r="F1244" s="48"/>
      <c r="G1244" t="s" s="49">
        <v>4712</v>
      </c>
      <c r="H1244" t="s" s="49">
        <v>4713</v>
      </c>
      <c r="I1244" t="s" s="49">
        <v>82</v>
      </c>
      <c r="J1244" t="s" s="49">
        <v>82</v>
      </c>
      <c r="K1244" t="s" s="49">
        <v>82</v>
      </c>
      <c r="L1244" t="s" s="49">
        <v>76</v>
      </c>
      <c r="M1244" s="48"/>
      <c r="N1244" s="48"/>
      <c r="O1244" s="48"/>
      <c r="P1244" s="48"/>
      <c r="Q1244" t="s" s="49">
        <v>78</v>
      </c>
      <c r="R1244" t="s" s="49">
        <v>83</v>
      </c>
      <c r="S1244" s="48"/>
      <c r="T1244" s="48"/>
      <c r="U1244" s="48"/>
      <c r="V1244" t="s" s="49">
        <v>78</v>
      </c>
      <c r="W1244" s="48"/>
      <c r="X1244" t="s" s="49">
        <v>78</v>
      </c>
      <c r="Y1244" s="48"/>
      <c r="Z1244" t="s" s="49">
        <v>76</v>
      </c>
      <c r="AA1244" t="s" s="49">
        <v>4714</v>
      </c>
      <c r="AB1244" t="s" s="49">
        <v>76</v>
      </c>
      <c r="AC1244" s="48"/>
      <c r="AD1244" s="48"/>
      <c r="AE1244" s="48"/>
      <c r="AF1244" s="48"/>
      <c r="AG1244" t="s" s="49">
        <v>4715</v>
      </c>
      <c r="AH1244" t="s" s="49">
        <v>4716</v>
      </c>
      <c r="AI1244" t="s" s="49">
        <v>76</v>
      </c>
      <c r="AJ1244" t="s" s="49">
        <v>76</v>
      </c>
      <c r="AK1244" t="s" s="49">
        <v>4717</v>
      </c>
      <c r="AL1244" t="s" s="49">
        <v>293</v>
      </c>
      <c r="AM1244" t="s" s="49">
        <v>294</v>
      </c>
      <c r="AN1244" t="s" s="49">
        <v>4718</v>
      </c>
      <c r="AO1244" s="55">
        <v>2</v>
      </c>
      <c r="AP1244" s="55">
        <v>2</v>
      </c>
      <c r="AQ1244" s="55">
        <v>60</v>
      </c>
      <c r="AR1244" s="55">
        <v>5</v>
      </c>
      <c r="AS1244" t="s" s="49">
        <v>4719</v>
      </c>
      <c r="AT1244" t="s" s="49">
        <v>4720</v>
      </c>
      <c r="AU1244" t="s" s="49">
        <v>4721</v>
      </c>
      <c r="AV1244" t="s" s="49">
        <v>4722</v>
      </c>
      <c r="AW1244" s="48"/>
      <c r="AX1244" s="48"/>
      <c r="AY1244" s="48"/>
      <c r="AZ1244" s="48"/>
      <c r="BA1244" t="s" s="49">
        <v>1231</v>
      </c>
      <c r="BB1244" t="s" s="49">
        <v>4723</v>
      </c>
      <c r="BC1244" t="s" s="49">
        <v>4724</v>
      </c>
      <c r="BD1244" s="48"/>
      <c r="BE1244" s="48"/>
      <c r="BF1244" s="48"/>
      <c r="BG1244" s="48"/>
      <c r="BH1244" s="48"/>
      <c r="BI1244" s="48"/>
      <c r="BJ1244" s="48"/>
      <c r="BK1244" s="48"/>
      <c r="BL1244" s="48"/>
      <c r="BM1244" t="s" s="49">
        <v>1234</v>
      </c>
      <c r="BN1244" s="48"/>
      <c r="BO1244" s="50"/>
      <c r="BP1244" s="8"/>
    </row>
    <row r="1245" ht="15" customHeight="1" hidden="1">
      <c r="A1245" t="s" s="51">
        <v>4725</v>
      </c>
      <c r="B1245" s="52"/>
      <c r="C1245" t="str" s="52" cm="1">
        <f t="array" ref="C1245">_xlfn.IFERROR((VLOOKUP(A1245,#REF!,2,FALSE)),"")</f>
      </c>
      <c r="D1245" s="52"/>
      <c r="E1245" t="s" s="53">
        <v>4726</v>
      </c>
      <c r="F1245" s="52"/>
      <c r="G1245" t="s" s="53">
        <v>4727</v>
      </c>
      <c r="H1245" t="s" s="53">
        <v>4728</v>
      </c>
      <c r="I1245" t="s" s="53">
        <v>82</v>
      </c>
      <c r="J1245" t="s" s="53">
        <v>82</v>
      </c>
      <c r="K1245" t="s" s="53">
        <v>82</v>
      </c>
      <c r="L1245" t="s" s="53">
        <v>76</v>
      </c>
      <c r="M1245" s="52"/>
      <c r="N1245" s="52"/>
      <c r="O1245" s="52"/>
      <c r="P1245" s="52"/>
      <c r="Q1245" t="s" s="53">
        <v>78</v>
      </c>
      <c r="R1245" t="s" s="53">
        <v>83</v>
      </c>
      <c r="S1245" s="52"/>
      <c r="T1245" s="52"/>
      <c r="U1245" s="52"/>
      <c r="V1245" t="s" s="53">
        <v>78</v>
      </c>
      <c r="W1245" s="52"/>
      <c r="X1245" t="s" s="53">
        <v>78</v>
      </c>
      <c r="Y1245" s="52"/>
      <c r="Z1245" t="s" s="53">
        <v>76</v>
      </c>
      <c r="AA1245" t="s" s="53">
        <v>4729</v>
      </c>
      <c r="AB1245" t="s" s="53">
        <v>76</v>
      </c>
      <c r="AC1245" s="52"/>
      <c r="AD1245" s="52"/>
      <c r="AE1245" s="52"/>
      <c r="AF1245" s="52"/>
      <c r="AG1245" t="s" s="53">
        <v>4715</v>
      </c>
      <c r="AH1245" t="s" s="53">
        <v>4716</v>
      </c>
      <c r="AI1245" t="s" s="53">
        <v>76</v>
      </c>
      <c r="AJ1245" t="s" s="53">
        <v>76</v>
      </c>
      <c r="AK1245" t="s" s="53">
        <v>4717</v>
      </c>
      <c r="AL1245" t="s" s="53">
        <v>293</v>
      </c>
      <c r="AM1245" t="s" s="53">
        <v>294</v>
      </c>
      <c r="AN1245" t="s" s="53">
        <v>2400</v>
      </c>
      <c r="AO1245" s="56">
        <v>4</v>
      </c>
      <c r="AP1245" s="56">
        <v>16</v>
      </c>
      <c r="AQ1245" s="56">
        <v>350</v>
      </c>
      <c r="AR1245" s="56">
        <v>194</v>
      </c>
      <c r="AS1245" t="s" s="53">
        <v>4730</v>
      </c>
      <c r="AT1245" t="s" s="53">
        <v>4720</v>
      </c>
      <c r="AU1245" t="s" s="53">
        <v>4721</v>
      </c>
      <c r="AV1245" t="s" s="53">
        <v>4731</v>
      </c>
      <c r="AW1245" s="52"/>
      <c r="AX1245" s="52"/>
      <c r="AY1245" s="52"/>
      <c r="AZ1245" s="52"/>
      <c r="BA1245" t="s" s="53">
        <v>1231</v>
      </c>
      <c r="BB1245" t="s" s="53">
        <v>4723</v>
      </c>
      <c r="BC1245" t="s" s="53">
        <v>4724</v>
      </c>
      <c r="BD1245" s="52"/>
      <c r="BE1245" s="52"/>
      <c r="BF1245" s="52"/>
      <c r="BG1245" s="52"/>
      <c r="BH1245" s="52"/>
      <c r="BI1245" s="52"/>
      <c r="BJ1245" s="52"/>
      <c r="BK1245" s="52"/>
      <c r="BL1245" s="52"/>
      <c r="BM1245" t="s" s="53">
        <v>1234</v>
      </c>
      <c r="BN1245" s="52"/>
      <c r="BO1245" s="54"/>
      <c r="BP1245" s="8"/>
    </row>
    <row r="1246" ht="15" customHeight="1" hidden="1">
      <c r="A1246" t="s" s="47">
        <v>4732</v>
      </c>
      <c r="B1246" s="48"/>
      <c r="C1246" t="str" s="48" cm="1">
        <f t="array" ref="C1246">_xlfn.IFERROR((VLOOKUP(A1246,#REF!,2,FALSE)),"")</f>
      </c>
      <c r="D1246" t="s" s="49">
        <v>70</v>
      </c>
      <c r="E1246" t="s" s="49">
        <v>1181</v>
      </c>
      <c r="F1246" s="48"/>
      <c r="G1246" t="s" s="49">
        <v>2260</v>
      </c>
      <c r="H1246" t="s" s="49">
        <v>2260</v>
      </c>
      <c r="I1246" t="s" s="49">
        <v>82</v>
      </c>
      <c r="J1246" t="s" s="49">
        <v>82</v>
      </c>
      <c r="K1246" t="s" s="49">
        <v>82</v>
      </c>
      <c r="L1246" t="s" s="49">
        <v>4733</v>
      </c>
      <c r="M1246" t="s" s="49">
        <v>77</v>
      </c>
      <c r="N1246" t="s" s="49">
        <v>2260</v>
      </c>
      <c r="O1246" s="48"/>
      <c r="P1246" s="48"/>
      <c r="Q1246" t="s" s="49">
        <v>78</v>
      </c>
      <c r="R1246" t="s" s="49">
        <v>83</v>
      </c>
      <c r="S1246" s="48"/>
      <c r="T1246" s="48"/>
      <c r="U1246" s="48"/>
      <c r="V1246" t="s" s="49">
        <v>78</v>
      </c>
      <c r="W1246" s="48"/>
      <c r="X1246" t="s" s="49">
        <v>78</v>
      </c>
      <c r="Y1246" s="48"/>
      <c r="Z1246" t="s" s="49">
        <v>1639</v>
      </c>
      <c r="AA1246" s="48"/>
      <c r="AB1246" t="s" s="49">
        <v>4734</v>
      </c>
      <c r="AC1246" s="48"/>
      <c r="AD1246" s="48"/>
      <c r="AE1246" s="48"/>
      <c r="AF1246" s="48"/>
      <c r="AG1246" t="s" s="49">
        <v>299</v>
      </c>
      <c r="AH1246" t="s" s="49">
        <v>114</v>
      </c>
      <c r="AI1246" t="s" s="49">
        <v>440</v>
      </c>
      <c r="AJ1246" s="48"/>
      <c r="AK1246" t="s" s="49">
        <v>83</v>
      </c>
      <c r="AL1246" t="s" s="49">
        <v>293</v>
      </c>
      <c r="AM1246" t="s" s="49">
        <v>294</v>
      </c>
      <c r="AN1246" s="48"/>
      <c r="AO1246" s="55">
        <v>6</v>
      </c>
      <c r="AP1246" s="55">
        <v>32768</v>
      </c>
      <c r="AQ1246" s="55">
        <v>295474</v>
      </c>
      <c r="AR1246" s="55">
        <v>157054</v>
      </c>
      <c r="AS1246" t="s" s="49">
        <v>3045</v>
      </c>
      <c r="AT1246" s="48"/>
      <c r="AU1246" s="48"/>
      <c r="AV1246" s="48"/>
      <c r="AW1246" s="48"/>
      <c r="AX1246" s="48"/>
      <c r="AY1246" s="48"/>
      <c r="AZ1246" s="48"/>
      <c r="BA1246" s="48"/>
      <c r="BB1246" s="48"/>
      <c r="BC1246" s="48"/>
      <c r="BD1246" t="s" s="49">
        <v>366</v>
      </c>
      <c r="BE1246" t="s" s="49">
        <v>367</v>
      </c>
      <c r="BF1246" s="55">
        <v>8</v>
      </c>
      <c r="BG1246" s="55">
        <v>32</v>
      </c>
      <c r="BH1246" s="48"/>
      <c r="BI1246" s="48"/>
      <c r="BJ1246" s="48"/>
      <c r="BK1246" s="48"/>
      <c r="BL1246" s="48"/>
      <c r="BM1246" s="48"/>
      <c r="BN1246" s="48"/>
      <c r="BO1246" s="50"/>
      <c r="BP1246" s="8"/>
    </row>
    <row r="1247" ht="9" customHeight="1" hidden="1">
      <c r="A1247" t="s" s="51">
        <v>4735</v>
      </c>
      <c r="B1247" s="52"/>
      <c r="C1247" t="str" s="52" cm="1">
        <f t="array" ref="C1247">_xlfn.IFERROR((VLOOKUP(A1247,#REF!,2,FALSE)),"")</f>
      </c>
      <c r="D1247" t="s" s="53">
        <v>70</v>
      </c>
      <c r="E1247" t="s" s="53">
        <v>1181</v>
      </c>
      <c r="F1247" s="52"/>
      <c r="G1247" t="s" s="53">
        <v>2260</v>
      </c>
      <c r="H1247" t="s" s="53">
        <v>2260</v>
      </c>
      <c r="I1247" t="s" s="53">
        <v>82</v>
      </c>
      <c r="J1247" t="s" s="53">
        <v>82</v>
      </c>
      <c r="K1247" t="s" s="53">
        <v>82</v>
      </c>
      <c r="L1247" t="s" s="53">
        <v>4733</v>
      </c>
      <c r="M1247" t="s" s="53">
        <v>77</v>
      </c>
      <c r="N1247" t="s" s="53">
        <v>2260</v>
      </c>
      <c r="O1247" s="52"/>
      <c r="P1247" s="52"/>
      <c r="Q1247" t="s" s="53">
        <v>78</v>
      </c>
      <c r="R1247" t="s" s="53">
        <v>83</v>
      </c>
      <c r="S1247" s="52"/>
      <c r="T1247" s="52"/>
      <c r="U1247" s="52"/>
      <c r="V1247" t="s" s="53">
        <v>78</v>
      </c>
      <c r="W1247" s="52"/>
      <c r="X1247" t="s" s="53">
        <v>78</v>
      </c>
      <c r="Y1247" s="52"/>
      <c r="Z1247" t="s" s="53">
        <v>1639</v>
      </c>
      <c r="AA1247" s="52"/>
      <c r="AB1247" t="s" s="53">
        <v>4734</v>
      </c>
      <c r="AC1247" s="52"/>
      <c r="AD1247" s="52"/>
      <c r="AE1247" s="52"/>
      <c r="AF1247" s="52"/>
      <c r="AG1247" t="s" s="53">
        <v>299</v>
      </c>
      <c r="AH1247" t="s" s="53">
        <v>114</v>
      </c>
      <c r="AI1247" t="s" s="53">
        <v>440</v>
      </c>
      <c r="AJ1247" s="52"/>
      <c r="AK1247" t="s" s="53">
        <v>83</v>
      </c>
      <c r="AL1247" t="s" s="53">
        <v>293</v>
      </c>
      <c r="AM1247" t="s" s="53">
        <v>294</v>
      </c>
      <c r="AN1247" s="52"/>
      <c r="AO1247" s="56">
        <v>2</v>
      </c>
      <c r="AP1247" s="56">
        <v>16384</v>
      </c>
      <c r="AQ1247" s="56">
        <v>278682</v>
      </c>
      <c r="AR1247" s="56">
        <v>91242</v>
      </c>
      <c r="AS1247" t="s" s="53">
        <v>2396</v>
      </c>
      <c r="AT1247" s="52"/>
      <c r="AU1247" s="52"/>
      <c r="AV1247" s="52"/>
      <c r="AW1247" s="52"/>
      <c r="AX1247" s="52"/>
      <c r="AY1247" s="52"/>
      <c r="AZ1247" s="52"/>
      <c r="BA1247" s="52"/>
      <c r="BB1247" s="52"/>
      <c r="BC1247" s="52"/>
      <c r="BD1247" t="s" s="53">
        <v>428</v>
      </c>
      <c r="BE1247" t="s" s="53">
        <v>481</v>
      </c>
      <c r="BF1247" s="56">
        <v>2</v>
      </c>
      <c r="BG1247" s="56">
        <v>16</v>
      </c>
      <c r="BH1247" s="52"/>
      <c r="BI1247" s="52"/>
      <c r="BJ1247" s="52"/>
      <c r="BK1247" s="52"/>
      <c r="BL1247" s="52"/>
      <c r="BM1247" s="52"/>
      <c r="BN1247" s="52"/>
      <c r="BO1247" s="54"/>
      <c r="BP1247" s="8"/>
    </row>
    <row r="1248" ht="9" customHeight="1" hidden="1">
      <c r="A1248" t="s" s="47">
        <v>4736</v>
      </c>
      <c r="B1248" s="48"/>
      <c r="C1248" t="str" s="48" cm="1">
        <f t="array" ref="C1248">_xlfn.IFERROR((VLOOKUP(A1248,#REF!,2,FALSE)),"")</f>
      </c>
      <c r="D1248" t="s" s="49">
        <v>70</v>
      </c>
      <c r="E1248" t="s" s="49">
        <v>1181</v>
      </c>
      <c r="F1248" s="48"/>
      <c r="G1248" t="s" s="49">
        <v>2260</v>
      </c>
      <c r="H1248" t="s" s="49">
        <v>2260</v>
      </c>
      <c r="I1248" t="s" s="49">
        <v>82</v>
      </c>
      <c r="J1248" t="s" s="49">
        <v>82</v>
      </c>
      <c r="K1248" t="s" s="49">
        <v>82</v>
      </c>
      <c r="L1248" t="s" s="49">
        <v>4733</v>
      </c>
      <c r="M1248" t="s" s="49">
        <v>77</v>
      </c>
      <c r="N1248" t="s" s="49">
        <v>2260</v>
      </c>
      <c r="O1248" s="48"/>
      <c r="P1248" s="48"/>
      <c r="Q1248" t="s" s="49">
        <v>78</v>
      </c>
      <c r="R1248" t="s" s="49">
        <v>83</v>
      </c>
      <c r="S1248" s="48"/>
      <c r="T1248" s="48"/>
      <c r="U1248" s="48"/>
      <c r="V1248" t="s" s="49">
        <v>78</v>
      </c>
      <c r="W1248" s="48"/>
      <c r="X1248" t="s" s="49">
        <v>78</v>
      </c>
      <c r="Y1248" s="48"/>
      <c r="Z1248" t="s" s="49">
        <v>1639</v>
      </c>
      <c r="AA1248" s="48"/>
      <c r="AB1248" t="s" s="49">
        <v>4734</v>
      </c>
      <c r="AC1248" s="48"/>
      <c r="AD1248" s="48"/>
      <c r="AE1248" s="48"/>
      <c r="AF1248" s="48"/>
      <c r="AG1248" t="s" s="49">
        <v>299</v>
      </c>
      <c r="AH1248" t="s" s="49">
        <v>114</v>
      </c>
      <c r="AI1248" t="s" s="49">
        <v>440</v>
      </c>
      <c r="AJ1248" s="48"/>
      <c r="AK1248" t="s" s="49">
        <v>83</v>
      </c>
      <c r="AL1248" t="s" s="49">
        <v>293</v>
      </c>
      <c r="AM1248" t="s" s="49">
        <v>294</v>
      </c>
      <c r="AN1248" s="48"/>
      <c r="AO1248" s="55">
        <v>6</v>
      </c>
      <c r="AP1248" s="55">
        <v>16384</v>
      </c>
      <c r="AQ1248" s="55">
        <v>278618</v>
      </c>
      <c r="AR1248" s="55">
        <v>32907</v>
      </c>
      <c r="AS1248" t="s" s="49">
        <v>3961</v>
      </c>
      <c r="AT1248" s="48"/>
      <c r="AU1248" s="48"/>
      <c r="AV1248" s="48"/>
      <c r="AW1248" s="48"/>
      <c r="AX1248" s="48"/>
      <c r="AY1248" s="48"/>
      <c r="AZ1248" s="48"/>
      <c r="BA1248" s="48"/>
      <c r="BB1248" s="48"/>
      <c r="BC1248" s="48"/>
      <c r="BD1248" t="s" s="49">
        <v>310</v>
      </c>
      <c r="BE1248" t="s" s="49">
        <v>311</v>
      </c>
      <c r="BF1248" s="55">
        <v>8</v>
      </c>
      <c r="BG1248" s="55">
        <v>16</v>
      </c>
      <c r="BH1248" s="48"/>
      <c r="BI1248" s="48"/>
      <c r="BJ1248" s="48"/>
      <c r="BK1248" s="48"/>
      <c r="BL1248" s="48"/>
      <c r="BM1248" s="48"/>
      <c r="BN1248" s="48"/>
      <c r="BO1248" s="50"/>
      <c r="BP1248" s="8"/>
    </row>
    <row r="1249" ht="9" customHeight="1" hidden="1">
      <c r="A1249" t="s" s="51">
        <v>4737</v>
      </c>
      <c r="B1249" s="52"/>
      <c r="C1249" t="str" s="52" cm="1">
        <f t="array" ref="C1249">_xlfn.IFERROR((VLOOKUP(A1249,#REF!,2,FALSE)),"")</f>
      </c>
      <c r="D1249" t="s" s="53">
        <v>70</v>
      </c>
      <c r="E1249" t="s" s="53">
        <v>1181</v>
      </c>
      <c r="F1249" s="52"/>
      <c r="G1249" t="s" s="53">
        <v>2260</v>
      </c>
      <c r="H1249" t="s" s="53">
        <v>2260</v>
      </c>
      <c r="I1249" t="s" s="53">
        <v>82</v>
      </c>
      <c r="J1249" t="s" s="53">
        <v>82</v>
      </c>
      <c r="K1249" t="s" s="53">
        <v>82</v>
      </c>
      <c r="L1249" t="s" s="53">
        <v>4733</v>
      </c>
      <c r="M1249" t="s" s="53">
        <v>77</v>
      </c>
      <c r="N1249" t="s" s="53">
        <v>2260</v>
      </c>
      <c r="O1249" s="52"/>
      <c r="P1249" s="52"/>
      <c r="Q1249" t="s" s="53">
        <v>78</v>
      </c>
      <c r="R1249" t="s" s="53">
        <v>83</v>
      </c>
      <c r="S1249" s="52"/>
      <c r="T1249" s="52"/>
      <c r="U1249" s="52"/>
      <c r="V1249" t="s" s="53">
        <v>78</v>
      </c>
      <c r="W1249" s="52"/>
      <c r="X1249" t="s" s="53">
        <v>78</v>
      </c>
      <c r="Y1249" s="52"/>
      <c r="Z1249" t="s" s="53">
        <v>1639</v>
      </c>
      <c r="AA1249" s="52"/>
      <c r="AB1249" t="s" s="53">
        <v>4734</v>
      </c>
      <c r="AC1249" s="52"/>
      <c r="AD1249" s="52"/>
      <c r="AE1249" s="52"/>
      <c r="AF1249" t="s" s="53">
        <v>2260</v>
      </c>
      <c r="AG1249" t="s" s="53">
        <v>299</v>
      </c>
      <c r="AH1249" t="s" s="53">
        <v>114</v>
      </c>
      <c r="AI1249" t="s" s="53">
        <v>332</v>
      </c>
      <c r="AJ1249" t="s" s="53">
        <v>827</v>
      </c>
      <c r="AK1249" t="s" s="53">
        <v>83</v>
      </c>
      <c r="AL1249" t="s" s="53">
        <v>293</v>
      </c>
      <c r="AM1249" t="s" s="53">
        <v>294</v>
      </c>
      <c r="AN1249" s="52"/>
      <c r="AO1249" s="56">
        <v>4</v>
      </c>
      <c r="AP1249" s="56">
        <v>16384</v>
      </c>
      <c r="AQ1249" s="56">
        <v>278651</v>
      </c>
      <c r="AR1249" s="56">
        <v>40258</v>
      </c>
      <c r="AS1249" t="s" s="53">
        <v>3018</v>
      </c>
      <c r="AT1249" s="52"/>
      <c r="AU1249" s="52"/>
      <c r="AV1249" s="52"/>
      <c r="AW1249" s="52"/>
      <c r="AX1249" s="52"/>
      <c r="AY1249" s="52"/>
      <c r="AZ1249" s="52"/>
      <c r="BA1249" s="52"/>
      <c r="BB1249" s="52"/>
      <c r="BC1249" s="52"/>
      <c r="BD1249" t="s" s="53">
        <v>366</v>
      </c>
      <c r="BE1249" t="s" s="53">
        <v>394</v>
      </c>
      <c r="BF1249" s="56">
        <v>4</v>
      </c>
      <c r="BG1249" s="56">
        <v>16</v>
      </c>
      <c r="BH1249" s="52"/>
      <c r="BI1249" s="52"/>
      <c r="BJ1249" s="52"/>
      <c r="BK1249" s="52"/>
      <c r="BL1249" s="52"/>
      <c r="BM1249" s="52"/>
      <c r="BN1249" s="52"/>
      <c r="BO1249" s="54"/>
      <c r="BP1249" s="8"/>
    </row>
    <row r="1250" ht="9" customHeight="1" hidden="1">
      <c r="A1250" t="s" s="47">
        <v>4738</v>
      </c>
      <c r="B1250" s="48"/>
      <c r="C1250" t="str" s="48" cm="1">
        <f t="array" ref="C1250">_xlfn.IFERROR((VLOOKUP(A1250,#REF!,2,FALSE)),"")</f>
      </c>
      <c r="D1250" t="s" s="49">
        <v>70</v>
      </c>
      <c r="E1250" t="s" s="49">
        <v>1181</v>
      </c>
      <c r="F1250" s="48"/>
      <c r="G1250" t="s" s="49">
        <v>2260</v>
      </c>
      <c r="H1250" t="s" s="49">
        <v>2260</v>
      </c>
      <c r="I1250" t="s" s="49">
        <v>82</v>
      </c>
      <c r="J1250" t="s" s="49">
        <v>82</v>
      </c>
      <c r="K1250" t="s" s="49">
        <v>82</v>
      </c>
      <c r="L1250" t="s" s="49">
        <v>4733</v>
      </c>
      <c r="M1250" t="s" s="49">
        <v>77</v>
      </c>
      <c r="N1250" t="s" s="49">
        <v>2260</v>
      </c>
      <c r="O1250" s="48"/>
      <c r="P1250" s="48"/>
      <c r="Q1250" t="s" s="49">
        <v>78</v>
      </c>
      <c r="R1250" t="s" s="49">
        <v>83</v>
      </c>
      <c r="S1250" s="48"/>
      <c r="T1250" s="48"/>
      <c r="U1250" s="48"/>
      <c r="V1250" t="s" s="49">
        <v>78</v>
      </c>
      <c r="W1250" s="48"/>
      <c r="X1250" t="s" s="49">
        <v>78</v>
      </c>
      <c r="Y1250" s="48"/>
      <c r="Z1250" t="s" s="49">
        <v>1639</v>
      </c>
      <c r="AA1250" s="48"/>
      <c r="AB1250" t="s" s="49">
        <v>4734</v>
      </c>
      <c r="AC1250" s="48"/>
      <c r="AD1250" s="48"/>
      <c r="AE1250" s="48"/>
      <c r="AF1250" t="s" s="49">
        <v>2260</v>
      </c>
      <c r="AG1250" t="s" s="49">
        <v>299</v>
      </c>
      <c r="AH1250" t="s" s="49">
        <v>114</v>
      </c>
      <c r="AI1250" t="s" s="49">
        <v>332</v>
      </c>
      <c r="AJ1250" t="s" s="49">
        <v>827</v>
      </c>
      <c r="AK1250" t="s" s="49">
        <v>83</v>
      </c>
      <c r="AL1250" t="s" s="49">
        <v>293</v>
      </c>
      <c r="AM1250" t="s" s="49">
        <v>294</v>
      </c>
      <c r="AN1250" s="48"/>
      <c r="AO1250" s="55">
        <v>2</v>
      </c>
      <c r="AP1250" s="55">
        <v>16384</v>
      </c>
      <c r="AQ1250" s="55">
        <v>278647</v>
      </c>
      <c r="AR1250" s="55">
        <v>37742</v>
      </c>
      <c r="AS1250" t="s" s="49">
        <v>2262</v>
      </c>
      <c r="AT1250" s="48"/>
      <c r="AU1250" s="48"/>
      <c r="AV1250" s="48"/>
      <c r="AW1250" s="48"/>
      <c r="AX1250" s="48"/>
      <c r="AY1250" s="48"/>
      <c r="AZ1250" s="48"/>
      <c r="BA1250" s="48"/>
      <c r="BB1250" s="48"/>
      <c r="BC1250" s="48"/>
      <c r="BD1250" t="s" s="49">
        <v>428</v>
      </c>
      <c r="BE1250" t="s" s="49">
        <v>481</v>
      </c>
      <c r="BF1250" s="55">
        <v>2</v>
      </c>
      <c r="BG1250" s="55">
        <v>16</v>
      </c>
      <c r="BH1250" s="48"/>
      <c r="BI1250" s="48"/>
      <c r="BJ1250" s="48"/>
      <c r="BK1250" s="48"/>
      <c r="BL1250" s="48"/>
      <c r="BM1250" s="48"/>
      <c r="BN1250" s="48"/>
      <c r="BO1250" s="50"/>
      <c r="BP1250" s="8"/>
    </row>
    <row r="1251" ht="9" customHeight="1" hidden="1">
      <c r="A1251" t="s" s="51">
        <v>4739</v>
      </c>
      <c r="B1251" s="52"/>
      <c r="C1251" t="str" s="52" cm="1">
        <f t="array" ref="C1251">_xlfn.IFERROR((VLOOKUP(A1251,#REF!,2,FALSE)),"")</f>
      </c>
      <c r="D1251" t="s" s="53">
        <v>70</v>
      </c>
      <c r="E1251" t="s" s="53">
        <v>1181</v>
      </c>
      <c r="F1251" s="52"/>
      <c r="G1251" t="s" s="53">
        <v>2260</v>
      </c>
      <c r="H1251" t="s" s="53">
        <v>2260</v>
      </c>
      <c r="I1251" t="s" s="53">
        <v>82</v>
      </c>
      <c r="J1251" t="s" s="53">
        <v>82</v>
      </c>
      <c r="K1251" t="s" s="53">
        <v>82</v>
      </c>
      <c r="L1251" t="s" s="53">
        <v>4733</v>
      </c>
      <c r="M1251" t="s" s="53">
        <v>77</v>
      </c>
      <c r="N1251" t="s" s="53">
        <v>2260</v>
      </c>
      <c r="O1251" s="52"/>
      <c r="P1251" s="52"/>
      <c r="Q1251" t="s" s="53">
        <v>78</v>
      </c>
      <c r="R1251" t="s" s="53">
        <v>83</v>
      </c>
      <c r="S1251" s="52"/>
      <c r="T1251" s="52"/>
      <c r="U1251" s="52"/>
      <c r="V1251" t="s" s="53">
        <v>78</v>
      </c>
      <c r="W1251" s="52"/>
      <c r="X1251" t="s" s="53">
        <v>78</v>
      </c>
      <c r="Y1251" s="52"/>
      <c r="Z1251" t="s" s="53">
        <v>1639</v>
      </c>
      <c r="AA1251" s="52"/>
      <c r="AB1251" t="s" s="53">
        <v>4734</v>
      </c>
      <c r="AC1251" s="52"/>
      <c r="AD1251" s="52"/>
      <c r="AE1251" s="52"/>
      <c r="AF1251" t="s" s="53">
        <v>2260</v>
      </c>
      <c r="AG1251" t="s" s="53">
        <v>299</v>
      </c>
      <c r="AH1251" t="s" s="53">
        <v>114</v>
      </c>
      <c r="AI1251" t="s" s="53">
        <v>332</v>
      </c>
      <c r="AJ1251" t="s" s="53">
        <v>827</v>
      </c>
      <c r="AK1251" t="s" s="53">
        <v>83</v>
      </c>
      <c r="AL1251" t="s" s="53">
        <v>293</v>
      </c>
      <c r="AM1251" t="s" s="53">
        <v>294</v>
      </c>
      <c r="AN1251" s="52"/>
      <c r="AO1251" s="56">
        <v>2</v>
      </c>
      <c r="AP1251" s="56">
        <v>16384</v>
      </c>
      <c r="AQ1251" s="56">
        <v>278627</v>
      </c>
      <c r="AR1251" s="56">
        <v>28271</v>
      </c>
      <c r="AS1251" t="s" s="53">
        <v>3940</v>
      </c>
      <c r="AT1251" s="52"/>
      <c r="AU1251" s="52"/>
      <c r="AV1251" s="52"/>
      <c r="AW1251" s="52"/>
      <c r="AX1251" s="52"/>
      <c r="AY1251" s="52"/>
      <c r="AZ1251" s="52"/>
      <c r="BA1251" s="52"/>
      <c r="BB1251" s="52"/>
      <c r="BC1251" s="52"/>
      <c r="BD1251" t="s" s="53">
        <v>428</v>
      </c>
      <c r="BE1251" t="s" s="53">
        <v>481</v>
      </c>
      <c r="BF1251" s="56">
        <v>2</v>
      </c>
      <c r="BG1251" s="56">
        <v>16</v>
      </c>
      <c r="BH1251" s="52"/>
      <c r="BI1251" s="52"/>
      <c r="BJ1251" s="52"/>
      <c r="BK1251" s="52"/>
      <c r="BL1251" s="52"/>
      <c r="BM1251" s="52"/>
      <c r="BN1251" s="52"/>
      <c r="BO1251" s="54"/>
      <c r="BP1251" s="8"/>
    </row>
    <row r="1252" ht="9" customHeight="1" hidden="1">
      <c r="A1252" t="s" s="47">
        <v>4740</v>
      </c>
      <c r="B1252" s="48"/>
      <c r="C1252" t="str" s="48" cm="1">
        <f t="array" ref="C1252">_xlfn.IFERROR((VLOOKUP(A1252,#REF!,2,FALSE)),"")</f>
      </c>
      <c r="D1252" s="48"/>
      <c r="E1252" t="s" s="49">
        <v>303</v>
      </c>
      <c r="F1252" s="48"/>
      <c r="G1252" t="s" s="49">
        <v>3972</v>
      </c>
      <c r="H1252" t="s" s="49">
        <v>3972</v>
      </c>
      <c r="I1252" t="s" s="49">
        <v>73</v>
      </c>
      <c r="J1252" t="s" s="49">
        <v>74</v>
      </c>
      <c r="K1252" t="s" s="49">
        <v>113</v>
      </c>
      <c r="L1252" t="s" s="49">
        <v>518</v>
      </c>
      <c r="M1252" t="s" s="49">
        <v>77</v>
      </c>
      <c r="N1252" t="s" s="49">
        <v>3972</v>
      </c>
      <c r="O1252" t="s" s="49">
        <v>71</v>
      </c>
      <c r="P1252" s="48"/>
      <c r="Q1252" t="s" s="49">
        <v>78</v>
      </c>
      <c r="R1252" t="s" s="49">
        <v>323</v>
      </c>
      <c r="S1252" s="48"/>
      <c r="T1252" s="48"/>
      <c r="U1252" s="48"/>
      <c r="V1252" t="s" s="49">
        <v>78</v>
      </c>
      <c r="W1252" t="s" s="49">
        <v>4740</v>
      </c>
      <c r="X1252" t="s" s="49">
        <v>69</v>
      </c>
      <c r="Y1252" s="48"/>
      <c r="Z1252" t="s" s="49">
        <v>552</v>
      </c>
      <c r="AA1252" s="48"/>
      <c r="AB1252" t="s" s="49">
        <v>520</v>
      </c>
      <c r="AC1252" s="48"/>
      <c r="AD1252" s="48"/>
      <c r="AE1252" s="48"/>
      <c r="AF1252" t="s" s="49">
        <v>3972</v>
      </c>
      <c r="AG1252" s="48"/>
      <c r="AH1252" t="s" s="49">
        <v>114</v>
      </c>
      <c r="AI1252" t="s" s="49">
        <v>76</v>
      </c>
      <c r="AJ1252" t="s" s="49">
        <v>76</v>
      </c>
      <c r="AK1252" t="s" s="49">
        <v>79</v>
      </c>
      <c r="AL1252" s="48"/>
      <c r="AM1252" s="48"/>
      <c r="AN1252" s="48"/>
      <c r="AO1252" s="48"/>
      <c r="AP1252" s="48"/>
      <c r="AQ1252" s="48"/>
      <c r="AR1252" s="48"/>
      <c r="AS1252" s="48"/>
      <c r="AT1252" s="48"/>
      <c r="AU1252" s="48"/>
      <c r="AV1252" s="48"/>
      <c r="AW1252" s="48"/>
      <c r="AX1252" s="48"/>
      <c r="AY1252" s="48"/>
      <c r="AZ1252" s="48"/>
      <c r="BA1252" s="48"/>
      <c r="BB1252" s="48"/>
      <c r="BC1252" s="48"/>
      <c r="BD1252" t="s" s="49">
        <v>118</v>
      </c>
      <c r="BE1252" s="48"/>
      <c r="BF1252" s="48"/>
      <c r="BG1252" s="48"/>
      <c r="BH1252" s="48"/>
      <c r="BI1252" s="48"/>
      <c r="BJ1252" s="48"/>
      <c r="BK1252" s="48"/>
      <c r="BL1252" s="48"/>
      <c r="BM1252" s="48"/>
      <c r="BN1252" s="48"/>
      <c r="BO1252" s="50"/>
      <c r="BP1252" s="8"/>
    </row>
    <row r="1253" ht="9" customHeight="1" hidden="1">
      <c r="A1253" t="s" s="51">
        <v>4741</v>
      </c>
      <c r="B1253" s="52"/>
      <c r="C1253" t="str" s="52" cm="1">
        <f t="array" ref="C1253">_xlfn.IFERROR((VLOOKUP(A1253,#REF!,2,FALSE)),"")</f>
      </c>
      <c r="D1253" s="52"/>
      <c r="E1253" s="52"/>
      <c r="F1253" s="52"/>
      <c r="G1253" t="s" s="53">
        <v>4742</v>
      </c>
      <c r="H1253" t="s" s="53">
        <v>4742</v>
      </c>
      <c r="I1253" t="s" s="53">
        <v>73</v>
      </c>
      <c r="J1253" t="s" s="53">
        <v>74</v>
      </c>
      <c r="K1253" t="s" s="53">
        <v>210</v>
      </c>
      <c r="L1253" t="s" s="53">
        <v>76</v>
      </c>
      <c r="M1253" t="s" s="53">
        <v>77</v>
      </c>
      <c r="N1253" t="s" s="53">
        <v>4742</v>
      </c>
      <c r="O1253" t="s" s="53">
        <v>71</v>
      </c>
      <c r="P1253" s="52"/>
      <c r="Q1253" t="s" s="53">
        <v>78</v>
      </c>
      <c r="R1253" t="s" s="53">
        <v>71</v>
      </c>
      <c r="S1253" s="52"/>
      <c r="T1253" s="52"/>
      <c r="U1253" s="52"/>
      <c r="V1253" t="s" s="53">
        <v>78</v>
      </c>
      <c r="W1253" t="s" s="53">
        <v>4741</v>
      </c>
      <c r="X1253" t="s" s="53">
        <v>69</v>
      </c>
      <c r="Y1253" s="52"/>
      <c r="Z1253" t="s" s="53">
        <v>76</v>
      </c>
      <c r="AA1253" s="52"/>
      <c r="AB1253" t="s" s="53">
        <v>76</v>
      </c>
      <c r="AC1253" s="52"/>
      <c r="AD1253" s="52"/>
      <c r="AE1253" s="52"/>
      <c r="AF1253" s="52"/>
      <c r="AG1253" s="52"/>
      <c r="AH1253" t="s" s="53">
        <v>106</v>
      </c>
      <c r="AI1253" t="s" s="53">
        <v>76</v>
      </c>
      <c r="AJ1253" t="s" s="53">
        <v>76</v>
      </c>
      <c r="AK1253" t="s" s="53">
        <v>79</v>
      </c>
      <c r="AL1253" s="52"/>
      <c r="AM1253" s="52"/>
      <c r="AN1253" s="52"/>
      <c r="AO1253" s="52"/>
      <c r="AP1253" s="52"/>
      <c r="AQ1253" s="52"/>
      <c r="AR1253" s="52"/>
      <c r="AS1253" s="52"/>
      <c r="AT1253" s="52"/>
      <c r="AU1253" s="52"/>
      <c r="AV1253" s="52"/>
      <c r="AW1253" s="52"/>
      <c r="AX1253" s="52"/>
      <c r="AY1253" s="52"/>
      <c r="AZ1253" s="52"/>
      <c r="BA1253" s="52"/>
      <c r="BB1253" s="52"/>
      <c r="BC1253" s="52"/>
      <c r="BD1253" s="52"/>
      <c r="BE1253" s="52"/>
      <c r="BF1253" s="52"/>
      <c r="BG1253" s="52"/>
      <c r="BH1253" s="52"/>
      <c r="BI1253" s="52"/>
      <c r="BJ1253" s="52"/>
      <c r="BK1253" s="52"/>
      <c r="BL1253" s="52"/>
      <c r="BM1253" s="52"/>
      <c r="BN1253" s="52"/>
      <c r="BO1253" s="54"/>
      <c r="BP1253" s="8"/>
    </row>
    <row r="1254" ht="9" customHeight="1" hidden="1">
      <c r="A1254" t="s" s="47">
        <v>4743</v>
      </c>
      <c r="B1254" s="48"/>
      <c r="C1254" t="str" s="48" cm="1">
        <f t="array" ref="C1254">_xlfn.IFERROR((VLOOKUP(A1254,#REF!,2,FALSE)),"")</f>
      </c>
      <c r="D1254" s="48"/>
      <c r="E1254" t="s" s="49">
        <v>303</v>
      </c>
      <c r="F1254" s="48"/>
      <c r="G1254" t="s" s="49">
        <v>569</v>
      </c>
      <c r="H1254" t="s" s="49">
        <v>492</v>
      </c>
      <c r="I1254" t="s" s="49">
        <v>73</v>
      </c>
      <c r="J1254" t="s" s="49">
        <v>74</v>
      </c>
      <c r="K1254" t="s" s="49">
        <v>113</v>
      </c>
      <c r="L1254" t="s" s="49">
        <v>493</v>
      </c>
      <c r="M1254" t="s" s="49">
        <v>77</v>
      </c>
      <c r="N1254" t="s" s="49">
        <v>571</v>
      </c>
      <c r="O1254" t="s" s="49">
        <v>71</v>
      </c>
      <c r="P1254" s="48"/>
      <c r="Q1254" t="s" s="49">
        <v>78</v>
      </c>
      <c r="R1254" t="s" s="49">
        <v>71</v>
      </c>
      <c r="S1254" s="48"/>
      <c r="T1254" s="48"/>
      <c r="U1254" s="48"/>
      <c r="V1254" t="s" s="49">
        <v>78</v>
      </c>
      <c r="W1254" t="s" s="49">
        <v>4743</v>
      </c>
      <c r="X1254" t="s" s="49">
        <v>69</v>
      </c>
      <c r="Y1254" s="48"/>
      <c r="Z1254" t="s" s="49">
        <v>495</v>
      </c>
      <c r="AA1254" s="48"/>
      <c r="AB1254" t="s" s="49">
        <v>495</v>
      </c>
      <c r="AC1254" s="48"/>
      <c r="AD1254" s="48"/>
      <c r="AE1254" s="48"/>
      <c r="AF1254" t="s" s="49">
        <v>492</v>
      </c>
      <c r="AG1254" s="48"/>
      <c r="AH1254" t="s" s="49">
        <v>114</v>
      </c>
      <c r="AI1254" t="s" s="49">
        <v>76</v>
      </c>
      <c r="AJ1254" t="s" s="49">
        <v>76</v>
      </c>
      <c r="AK1254" t="s" s="49">
        <v>79</v>
      </c>
      <c r="AL1254" s="48"/>
      <c r="AM1254" s="48"/>
      <c r="AN1254" s="48"/>
      <c r="AO1254" s="48"/>
      <c r="AP1254" s="48"/>
      <c r="AQ1254" s="48"/>
      <c r="AR1254" s="48"/>
      <c r="AS1254" s="48"/>
      <c r="AT1254" s="48"/>
      <c r="AU1254" s="48"/>
      <c r="AV1254" s="48"/>
      <c r="AW1254" s="48"/>
      <c r="AX1254" s="48"/>
      <c r="AY1254" s="48"/>
      <c r="AZ1254" s="48"/>
      <c r="BA1254" s="48"/>
      <c r="BB1254" s="48"/>
      <c r="BC1254" s="48"/>
      <c r="BD1254" t="s" s="49">
        <v>118</v>
      </c>
      <c r="BE1254" s="48"/>
      <c r="BF1254" s="48"/>
      <c r="BG1254" s="48"/>
      <c r="BH1254" s="48"/>
      <c r="BI1254" s="48"/>
      <c r="BJ1254" s="48"/>
      <c r="BK1254" s="48"/>
      <c r="BL1254" s="48"/>
      <c r="BM1254" s="48"/>
      <c r="BN1254" s="48"/>
      <c r="BO1254" s="50"/>
      <c r="BP1254" s="8"/>
    </row>
    <row r="1255" ht="9" customHeight="1" hidden="1">
      <c r="A1255" t="s" s="51">
        <v>4744</v>
      </c>
      <c r="B1255" s="52"/>
      <c r="C1255" t="str" s="52" cm="1">
        <f t="array" ref="C1255">_xlfn.IFERROR((VLOOKUP(A1255,#REF!,2,FALSE)),"")</f>
      </c>
      <c r="D1255" t="s" s="53">
        <v>70</v>
      </c>
      <c r="E1255" t="s" s="53">
        <v>71</v>
      </c>
      <c r="F1255" s="52"/>
      <c r="G1255" s="52"/>
      <c r="H1255" s="52"/>
      <c r="I1255" t="s" s="53">
        <v>82</v>
      </c>
      <c r="J1255" t="s" s="53">
        <v>82</v>
      </c>
      <c r="K1255" t="s" s="53">
        <v>82</v>
      </c>
      <c r="L1255" t="s" s="53">
        <v>76</v>
      </c>
      <c r="M1255" t="s" s="53">
        <v>77</v>
      </c>
      <c r="N1255" s="52"/>
      <c r="O1255" t="s" s="53">
        <v>71</v>
      </c>
      <c r="P1255" s="52"/>
      <c r="Q1255" t="s" s="53">
        <v>78</v>
      </c>
      <c r="R1255" t="s" s="53">
        <v>83</v>
      </c>
      <c r="S1255" s="52"/>
      <c r="T1255" s="52"/>
      <c r="U1255" s="52"/>
      <c r="V1255" t="s" s="53">
        <v>78</v>
      </c>
      <c r="W1255" s="52"/>
      <c r="X1255" t="s" s="53">
        <v>78</v>
      </c>
      <c r="Y1255" s="52"/>
      <c r="Z1255" t="s" s="53">
        <v>76</v>
      </c>
      <c r="AA1255" s="52"/>
      <c r="AB1255" t="s" s="53">
        <v>76</v>
      </c>
      <c r="AC1255" s="52"/>
      <c r="AD1255" s="52"/>
      <c r="AE1255" s="52"/>
      <c r="AF1255" s="52"/>
      <c r="AG1255" s="52"/>
      <c r="AH1255" s="52"/>
      <c r="AI1255" t="s" s="53">
        <v>76</v>
      </c>
      <c r="AJ1255" t="s" s="53">
        <v>76</v>
      </c>
      <c r="AK1255" t="s" s="53">
        <v>79</v>
      </c>
      <c r="AL1255" t="s" s="53">
        <v>293</v>
      </c>
      <c r="AM1255" t="s" s="53">
        <v>294</v>
      </c>
      <c r="AN1255" s="52"/>
      <c r="AO1255" s="56">
        <v>4</v>
      </c>
      <c r="AP1255" s="56">
        <v>4128</v>
      </c>
      <c r="AQ1255" s="56">
        <v>260212</v>
      </c>
      <c r="AR1255" s="56">
        <v>48996</v>
      </c>
      <c r="AS1255" t="s" s="53">
        <v>4745</v>
      </c>
      <c r="AT1255" s="52"/>
      <c r="AU1255" s="52"/>
      <c r="AV1255" s="52"/>
      <c r="AW1255" s="52"/>
      <c r="AX1255" s="52"/>
      <c r="AY1255" s="52"/>
      <c r="AZ1255" s="52"/>
      <c r="BA1255" s="52"/>
      <c r="BB1255" s="52"/>
      <c r="BC1255" s="52"/>
      <c r="BD1255" s="52"/>
      <c r="BE1255" s="52"/>
      <c r="BF1255" s="52"/>
      <c r="BG1255" s="52"/>
      <c r="BH1255" s="52"/>
      <c r="BI1255" s="52"/>
      <c r="BJ1255" s="52"/>
      <c r="BK1255" s="52"/>
      <c r="BL1255" s="52"/>
      <c r="BM1255" s="52"/>
      <c r="BN1255" s="52"/>
      <c r="BO1255" s="54"/>
      <c r="BP1255" s="8"/>
    </row>
    <row r="1256" ht="9" customHeight="1" hidden="1">
      <c r="A1256" t="s" s="47">
        <v>4746</v>
      </c>
      <c r="B1256" s="48"/>
      <c r="C1256" t="str" s="48" cm="1">
        <f t="array" ref="C1256">_xlfn.IFERROR((VLOOKUP(A1256,#REF!,2,FALSE)),"")</f>
      </c>
      <c r="D1256" s="48"/>
      <c r="E1256" t="s" s="49">
        <v>195</v>
      </c>
      <c r="F1256" s="48"/>
      <c r="G1256" t="s" s="49">
        <v>4747</v>
      </c>
      <c r="H1256" t="s" s="49">
        <v>4748</v>
      </c>
      <c r="I1256" t="s" s="49">
        <v>73</v>
      </c>
      <c r="J1256" t="s" s="49">
        <v>74</v>
      </c>
      <c r="K1256" t="s" s="49">
        <v>113</v>
      </c>
      <c r="L1256" t="s" s="49">
        <v>76</v>
      </c>
      <c r="M1256" t="s" s="49">
        <v>77</v>
      </c>
      <c r="N1256" t="s" s="49">
        <v>4747</v>
      </c>
      <c r="O1256" t="s" s="49">
        <v>71</v>
      </c>
      <c r="P1256" s="48"/>
      <c r="Q1256" t="s" s="49">
        <v>78</v>
      </c>
      <c r="R1256" t="s" s="49">
        <v>71</v>
      </c>
      <c r="S1256" s="48"/>
      <c r="T1256" s="48"/>
      <c r="U1256" s="48"/>
      <c r="V1256" t="s" s="49">
        <v>78</v>
      </c>
      <c r="W1256" t="s" s="49">
        <v>4746</v>
      </c>
      <c r="X1256" t="s" s="49">
        <v>69</v>
      </c>
      <c r="Y1256" s="48"/>
      <c r="Z1256" t="s" s="49">
        <v>76</v>
      </c>
      <c r="AA1256" s="48"/>
      <c r="AB1256" t="s" s="49">
        <v>76</v>
      </c>
      <c r="AC1256" s="48"/>
      <c r="AD1256" s="48"/>
      <c r="AE1256" s="48"/>
      <c r="AF1256" s="48"/>
      <c r="AG1256" s="48"/>
      <c r="AH1256" s="48"/>
      <c r="AI1256" t="s" s="49">
        <v>76</v>
      </c>
      <c r="AJ1256" t="s" s="49">
        <v>76</v>
      </c>
      <c r="AK1256" t="s" s="49">
        <v>79</v>
      </c>
      <c r="AL1256" s="48"/>
      <c r="AM1256" t="s" s="49">
        <v>196</v>
      </c>
      <c r="AN1256" s="48"/>
      <c r="AO1256" s="48"/>
      <c r="AP1256" s="48"/>
      <c r="AQ1256" s="48"/>
      <c r="AR1256" s="48"/>
      <c r="AS1256" s="48"/>
      <c r="AT1256" s="48"/>
      <c r="AU1256" s="48"/>
      <c r="AV1256" s="48"/>
      <c r="AW1256" s="48"/>
      <c r="AX1256" s="48"/>
      <c r="AY1256" s="48"/>
      <c r="AZ1256" s="48"/>
      <c r="BA1256" s="48"/>
      <c r="BB1256" s="48"/>
      <c r="BC1256" s="48"/>
      <c r="BD1256" s="48"/>
      <c r="BE1256" s="48"/>
      <c r="BF1256" s="48"/>
      <c r="BG1256" s="48"/>
      <c r="BH1256" s="48"/>
      <c r="BI1256" s="48"/>
      <c r="BJ1256" s="48"/>
      <c r="BK1256" s="48"/>
      <c r="BL1256" s="48"/>
      <c r="BM1256" s="48"/>
      <c r="BN1256" s="48"/>
      <c r="BO1256" s="50"/>
      <c r="BP1256" s="8"/>
    </row>
    <row r="1257" ht="9" customHeight="1" hidden="1">
      <c r="A1257" t="s" s="51">
        <v>4749</v>
      </c>
      <c r="B1257" s="52"/>
      <c r="C1257" t="str" s="52" cm="1">
        <f t="array" ref="C1257">_xlfn.IFERROR((VLOOKUP(A1257,#REF!,2,FALSE)),"")</f>
      </c>
      <c r="D1257" s="52"/>
      <c r="E1257" t="s" s="53">
        <v>195</v>
      </c>
      <c r="F1257" s="52"/>
      <c r="G1257" t="s" s="53">
        <v>4750</v>
      </c>
      <c r="H1257" t="s" s="53">
        <v>4751</v>
      </c>
      <c r="I1257" t="s" s="53">
        <v>73</v>
      </c>
      <c r="J1257" t="s" s="53">
        <v>74</v>
      </c>
      <c r="K1257" t="s" s="53">
        <v>113</v>
      </c>
      <c r="L1257" t="s" s="53">
        <v>76</v>
      </c>
      <c r="M1257" t="s" s="53">
        <v>77</v>
      </c>
      <c r="N1257" t="s" s="53">
        <v>4750</v>
      </c>
      <c r="O1257" t="s" s="53">
        <v>71</v>
      </c>
      <c r="P1257" s="52"/>
      <c r="Q1257" t="s" s="53">
        <v>78</v>
      </c>
      <c r="R1257" t="s" s="53">
        <v>71</v>
      </c>
      <c r="S1257" s="52"/>
      <c r="T1257" s="52"/>
      <c r="U1257" s="52"/>
      <c r="V1257" t="s" s="53">
        <v>78</v>
      </c>
      <c r="W1257" t="s" s="53">
        <v>4749</v>
      </c>
      <c r="X1257" t="s" s="53">
        <v>69</v>
      </c>
      <c r="Y1257" s="52"/>
      <c r="Z1257" t="s" s="53">
        <v>76</v>
      </c>
      <c r="AA1257" s="52"/>
      <c r="AB1257" t="s" s="53">
        <v>76</v>
      </c>
      <c r="AC1257" s="52"/>
      <c r="AD1257" s="52"/>
      <c r="AE1257" s="52"/>
      <c r="AF1257" s="52"/>
      <c r="AG1257" s="52"/>
      <c r="AH1257" s="52"/>
      <c r="AI1257" t="s" s="53">
        <v>76</v>
      </c>
      <c r="AJ1257" t="s" s="53">
        <v>76</v>
      </c>
      <c r="AK1257" t="s" s="53">
        <v>79</v>
      </c>
      <c r="AL1257" s="52"/>
      <c r="AM1257" t="s" s="53">
        <v>196</v>
      </c>
      <c r="AN1257" s="52"/>
      <c r="AO1257" s="52"/>
      <c r="AP1257" s="52"/>
      <c r="AQ1257" s="52"/>
      <c r="AR1257" s="52"/>
      <c r="AS1257" s="52"/>
      <c r="AT1257" s="52"/>
      <c r="AU1257" s="52"/>
      <c r="AV1257" s="52"/>
      <c r="AW1257" s="52"/>
      <c r="AX1257" s="52"/>
      <c r="AY1257" s="52"/>
      <c r="AZ1257" s="52"/>
      <c r="BA1257" s="52"/>
      <c r="BB1257" s="52"/>
      <c r="BC1257" s="52"/>
      <c r="BD1257" s="52"/>
      <c r="BE1257" s="52"/>
      <c r="BF1257" s="52"/>
      <c r="BG1257" s="52"/>
      <c r="BH1257" s="52"/>
      <c r="BI1257" s="52"/>
      <c r="BJ1257" s="52"/>
      <c r="BK1257" s="52"/>
      <c r="BL1257" s="52"/>
      <c r="BM1257" s="52"/>
      <c r="BN1257" s="52"/>
      <c r="BO1257" s="54"/>
      <c r="BP1257" s="8"/>
    </row>
    <row r="1258" ht="9" customHeight="1" hidden="1">
      <c r="A1258" t="s" s="47">
        <v>4752</v>
      </c>
      <c r="B1258" s="48"/>
      <c r="C1258" t="str" s="48" cm="1">
        <f t="array" ref="C1258">_xlfn.IFERROR((VLOOKUP(A1258,#REF!,2,FALSE)),"")</f>
      </c>
      <c r="D1258" s="48"/>
      <c r="E1258" t="s" s="49">
        <v>195</v>
      </c>
      <c r="F1258" s="48"/>
      <c r="G1258" t="s" s="49">
        <v>4753</v>
      </c>
      <c r="H1258" t="s" s="49">
        <v>4754</v>
      </c>
      <c r="I1258" t="s" s="49">
        <v>73</v>
      </c>
      <c r="J1258" t="s" s="49">
        <v>74</v>
      </c>
      <c r="K1258" t="s" s="49">
        <v>140</v>
      </c>
      <c r="L1258" t="s" s="49">
        <v>76</v>
      </c>
      <c r="M1258" t="s" s="49">
        <v>77</v>
      </c>
      <c r="N1258" t="s" s="49">
        <v>4753</v>
      </c>
      <c r="O1258" t="s" s="49">
        <v>71</v>
      </c>
      <c r="P1258" s="48"/>
      <c r="Q1258" t="s" s="49">
        <v>78</v>
      </c>
      <c r="R1258" t="s" s="49">
        <v>71</v>
      </c>
      <c r="S1258" s="48"/>
      <c r="T1258" s="48"/>
      <c r="U1258" s="48"/>
      <c r="V1258" t="s" s="49">
        <v>78</v>
      </c>
      <c r="W1258" t="s" s="49">
        <v>4752</v>
      </c>
      <c r="X1258" t="s" s="49">
        <v>69</v>
      </c>
      <c r="Y1258" s="48"/>
      <c r="Z1258" t="s" s="49">
        <v>76</v>
      </c>
      <c r="AA1258" s="48"/>
      <c r="AB1258" t="s" s="49">
        <v>76</v>
      </c>
      <c r="AC1258" s="48"/>
      <c r="AD1258" s="48"/>
      <c r="AE1258" s="48"/>
      <c r="AF1258" s="48"/>
      <c r="AG1258" s="48"/>
      <c r="AH1258" t="s" s="49">
        <v>114</v>
      </c>
      <c r="AI1258" t="s" s="49">
        <v>76</v>
      </c>
      <c r="AJ1258" t="s" s="49">
        <v>76</v>
      </c>
      <c r="AK1258" t="s" s="49">
        <v>79</v>
      </c>
      <c r="AL1258" s="48"/>
      <c r="AM1258" t="s" s="49">
        <v>196</v>
      </c>
      <c r="AN1258" s="48"/>
      <c r="AO1258" s="48"/>
      <c r="AP1258" s="48"/>
      <c r="AQ1258" s="48"/>
      <c r="AR1258" s="48"/>
      <c r="AS1258" s="48"/>
      <c r="AT1258" s="48"/>
      <c r="AU1258" s="48"/>
      <c r="AV1258" s="48"/>
      <c r="AW1258" s="48"/>
      <c r="AX1258" s="48"/>
      <c r="AY1258" s="48"/>
      <c r="AZ1258" s="48"/>
      <c r="BA1258" s="48"/>
      <c r="BB1258" s="48"/>
      <c r="BC1258" s="48"/>
      <c r="BD1258" t="s" s="49">
        <v>118</v>
      </c>
      <c r="BE1258" s="48"/>
      <c r="BF1258" s="48"/>
      <c r="BG1258" s="48"/>
      <c r="BH1258" s="48"/>
      <c r="BI1258" s="48"/>
      <c r="BJ1258" s="48"/>
      <c r="BK1258" s="48"/>
      <c r="BL1258" s="48"/>
      <c r="BM1258" s="48"/>
      <c r="BN1258" s="48"/>
      <c r="BO1258" s="50"/>
      <c r="BP1258" s="8"/>
    </row>
    <row r="1259" ht="9" customHeight="1" hidden="1">
      <c r="A1259" t="s" s="51">
        <v>4755</v>
      </c>
      <c r="B1259" s="52"/>
      <c r="C1259" t="str" s="52" cm="1">
        <f t="array" ref="C1259">_xlfn.IFERROR((VLOOKUP(A1259,#REF!,2,FALSE)),"")</f>
      </c>
      <c r="D1259" s="52"/>
      <c r="E1259" t="s" s="53">
        <v>2974</v>
      </c>
      <c r="F1259" s="52"/>
      <c r="G1259" t="s" s="53">
        <v>4756</v>
      </c>
      <c r="H1259" t="s" s="53">
        <v>4756</v>
      </c>
      <c r="I1259" t="s" s="53">
        <v>82</v>
      </c>
      <c r="J1259" t="s" s="53">
        <v>82</v>
      </c>
      <c r="K1259" t="s" s="53">
        <v>82</v>
      </c>
      <c r="L1259" t="s" s="53">
        <v>76</v>
      </c>
      <c r="M1259" t="s" s="53">
        <v>77</v>
      </c>
      <c r="N1259" s="52"/>
      <c r="O1259" s="52"/>
      <c r="P1259" s="52"/>
      <c r="Q1259" t="s" s="53">
        <v>78</v>
      </c>
      <c r="R1259" t="s" s="53">
        <v>83</v>
      </c>
      <c r="S1259" s="52"/>
      <c r="T1259" s="52"/>
      <c r="U1259" s="52"/>
      <c r="V1259" t="s" s="53">
        <v>78</v>
      </c>
      <c r="W1259" s="52"/>
      <c r="X1259" t="s" s="53">
        <v>78</v>
      </c>
      <c r="Y1259" s="52"/>
      <c r="Z1259" t="s" s="53">
        <v>76</v>
      </c>
      <c r="AA1259" s="52"/>
      <c r="AB1259" t="s" s="53">
        <v>76</v>
      </c>
      <c r="AC1259" s="52"/>
      <c r="AD1259" s="52"/>
      <c r="AE1259" s="52"/>
      <c r="AF1259" s="52"/>
      <c r="AG1259" s="52"/>
      <c r="AH1259" s="52"/>
      <c r="AI1259" t="s" s="53">
        <v>76</v>
      </c>
      <c r="AJ1259" t="s" s="53">
        <v>76</v>
      </c>
      <c r="AK1259" t="s" s="53">
        <v>79</v>
      </c>
      <c r="AL1259" t="s" s="53">
        <v>293</v>
      </c>
      <c r="AM1259" t="s" s="53">
        <v>294</v>
      </c>
      <c r="AN1259" s="52"/>
      <c r="AO1259" s="56">
        <v>2</v>
      </c>
      <c r="AP1259" s="56">
        <v>8192</v>
      </c>
      <c r="AQ1259" s="56">
        <v>215123</v>
      </c>
      <c r="AR1259" s="56">
        <v>215123</v>
      </c>
      <c r="AS1259" t="s" s="53">
        <v>4757</v>
      </c>
      <c r="AT1259" s="52"/>
      <c r="AU1259" s="52"/>
      <c r="AV1259" s="52"/>
      <c r="AW1259" s="52"/>
      <c r="AX1259" s="52"/>
      <c r="AY1259" s="52"/>
      <c r="AZ1259" s="52"/>
      <c r="BA1259" s="52"/>
      <c r="BB1259" s="52"/>
      <c r="BC1259" s="52"/>
      <c r="BD1259" s="52"/>
      <c r="BE1259" s="52"/>
      <c r="BF1259" s="52"/>
      <c r="BG1259" s="52"/>
      <c r="BH1259" s="52"/>
      <c r="BI1259" s="52"/>
      <c r="BJ1259" s="52"/>
      <c r="BK1259" s="52"/>
      <c r="BL1259" s="52"/>
      <c r="BM1259" s="52"/>
      <c r="BN1259" s="52"/>
      <c r="BO1259" s="54"/>
      <c r="BP1259" s="8"/>
    </row>
    <row r="1260" ht="9" customHeight="1" hidden="1">
      <c r="A1260" t="s" s="47">
        <v>4758</v>
      </c>
      <c r="B1260" s="48"/>
      <c r="C1260" t="str" s="48" cm="1">
        <f t="array" ref="C1260">_xlfn.IFERROR((VLOOKUP(A1260,#REF!,2,FALSE)),"")</f>
      </c>
      <c r="D1260" t="s" s="49">
        <v>70</v>
      </c>
      <c r="E1260" t="s" s="49">
        <v>261</v>
      </c>
      <c r="F1260" s="48"/>
      <c r="G1260" s="48"/>
      <c r="H1260" s="48"/>
      <c r="I1260" t="s" s="49">
        <v>111</v>
      </c>
      <c r="J1260" t="s" s="49">
        <v>122</v>
      </c>
      <c r="K1260" t="s" s="49">
        <v>127</v>
      </c>
      <c r="L1260" t="s" s="49">
        <v>76</v>
      </c>
      <c r="M1260" t="s" s="49">
        <v>77</v>
      </c>
      <c r="N1260" s="48"/>
      <c r="O1260" s="48"/>
      <c r="P1260" s="48"/>
      <c r="Q1260" t="s" s="49">
        <v>69</v>
      </c>
      <c r="R1260" t="s" s="49">
        <v>83</v>
      </c>
      <c r="S1260" s="48"/>
      <c r="T1260" s="48"/>
      <c r="U1260" s="48"/>
      <c r="V1260" t="s" s="49">
        <v>69</v>
      </c>
      <c r="W1260" s="48"/>
      <c r="X1260" t="s" s="49">
        <v>78</v>
      </c>
      <c r="Y1260" s="48"/>
      <c r="Z1260" t="s" s="49">
        <v>76</v>
      </c>
      <c r="AA1260" s="48"/>
      <c r="AB1260" t="s" s="49">
        <v>76</v>
      </c>
      <c r="AC1260" t="s" s="49">
        <v>4758</v>
      </c>
      <c r="AD1260" s="48"/>
      <c r="AE1260" s="48"/>
      <c r="AF1260" s="48"/>
      <c r="AG1260" s="48"/>
      <c r="AH1260" s="48"/>
      <c r="AI1260" t="s" s="49">
        <v>76</v>
      </c>
      <c r="AJ1260" t="s" s="49">
        <v>76</v>
      </c>
      <c r="AK1260" t="s" s="49">
        <v>79</v>
      </c>
      <c r="AL1260" s="48"/>
      <c r="AM1260" s="48"/>
      <c r="AN1260" t="s" s="49">
        <v>128</v>
      </c>
      <c r="AO1260" s="48"/>
      <c r="AP1260" s="48"/>
      <c r="AQ1260" s="48"/>
      <c r="AR1260" s="48"/>
      <c r="AS1260" t="s" s="49">
        <v>4759</v>
      </c>
      <c r="AT1260" s="48"/>
      <c r="AU1260" s="48"/>
      <c r="AV1260" s="48"/>
      <c r="AW1260" s="48"/>
      <c r="AX1260" s="48"/>
      <c r="AY1260" s="48"/>
      <c r="AZ1260" s="48"/>
      <c r="BA1260" s="48"/>
      <c r="BB1260" s="48"/>
      <c r="BC1260" s="48"/>
      <c r="BD1260" s="48"/>
      <c r="BE1260" s="48"/>
      <c r="BF1260" s="48"/>
      <c r="BG1260" s="48"/>
      <c r="BH1260" s="48"/>
      <c r="BI1260" s="48"/>
      <c r="BJ1260" s="48"/>
      <c r="BK1260" s="48"/>
      <c r="BL1260" s="48"/>
      <c r="BM1260" s="48"/>
      <c r="BN1260" s="48"/>
      <c r="BO1260" s="50"/>
      <c r="BP1260" s="8"/>
    </row>
    <row r="1261" ht="9" customHeight="1" hidden="1">
      <c r="A1261" t="s" s="51">
        <v>4760</v>
      </c>
      <c r="B1261" s="52"/>
      <c r="C1261" t="str" s="52" cm="1">
        <f t="array" ref="C1261">_xlfn.IFERROR((VLOOKUP(A1261,#REF!,2,FALSE)),"")</f>
      </c>
      <c r="D1261" s="52"/>
      <c r="E1261" s="52"/>
      <c r="F1261" s="52"/>
      <c r="G1261" s="52"/>
      <c r="H1261" s="52"/>
      <c r="I1261" t="s" s="53">
        <v>82</v>
      </c>
      <c r="J1261" t="s" s="53">
        <v>82</v>
      </c>
      <c r="K1261" t="s" s="53">
        <v>82</v>
      </c>
      <c r="L1261" t="s" s="53">
        <v>76</v>
      </c>
      <c r="M1261" t="s" s="53">
        <v>77</v>
      </c>
      <c r="N1261" s="52"/>
      <c r="O1261" s="52"/>
      <c r="P1261" s="52"/>
      <c r="Q1261" t="s" s="53">
        <v>78</v>
      </c>
      <c r="R1261" t="s" s="53">
        <v>83</v>
      </c>
      <c r="S1261" s="52"/>
      <c r="T1261" s="52"/>
      <c r="U1261" s="52"/>
      <c r="V1261" t="s" s="53">
        <v>78</v>
      </c>
      <c r="W1261" s="52"/>
      <c r="X1261" t="s" s="53">
        <v>78</v>
      </c>
      <c r="Y1261" s="52"/>
      <c r="Z1261" t="s" s="53">
        <v>76</v>
      </c>
      <c r="AA1261" s="52"/>
      <c r="AB1261" t="s" s="53">
        <v>76</v>
      </c>
      <c r="AC1261" s="52"/>
      <c r="AD1261" s="52"/>
      <c r="AE1261" s="52"/>
      <c r="AF1261" s="52"/>
      <c r="AG1261" s="52"/>
      <c r="AH1261" s="52"/>
      <c r="AI1261" t="s" s="53">
        <v>76</v>
      </c>
      <c r="AJ1261" t="s" s="53">
        <v>76</v>
      </c>
      <c r="AK1261" t="s" s="53">
        <v>79</v>
      </c>
      <c r="AL1261" t="s" s="53">
        <v>293</v>
      </c>
      <c r="AM1261" t="s" s="53">
        <v>294</v>
      </c>
      <c r="AN1261" s="52"/>
      <c r="AO1261" s="56">
        <v>4</v>
      </c>
      <c r="AP1261" s="56">
        <v>8192</v>
      </c>
      <c r="AQ1261" s="56">
        <v>92247</v>
      </c>
      <c r="AR1261" s="56">
        <v>92247</v>
      </c>
      <c r="AS1261" t="s" s="53">
        <v>4761</v>
      </c>
      <c r="AT1261" s="52"/>
      <c r="AU1261" s="52"/>
      <c r="AV1261" s="52"/>
      <c r="AW1261" s="52"/>
      <c r="AX1261" s="52"/>
      <c r="AY1261" s="52"/>
      <c r="AZ1261" s="52"/>
      <c r="BA1261" s="52"/>
      <c r="BB1261" s="52"/>
      <c r="BC1261" s="52"/>
      <c r="BD1261" s="52"/>
      <c r="BE1261" s="52"/>
      <c r="BF1261" s="52"/>
      <c r="BG1261" s="52"/>
      <c r="BH1261" s="52"/>
      <c r="BI1261" s="52"/>
      <c r="BJ1261" s="52"/>
      <c r="BK1261" s="52"/>
      <c r="BL1261" s="52"/>
      <c r="BM1261" s="52"/>
      <c r="BN1261" s="52"/>
      <c r="BO1261" s="54"/>
      <c r="BP1261" s="8"/>
    </row>
    <row r="1262" ht="9" customHeight="1" hidden="1">
      <c r="A1262" t="s" s="47">
        <v>4762</v>
      </c>
      <c r="B1262" s="48"/>
      <c r="C1262" t="str" s="48" cm="1">
        <f t="array" ref="C1262">_xlfn.IFERROR((VLOOKUP(A1262,#REF!,2,FALSE)),"")</f>
      </c>
      <c r="D1262" s="48"/>
      <c r="E1262" s="48"/>
      <c r="F1262" s="48"/>
      <c r="G1262" s="48"/>
      <c r="H1262" s="48"/>
      <c r="I1262" t="s" s="49">
        <v>82</v>
      </c>
      <c r="J1262" t="s" s="49">
        <v>82</v>
      </c>
      <c r="K1262" t="s" s="49">
        <v>82</v>
      </c>
      <c r="L1262" t="s" s="49">
        <v>76</v>
      </c>
      <c r="M1262" t="s" s="49">
        <v>77</v>
      </c>
      <c r="N1262" s="48"/>
      <c r="O1262" s="48"/>
      <c r="P1262" s="48"/>
      <c r="Q1262" t="s" s="49">
        <v>78</v>
      </c>
      <c r="R1262" t="s" s="49">
        <v>83</v>
      </c>
      <c r="S1262" s="48"/>
      <c r="T1262" s="48"/>
      <c r="U1262" s="48"/>
      <c r="V1262" t="s" s="49">
        <v>78</v>
      </c>
      <c r="W1262" s="48"/>
      <c r="X1262" t="s" s="49">
        <v>78</v>
      </c>
      <c r="Y1262" s="48"/>
      <c r="Z1262" t="s" s="49">
        <v>76</v>
      </c>
      <c r="AA1262" s="48"/>
      <c r="AB1262" t="s" s="49">
        <v>76</v>
      </c>
      <c r="AC1262" s="48"/>
      <c r="AD1262" s="48"/>
      <c r="AE1262" s="48"/>
      <c r="AF1262" s="48"/>
      <c r="AG1262" s="48"/>
      <c r="AH1262" s="48"/>
      <c r="AI1262" t="s" s="49">
        <v>76</v>
      </c>
      <c r="AJ1262" t="s" s="49">
        <v>76</v>
      </c>
      <c r="AK1262" t="s" s="49">
        <v>79</v>
      </c>
      <c r="AL1262" t="s" s="49">
        <v>293</v>
      </c>
      <c r="AM1262" t="s" s="49">
        <v>294</v>
      </c>
      <c r="AN1262" s="48"/>
      <c r="AO1262" s="55">
        <v>4</v>
      </c>
      <c r="AP1262" s="55">
        <v>8192</v>
      </c>
      <c r="AQ1262" s="55">
        <v>264278</v>
      </c>
      <c r="AR1262" s="55">
        <v>264278</v>
      </c>
      <c r="AS1262" t="s" s="49">
        <v>4763</v>
      </c>
      <c r="AT1262" s="48"/>
      <c r="AU1262" s="48"/>
      <c r="AV1262" s="48"/>
      <c r="AW1262" s="48"/>
      <c r="AX1262" s="48"/>
      <c r="AY1262" s="48"/>
      <c r="AZ1262" s="48"/>
      <c r="BA1262" s="48"/>
      <c r="BB1262" s="48"/>
      <c r="BC1262" s="48"/>
      <c r="BD1262" s="48"/>
      <c r="BE1262" s="48"/>
      <c r="BF1262" s="48"/>
      <c r="BG1262" s="48"/>
      <c r="BH1262" s="48"/>
      <c r="BI1262" s="48"/>
      <c r="BJ1262" s="48"/>
      <c r="BK1262" s="48"/>
      <c r="BL1262" s="48"/>
      <c r="BM1262" s="48"/>
      <c r="BN1262" s="48"/>
      <c r="BO1262" s="50"/>
      <c r="BP1262" s="8"/>
    </row>
    <row r="1263" ht="9" customHeight="1" hidden="1">
      <c r="A1263" t="s" s="51">
        <v>4764</v>
      </c>
      <c r="B1263" s="52"/>
      <c r="C1263" t="str" s="52" cm="1">
        <f t="array" ref="C1263">_xlfn.IFERROR((VLOOKUP(A1263,#REF!,2,FALSE)),"")</f>
      </c>
      <c r="D1263" s="52"/>
      <c r="E1263" t="s" s="53">
        <v>71</v>
      </c>
      <c r="F1263" s="52"/>
      <c r="G1263" s="52"/>
      <c r="H1263" s="52"/>
      <c r="I1263" t="s" s="53">
        <v>73</v>
      </c>
      <c r="J1263" t="s" s="53">
        <v>122</v>
      </c>
      <c r="K1263" t="s" s="53">
        <v>140</v>
      </c>
      <c r="L1263" t="s" s="53">
        <v>76</v>
      </c>
      <c r="M1263" t="s" s="53">
        <v>77</v>
      </c>
      <c r="N1263" s="52"/>
      <c r="O1263" t="s" s="53">
        <v>71</v>
      </c>
      <c r="P1263" s="52"/>
      <c r="Q1263" t="s" s="53">
        <v>78</v>
      </c>
      <c r="R1263" t="s" s="53">
        <v>71</v>
      </c>
      <c r="S1263" s="52"/>
      <c r="T1263" s="52"/>
      <c r="U1263" s="52"/>
      <c r="V1263" t="s" s="53">
        <v>78</v>
      </c>
      <c r="W1263" t="s" s="53">
        <v>4764</v>
      </c>
      <c r="X1263" t="s" s="53">
        <v>78</v>
      </c>
      <c r="Y1263" s="52"/>
      <c r="Z1263" t="s" s="53">
        <v>76</v>
      </c>
      <c r="AA1263" s="52"/>
      <c r="AB1263" t="s" s="53">
        <v>76</v>
      </c>
      <c r="AC1263" s="52"/>
      <c r="AD1263" s="52"/>
      <c r="AE1263" s="52"/>
      <c r="AF1263" s="52"/>
      <c r="AG1263" s="52"/>
      <c r="AH1263" s="52"/>
      <c r="AI1263" t="s" s="53">
        <v>76</v>
      </c>
      <c r="AJ1263" t="s" s="53">
        <v>76</v>
      </c>
      <c r="AK1263" t="s" s="53">
        <v>79</v>
      </c>
      <c r="AL1263" s="52"/>
      <c r="AM1263" s="52"/>
      <c r="AN1263" s="52"/>
      <c r="AO1263" s="52"/>
      <c r="AP1263" s="52"/>
      <c r="AQ1263" s="52"/>
      <c r="AR1263" s="52"/>
      <c r="AS1263" s="52"/>
      <c r="AT1263" s="52"/>
      <c r="AU1263" s="52"/>
      <c r="AV1263" s="52"/>
      <c r="AW1263" s="52"/>
      <c r="AX1263" s="52"/>
      <c r="AY1263" s="52"/>
      <c r="AZ1263" s="52"/>
      <c r="BA1263" s="52"/>
      <c r="BB1263" s="52"/>
      <c r="BC1263" s="52"/>
      <c r="BD1263" s="52"/>
      <c r="BE1263" s="52"/>
      <c r="BF1263" s="52"/>
      <c r="BG1263" s="52"/>
      <c r="BH1263" s="52"/>
      <c r="BI1263" s="52"/>
      <c r="BJ1263" s="52"/>
      <c r="BK1263" s="52"/>
      <c r="BL1263" s="52"/>
      <c r="BM1263" s="52"/>
      <c r="BN1263" s="52"/>
      <c r="BO1263" s="54"/>
      <c r="BP1263" s="8"/>
    </row>
    <row r="1264" ht="9" customHeight="1" hidden="1">
      <c r="A1264" t="s" s="47">
        <v>4765</v>
      </c>
      <c r="B1264" s="48"/>
      <c r="C1264" t="str" s="48" cm="1">
        <f t="array" ref="C1264">_xlfn.IFERROR((VLOOKUP(A1264,#REF!,2,FALSE)),"")</f>
      </c>
      <c r="D1264" s="48"/>
      <c r="E1264" t="s" s="49">
        <v>4766</v>
      </c>
      <c r="F1264" s="48"/>
      <c r="G1264" t="s" s="49">
        <v>917</v>
      </c>
      <c r="H1264" t="s" s="49">
        <v>4767</v>
      </c>
      <c r="I1264" t="s" s="49">
        <v>82</v>
      </c>
      <c r="J1264" t="s" s="49">
        <v>82</v>
      </c>
      <c r="K1264" t="s" s="49">
        <v>82</v>
      </c>
      <c r="L1264" t="s" s="49">
        <v>76</v>
      </c>
      <c r="M1264" s="48"/>
      <c r="N1264" s="48"/>
      <c r="O1264" s="48"/>
      <c r="P1264" s="48"/>
      <c r="Q1264" t="s" s="49">
        <v>78</v>
      </c>
      <c r="R1264" t="s" s="49">
        <v>83</v>
      </c>
      <c r="S1264" s="48"/>
      <c r="T1264" s="48"/>
      <c r="U1264" s="48"/>
      <c r="V1264" t="s" s="49">
        <v>78</v>
      </c>
      <c r="W1264" s="48"/>
      <c r="X1264" t="s" s="49">
        <v>78</v>
      </c>
      <c r="Y1264" s="48"/>
      <c r="Z1264" t="s" s="49">
        <v>76</v>
      </c>
      <c r="AA1264" t="s" s="49">
        <v>4768</v>
      </c>
      <c r="AB1264" t="s" s="49">
        <v>76</v>
      </c>
      <c r="AC1264" s="48"/>
      <c r="AD1264" s="48"/>
      <c r="AE1264" s="48"/>
      <c r="AF1264" s="48"/>
      <c r="AG1264" t="s" s="49">
        <v>4715</v>
      </c>
      <c r="AH1264" t="s" s="49">
        <v>4769</v>
      </c>
      <c r="AI1264" t="s" s="49">
        <v>76</v>
      </c>
      <c r="AJ1264" t="s" s="49">
        <v>76</v>
      </c>
      <c r="AK1264" t="s" s="49">
        <v>1195</v>
      </c>
      <c r="AL1264" t="s" s="49">
        <v>293</v>
      </c>
      <c r="AM1264" t="s" s="49">
        <v>294</v>
      </c>
      <c r="AN1264" t="s" s="49">
        <v>4770</v>
      </c>
      <c r="AO1264" s="55">
        <v>2</v>
      </c>
      <c r="AP1264" s="55">
        <v>4</v>
      </c>
      <c r="AQ1264" s="55">
        <v>120</v>
      </c>
      <c r="AR1264" s="55">
        <v>18</v>
      </c>
      <c r="AS1264" t="s" s="49">
        <v>4771</v>
      </c>
      <c r="AT1264" t="s" s="49">
        <v>4720</v>
      </c>
      <c r="AU1264" t="s" s="49">
        <v>4721</v>
      </c>
      <c r="AV1264" s="48"/>
      <c r="AW1264" t="s" s="49">
        <v>4772</v>
      </c>
      <c r="AX1264" t="s" s="49">
        <v>4720</v>
      </c>
      <c r="AY1264" t="s" s="49">
        <v>4773</v>
      </c>
      <c r="AZ1264" t="s" s="49">
        <v>4774</v>
      </c>
      <c r="BA1264" t="s" s="49">
        <v>1231</v>
      </c>
      <c r="BB1264" t="s" s="49">
        <v>4723</v>
      </c>
      <c r="BC1264" t="s" s="49">
        <v>4775</v>
      </c>
      <c r="BD1264" s="48"/>
      <c r="BE1264" s="48"/>
      <c r="BF1264" s="48"/>
      <c r="BG1264" s="48"/>
      <c r="BH1264" s="48"/>
      <c r="BI1264" s="48"/>
      <c r="BJ1264" s="48"/>
      <c r="BK1264" s="48"/>
      <c r="BL1264" s="48"/>
      <c r="BM1264" t="s" s="49">
        <v>1234</v>
      </c>
      <c r="BN1264" s="48"/>
      <c r="BO1264" s="50"/>
      <c r="BP1264" s="8"/>
    </row>
    <row r="1265" ht="9" customHeight="1" hidden="1">
      <c r="A1265" t="s" s="51">
        <v>4776</v>
      </c>
      <c r="B1265" s="52"/>
      <c r="C1265" t="str" s="52" cm="1">
        <f t="array" ref="C1265">_xlfn.IFERROR((VLOOKUP(A1265,#REF!,2,FALSE)),"")</f>
      </c>
      <c r="D1265" s="52"/>
      <c r="E1265" t="s" s="53">
        <v>4777</v>
      </c>
      <c r="F1265" s="52"/>
      <c r="G1265" t="s" s="53">
        <v>3270</v>
      </c>
      <c r="H1265" t="s" s="53">
        <v>4778</v>
      </c>
      <c r="I1265" t="s" s="53">
        <v>82</v>
      </c>
      <c r="J1265" t="s" s="53">
        <v>82</v>
      </c>
      <c r="K1265" t="s" s="53">
        <v>82</v>
      </c>
      <c r="L1265" t="s" s="53">
        <v>76</v>
      </c>
      <c r="M1265" s="52"/>
      <c r="N1265" s="52"/>
      <c r="O1265" s="52"/>
      <c r="P1265" s="52"/>
      <c r="Q1265" s="52"/>
      <c r="R1265" t="s" s="53">
        <v>83</v>
      </c>
      <c r="S1265" s="52"/>
      <c r="T1265" s="52"/>
      <c r="U1265" s="52"/>
      <c r="V1265" s="52"/>
      <c r="W1265" s="52"/>
      <c r="X1265" s="52"/>
      <c r="Y1265" s="52"/>
      <c r="Z1265" t="s" s="53">
        <v>76</v>
      </c>
      <c r="AA1265" s="52"/>
      <c r="AB1265" t="s" s="53">
        <v>76</v>
      </c>
      <c r="AC1265" s="52"/>
      <c r="AD1265" s="52"/>
      <c r="AE1265" s="52"/>
      <c r="AF1265" s="52"/>
      <c r="AG1265" t="s" s="53">
        <v>4715</v>
      </c>
      <c r="AH1265" t="s" s="53">
        <v>4716</v>
      </c>
      <c r="AI1265" t="s" s="53">
        <v>76</v>
      </c>
      <c r="AJ1265" t="s" s="53">
        <v>76</v>
      </c>
      <c r="AK1265" t="s" s="53">
        <v>4717</v>
      </c>
      <c r="AL1265" t="s" s="53">
        <v>293</v>
      </c>
      <c r="AM1265" t="s" s="53">
        <v>294</v>
      </c>
      <c r="AN1265" t="s" s="53">
        <v>4779</v>
      </c>
      <c r="AO1265" s="52"/>
      <c r="AP1265" s="52"/>
      <c r="AQ1265" s="52"/>
      <c r="AR1265" s="52"/>
      <c r="AS1265" t="s" s="53">
        <v>4780</v>
      </c>
      <c r="AT1265" t="s" s="53">
        <v>4720</v>
      </c>
      <c r="AU1265" t="s" s="53">
        <v>4721</v>
      </c>
      <c r="AV1265" t="s" s="53">
        <v>4781</v>
      </c>
      <c r="AW1265" s="52"/>
      <c r="AX1265" s="52"/>
      <c r="AY1265" s="52"/>
      <c r="AZ1265" s="52"/>
      <c r="BA1265" t="s" s="53">
        <v>1231</v>
      </c>
      <c r="BB1265" t="s" s="53">
        <v>4723</v>
      </c>
      <c r="BC1265" t="s" s="53">
        <v>4724</v>
      </c>
      <c r="BD1265" s="52"/>
      <c r="BE1265" s="52"/>
      <c r="BF1265" s="52"/>
      <c r="BG1265" s="52"/>
      <c r="BH1265" s="52"/>
      <c r="BI1265" s="52"/>
      <c r="BJ1265" s="52"/>
      <c r="BK1265" s="52"/>
      <c r="BL1265" s="52"/>
      <c r="BM1265" t="s" s="53">
        <v>1234</v>
      </c>
      <c r="BN1265" s="52"/>
      <c r="BO1265" s="54"/>
      <c r="BP1265" s="8"/>
    </row>
    <row r="1266" ht="9" customHeight="1" hidden="1">
      <c r="A1266" t="s" s="47">
        <v>4782</v>
      </c>
      <c r="B1266" s="48"/>
      <c r="C1266" t="str" s="48" cm="1">
        <f t="array" ref="C1266">_xlfn.IFERROR((VLOOKUP(A1266,#REF!,2,FALSE)),"")</f>
      </c>
      <c r="D1266" s="48"/>
      <c r="E1266" t="s" s="49">
        <v>4783</v>
      </c>
      <c r="F1266" s="48"/>
      <c r="G1266" t="s" s="49">
        <v>4784</v>
      </c>
      <c r="H1266" t="s" s="49">
        <v>4785</v>
      </c>
      <c r="I1266" t="s" s="49">
        <v>82</v>
      </c>
      <c r="J1266" t="s" s="49">
        <v>82</v>
      </c>
      <c r="K1266" t="s" s="49">
        <v>82</v>
      </c>
      <c r="L1266" t="s" s="49">
        <v>76</v>
      </c>
      <c r="M1266" s="48"/>
      <c r="N1266" s="48"/>
      <c r="O1266" s="48"/>
      <c r="P1266" s="48"/>
      <c r="Q1266" s="48"/>
      <c r="R1266" t="s" s="49">
        <v>83</v>
      </c>
      <c r="S1266" s="48"/>
      <c r="T1266" s="48"/>
      <c r="U1266" s="48"/>
      <c r="V1266" s="48"/>
      <c r="W1266" s="48"/>
      <c r="X1266" s="48"/>
      <c r="Y1266" s="48"/>
      <c r="Z1266" t="s" s="49">
        <v>76</v>
      </c>
      <c r="AA1266" s="48"/>
      <c r="AB1266" t="s" s="49">
        <v>76</v>
      </c>
      <c r="AC1266" s="48"/>
      <c r="AD1266" s="48"/>
      <c r="AE1266" s="48"/>
      <c r="AF1266" s="48"/>
      <c r="AG1266" t="s" s="49">
        <v>4715</v>
      </c>
      <c r="AH1266" t="s" s="49">
        <v>4716</v>
      </c>
      <c r="AI1266" t="s" s="49">
        <v>76</v>
      </c>
      <c r="AJ1266" t="s" s="49">
        <v>76</v>
      </c>
      <c r="AK1266" t="s" s="49">
        <v>4717</v>
      </c>
      <c r="AL1266" t="s" s="49">
        <v>293</v>
      </c>
      <c r="AM1266" t="s" s="49">
        <v>294</v>
      </c>
      <c r="AN1266" t="s" s="49">
        <v>4779</v>
      </c>
      <c r="AO1266" s="48"/>
      <c r="AP1266" s="48"/>
      <c r="AQ1266" s="48"/>
      <c r="AR1266" s="48"/>
      <c r="AS1266" t="s" s="49">
        <v>4786</v>
      </c>
      <c r="AT1266" t="s" s="49">
        <v>4720</v>
      </c>
      <c r="AU1266" t="s" s="49">
        <v>4721</v>
      </c>
      <c r="AV1266" t="s" s="49">
        <v>4787</v>
      </c>
      <c r="AW1266" s="48"/>
      <c r="AX1266" s="48"/>
      <c r="AY1266" s="48"/>
      <c r="AZ1266" s="48"/>
      <c r="BA1266" t="s" s="49">
        <v>1231</v>
      </c>
      <c r="BB1266" t="s" s="49">
        <v>4723</v>
      </c>
      <c r="BC1266" t="s" s="49">
        <v>4724</v>
      </c>
      <c r="BD1266" s="48"/>
      <c r="BE1266" s="48"/>
      <c r="BF1266" s="48"/>
      <c r="BG1266" s="48"/>
      <c r="BH1266" s="48"/>
      <c r="BI1266" s="48"/>
      <c r="BJ1266" s="48"/>
      <c r="BK1266" s="48"/>
      <c r="BL1266" s="48"/>
      <c r="BM1266" t="s" s="49">
        <v>1234</v>
      </c>
      <c r="BN1266" s="48"/>
      <c r="BO1266" s="50"/>
      <c r="BP1266" s="8"/>
    </row>
    <row r="1267" ht="15" customHeight="1" hidden="1">
      <c r="A1267" t="s" s="51">
        <v>4788</v>
      </c>
      <c r="B1267" s="52"/>
      <c r="C1267" t="str" s="52" cm="1">
        <f t="array" ref="C1267">_xlfn.IFERROR((VLOOKUP(A1267,#REF!,2,FALSE)),"")</f>
      </c>
      <c r="D1267" s="52"/>
      <c r="E1267" t="s" s="53">
        <v>4789</v>
      </c>
      <c r="F1267" s="52"/>
      <c r="G1267" t="s" s="53">
        <v>4790</v>
      </c>
      <c r="H1267" t="s" s="53">
        <v>4791</v>
      </c>
      <c r="I1267" t="s" s="53">
        <v>82</v>
      </c>
      <c r="J1267" t="s" s="53">
        <v>82</v>
      </c>
      <c r="K1267" t="s" s="53">
        <v>82</v>
      </c>
      <c r="L1267" t="s" s="53">
        <v>76</v>
      </c>
      <c r="M1267" s="52"/>
      <c r="N1267" s="52"/>
      <c r="O1267" s="52"/>
      <c r="P1267" s="52"/>
      <c r="Q1267" t="s" s="53">
        <v>78</v>
      </c>
      <c r="R1267" t="s" s="53">
        <v>83</v>
      </c>
      <c r="S1267" s="52"/>
      <c r="T1267" s="52"/>
      <c r="U1267" s="52"/>
      <c r="V1267" t="s" s="53">
        <v>78</v>
      </c>
      <c r="W1267" s="52"/>
      <c r="X1267" t="s" s="53">
        <v>78</v>
      </c>
      <c r="Y1267" s="52"/>
      <c r="Z1267" t="s" s="53">
        <v>76</v>
      </c>
      <c r="AA1267" t="s" s="53">
        <v>4729</v>
      </c>
      <c r="AB1267" t="s" s="53">
        <v>76</v>
      </c>
      <c r="AC1267" s="52"/>
      <c r="AD1267" s="52"/>
      <c r="AE1267" s="52"/>
      <c r="AF1267" s="52"/>
      <c r="AG1267" t="s" s="53">
        <v>4715</v>
      </c>
      <c r="AH1267" t="s" s="53">
        <v>4716</v>
      </c>
      <c r="AI1267" t="s" s="53">
        <v>76</v>
      </c>
      <c r="AJ1267" t="s" s="53">
        <v>76</v>
      </c>
      <c r="AK1267" t="s" s="53">
        <v>4717</v>
      </c>
      <c r="AL1267" t="s" s="53">
        <v>293</v>
      </c>
      <c r="AM1267" t="s" s="53">
        <v>294</v>
      </c>
      <c r="AN1267" t="s" s="53">
        <v>4779</v>
      </c>
      <c r="AO1267" s="56">
        <v>4</v>
      </c>
      <c r="AP1267" s="56">
        <v>12</v>
      </c>
      <c r="AQ1267" s="56">
        <v>320</v>
      </c>
      <c r="AR1267" s="56">
        <v>320</v>
      </c>
      <c r="AS1267" t="s" s="53">
        <v>4792</v>
      </c>
      <c r="AT1267" t="s" s="53">
        <v>4720</v>
      </c>
      <c r="AU1267" t="s" s="53">
        <v>4721</v>
      </c>
      <c r="AV1267" t="s" s="53">
        <v>4793</v>
      </c>
      <c r="AW1267" s="52"/>
      <c r="AX1267" s="52"/>
      <c r="AY1267" s="52"/>
      <c r="AZ1267" s="52"/>
      <c r="BA1267" t="s" s="53">
        <v>1231</v>
      </c>
      <c r="BB1267" t="s" s="53">
        <v>4723</v>
      </c>
      <c r="BC1267" t="s" s="53">
        <v>4724</v>
      </c>
      <c r="BD1267" s="52"/>
      <c r="BE1267" s="52"/>
      <c r="BF1267" s="52"/>
      <c r="BG1267" s="52"/>
      <c r="BH1267" s="52"/>
      <c r="BI1267" s="52"/>
      <c r="BJ1267" s="52"/>
      <c r="BK1267" s="52"/>
      <c r="BL1267" s="52"/>
      <c r="BM1267" t="s" s="53">
        <v>1234</v>
      </c>
      <c r="BN1267" s="52"/>
      <c r="BO1267" s="54"/>
      <c r="BP1267" s="8"/>
    </row>
    <row r="1268" ht="15" customHeight="1" hidden="1">
      <c r="A1268" t="s" s="47">
        <v>4794</v>
      </c>
      <c r="B1268" s="48"/>
      <c r="C1268" t="str" s="48" cm="1">
        <f t="array" ref="C1268">_xlfn.IFERROR((VLOOKUP(A1268,#REF!,2,FALSE)),"")</f>
      </c>
      <c r="D1268" s="48"/>
      <c r="E1268" t="s" s="49">
        <v>4795</v>
      </c>
      <c r="F1268" s="48"/>
      <c r="G1268" t="s" s="49">
        <v>4796</v>
      </c>
      <c r="H1268" t="s" s="49">
        <v>4797</v>
      </c>
      <c r="I1268" t="s" s="49">
        <v>82</v>
      </c>
      <c r="J1268" t="s" s="49">
        <v>82</v>
      </c>
      <c r="K1268" t="s" s="49">
        <v>82</v>
      </c>
      <c r="L1268" t="s" s="49">
        <v>76</v>
      </c>
      <c r="M1268" s="48"/>
      <c r="N1268" s="48"/>
      <c r="O1268" s="48"/>
      <c r="P1268" s="48"/>
      <c r="Q1268" t="s" s="49">
        <v>78</v>
      </c>
      <c r="R1268" t="s" s="49">
        <v>83</v>
      </c>
      <c r="S1268" s="48"/>
      <c r="T1268" s="48"/>
      <c r="U1268" s="48"/>
      <c r="V1268" t="s" s="49">
        <v>78</v>
      </c>
      <c r="W1268" s="48"/>
      <c r="X1268" t="s" s="49">
        <v>78</v>
      </c>
      <c r="Y1268" s="48"/>
      <c r="Z1268" t="s" s="49">
        <v>76</v>
      </c>
      <c r="AA1268" t="s" s="49">
        <v>4798</v>
      </c>
      <c r="AB1268" t="s" s="49">
        <v>76</v>
      </c>
      <c r="AC1268" s="48"/>
      <c r="AD1268" s="48"/>
      <c r="AE1268" s="48"/>
      <c r="AF1268" s="48"/>
      <c r="AG1268" t="s" s="49">
        <v>4715</v>
      </c>
      <c r="AH1268" t="s" s="49">
        <v>4716</v>
      </c>
      <c r="AI1268" t="s" s="49">
        <v>76</v>
      </c>
      <c r="AJ1268" t="s" s="49">
        <v>76</v>
      </c>
      <c r="AK1268" t="s" s="49">
        <v>4717</v>
      </c>
      <c r="AL1268" t="s" s="49">
        <v>293</v>
      </c>
      <c r="AM1268" t="s" s="49">
        <v>294</v>
      </c>
      <c r="AN1268" t="s" s="49">
        <v>4031</v>
      </c>
      <c r="AO1268" s="55">
        <v>4</v>
      </c>
      <c r="AP1268" s="55">
        <v>16</v>
      </c>
      <c r="AQ1268" s="55">
        <v>620</v>
      </c>
      <c r="AR1268" s="55">
        <v>420</v>
      </c>
      <c r="AS1268" t="s" s="49">
        <v>4799</v>
      </c>
      <c r="AT1268" t="s" s="49">
        <v>4720</v>
      </c>
      <c r="AU1268" t="s" s="49">
        <v>4721</v>
      </c>
      <c r="AV1268" t="s" s="49">
        <v>4800</v>
      </c>
      <c r="AW1268" s="48"/>
      <c r="AX1268" s="48"/>
      <c r="AY1268" s="48"/>
      <c r="AZ1268" s="48"/>
      <c r="BA1268" t="s" s="49">
        <v>1231</v>
      </c>
      <c r="BB1268" t="s" s="49">
        <v>4723</v>
      </c>
      <c r="BC1268" t="s" s="49">
        <v>4724</v>
      </c>
      <c r="BD1268" s="48"/>
      <c r="BE1268" s="48"/>
      <c r="BF1268" s="48"/>
      <c r="BG1268" s="48"/>
      <c r="BH1268" s="48"/>
      <c r="BI1268" s="48"/>
      <c r="BJ1268" s="48"/>
      <c r="BK1268" s="48"/>
      <c r="BL1268" s="48"/>
      <c r="BM1268" t="s" s="49">
        <v>1234</v>
      </c>
      <c r="BN1268" s="48"/>
      <c r="BO1268" s="50"/>
      <c r="BP1268" s="8"/>
    </row>
    <row r="1269" ht="9" customHeight="1" hidden="1">
      <c r="A1269" t="s" s="51">
        <v>4801</v>
      </c>
      <c r="B1269" s="52"/>
      <c r="C1269" t="str" s="52" cm="1">
        <f t="array" ref="C1269">_xlfn.IFERROR((VLOOKUP(A1269,#REF!,2,FALSE)),"")</f>
      </c>
      <c r="D1269" t="s" s="53">
        <v>70</v>
      </c>
      <c r="E1269" t="s" s="53">
        <v>126</v>
      </c>
      <c r="F1269" s="52"/>
      <c r="G1269" s="52"/>
      <c r="H1269" s="52"/>
      <c r="I1269" t="s" s="53">
        <v>111</v>
      </c>
      <c r="J1269" t="s" s="53">
        <v>122</v>
      </c>
      <c r="K1269" t="s" s="53">
        <v>127</v>
      </c>
      <c r="L1269" t="s" s="53">
        <v>76</v>
      </c>
      <c r="M1269" t="s" s="53">
        <v>77</v>
      </c>
      <c r="N1269" s="52"/>
      <c r="O1269" s="52"/>
      <c r="P1269" s="52"/>
      <c r="Q1269" t="s" s="53">
        <v>69</v>
      </c>
      <c r="R1269" t="s" s="53">
        <v>83</v>
      </c>
      <c r="S1269" s="52"/>
      <c r="T1269" s="52"/>
      <c r="U1269" s="52"/>
      <c r="V1269" t="s" s="53">
        <v>69</v>
      </c>
      <c r="W1269" s="52"/>
      <c r="X1269" t="s" s="53">
        <v>78</v>
      </c>
      <c r="Y1269" s="52"/>
      <c r="Z1269" t="s" s="53">
        <v>76</v>
      </c>
      <c r="AA1269" s="52"/>
      <c r="AB1269" t="s" s="53">
        <v>76</v>
      </c>
      <c r="AC1269" t="s" s="53">
        <v>4801</v>
      </c>
      <c r="AD1269" s="52"/>
      <c r="AE1269" s="52"/>
      <c r="AF1269" s="52"/>
      <c r="AG1269" s="52"/>
      <c r="AH1269" s="52"/>
      <c r="AI1269" t="s" s="53">
        <v>76</v>
      </c>
      <c r="AJ1269" t="s" s="53">
        <v>76</v>
      </c>
      <c r="AK1269" t="s" s="53">
        <v>79</v>
      </c>
      <c r="AL1269" s="52"/>
      <c r="AM1269" s="52"/>
      <c r="AN1269" t="s" s="53">
        <v>128</v>
      </c>
      <c r="AO1269" s="52"/>
      <c r="AP1269" s="52"/>
      <c r="AQ1269" s="52"/>
      <c r="AR1269" s="52"/>
      <c r="AS1269" t="s" s="53">
        <v>4802</v>
      </c>
      <c r="AT1269" s="52"/>
      <c r="AU1269" s="52"/>
      <c r="AV1269" s="52"/>
      <c r="AW1269" s="52"/>
      <c r="AX1269" s="52"/>
      <c r="AY1269" s="52"/>
      <c r="AZ1269" s="52"/>
      <c r="BA1269" s="52"/>
      <c r="BB1269" s="52"/>
      <c r="BC1269" s="52"/>
      <c r="BD1269" s="52"/>
      <c r="BE1269" s="52"/>
      <c r="BF1269" s="52"/>
      <c r="BG1269" s="52"/>
      <c r="BH1269" s="52"/>
      <c r="BI1269" s="52"/>
      <c r="BJ1269" s="52"/>
      <c r="BK1269" s="52"/>
      <c r="BL1269" s="52"/>
      <c r="BM1269" s="52"/>
      <c r="BN1269" s="52"/>
      <c r="BO1269" s="54"/>
      <c r="BP1269" s="8"/>
    </row>
    <row r="1270" ht="9" customHeight="1" hidden="1">
      <c r="A1270" t="s" s="47">
        <v>4803</v>
      </c>
      <c r="B1270" s="48"/>
      <c r="C1270" t="str" s="48" cm="1">
        <f t="array" ref="C1270">_xlfn.IFERROR((VLOOKUP(A1270,#REF!,2,FALSE)),"")</f>
      </c>
      <c r="D1270" t="s" s="49">
        <v>70</v>
      </c>
      <c r="E1270" t="s" s="49">
        <v>1181</v>
      </c>
      <c r="F1270" s="48"/>
      <c r="G1270" t="s" s="49">
        <v>4804</v>
      </c>
      <c r="H1270" t="s" s="49">
        <v>4804</v>
      </c>
      <c r="I1270" t="s" s="49">
        <v>82</v>
      </c>
      <c r="J1270" t="s" s="49">
        <v>82</v>
      </c>
      <c r="K1270" t="s" s="49">
        <v>82</v>
      </c>
      <c r="L1270" t="s" s="49">
        <v>76</v>
      </c>
      <c r="M1270" t="s" s="49">
        <v>77</v>
      </c>
      <c r="N1270" t="s" s="49">
        <v>4804</v>
      </c>
      <c r="O1270" s="48"/>
      <c r="P1270" s="48"/>
      <c r="Q1270" t="s" s="49">
        <v>78</v>
      </c>
      <c r="R1270" t="s" s="49">
        <v>83</v>
      </c>
      <c r="S1270" s="48"/>
      <c r="T1270" s="48"/>
      <c r="U1270" s="48"/>
      <c r="V1270" t="s" s="49">
        <v>69</v>
      </c>
      <c r="W1270" s="48"/>
      <c r="X1270" t="s" s="49">
        <v>78</v>
      </c>
      <c r="Y1270" s="48"/>
      <c r="Z1270" t="s" s="49">
        <v>76</v>
      </c>
      <c r="AA1270" s="48"/>
      <c r="AB1270" t="s" s="49">
        <v>76</v>
      </c>
      <c r="AC1270" s="48"/>
      <c r="AD1270" s="48"/>
      <c r="AE1270" s="48"/>
      <c r="AF1270" s="48"/>
      <c r="AG1270" t="s" s="49">
        <v>299</v>
      </c>
      <c r="AH1270" t="s" s="49">
        <v>106</v>
      </c>
      <c r="AI1270" t="s" s="49">
        <v>76</v>
      </c>
      <c r="AJ1270" t="s" s="49">
        <v>76</v>
      </c>
      <c r="AK1270" t="s" s="49">
        <v>79</v>
      </c>
      <c r="AL1270" t="s" s="49">
        <v>293</v>
      </c>
      <c r="AM1270" t="s" s="49">
        <v>294</v>
      </c>
      <c r="AN1270" t="s" s="49">
        <v>4805</v>
      </c>
      <c r="AO1270" s="55">
        <v>2</v>
      </c>
      <c r="AP1270" s="55">
        <v>4096</v>
      </c>
      <c r="AQ1270" s="55">
        <v>75880</v>
      </c>
      <c r="AR1270" s="55">
        <v>17711</v>
      </c>
      <c r="AS1270" t="s" s="49">
        <v>2716</v>
      </c>
      <c r="AT1270" t="s" s="49">
        <v>301</v>
      </c>
      <c r="AU1270" s="48"/>
      <c r="AV1270" s="48"/>
      <c r="AW1270" s="48"/>
      <c r="AX1270" s="48"/>
      <c r="AY1270" s="48"/>
      <c r="AZ1270" s="48"/>
      <c r="BA1270" s="48"/>
      <c r="BB1270" s="48"/>
      <c r="BC1270" s="48"/>
      <c r="BD1270" s="48"/>
      <c r="BE1270" s="48"/>
      <c r="BF1270" s="48"/>
      <c r="BG1270" s="48"/>
      <c r="BH1270" s="48"/>
      <c r="BI1270" s="48"/>
      <c r="BJ1270" s="48"/>
      <c r="BK1270" s="48"/>
      <c r="BL1270" s="48"/>
      <c r="BM1270" s="48"/>
      <c r="BN1270" s="48"/>
      <c r="BO1270" s="50"/>
      <c r="BP1270" s="8"/>
    </row>
    <row r="1271" ht="9" customHeight="1" hidden="1">
      <c r="A1271" t="s" s="51">
        <v>4806</v>
      </c>
      <c r="B1271" s="52"/>
      <c r="C1271" t="str" s="52" cm="1">
        <f t="array" ref="C1271">_xlfn.IFERROR((VLOOKUP(A1271,#REF!,2,FALSE)),"")</f>
      </c>
      <c r="D1271" s="52"/>
      <c r="E1271" t="s" s="53">
        <v>450</v>
      </c>
      <c r="F1271" s="52"/>
      <c r="G1271" t="s" s="53">
        <v>4804</v>
      </c>
      <c r="H1271" t="s" s="53">
        <v>4804</v>
      </c>
      <c r="I1271" t="s" s="53">
        <v>82</v>
      </c>
      <c r="J1271" t="s" s="53">
        <v>82</v>
      </c>
      <c r="K1271" t="s" s="53">
        <v>82</v>
      </c>
      <c r="L1271" t="s" s="53">
        <v>76</v>
      </c>
      <c r="M1271" t="s" s="53">
        <v>77</v>
      </c>
      <c r="N1271" s="52"/>
      <c r="O1271" s="52"/>
      <c r="P1271" s="52"/>
      <c r="Q1271" t="s" s="53">
        <v>78</v>
      </c>
      <c r="R1271" t="s" s="53">
        <v>83</v>
      </c>
      <c r="S1271" s="52"/>
      <c r="T1271" s="52"/>
      <c r="U1271" s="52"/>
      <c r="V1271" t="s" s="53">
        <v>69</v>
      </c>
      <c r="W1271" s="52"/>
      <c r="X1271" t="s" s="53">
        <v>78</v>
      </c>
      <c r="Y1271" s="52"/>
      <c r="Z1271" t="s" s="53">
        <v>76</v>
      </c>
      <c r="AA1271" s="52"/>
      <c r="AB1271" t="s" s="53">
        <v>76</v>
      </c>
      <c r="AC1271" s="52"/>
      <c r="AD1271" s="52"/>
      <c r="AE1271" s="52"/>
      <c r="AF1271" s="52"/>
      <c r="AG1271" t="s" s="53">
        <v>299</v>
      </c>
      <c r="AH1271" t="s" s="53">
        <v>106</v>
      </c>
      <c r="AI1271" t="s" s="53">
        <v>76</v>
      </c>
      <c r="AJ1271" t="s" s="53">
        <v>76</v>
      </c>
      <c r="AK1271" t="s" s="53">
        <v>79</v>
      </c>
      <c r="AL1271" t="s" s="53">
        <v>293</v>
      </c>
      <c r="AM1271" t="s" s="53">
        <v>294</v>
      </c>
      <c r="AN1271" t="s" s="53">
        <v>1264</v>
      </c>
      <c r="AO1271" s="56">
        <v>4</v>
      </c>
      <c r="AP1271" s="56">
        <v>4096</v>
      </c>
      <c r="AQ1271" s="56">
        <v>106595</v>
      </c>
      <c r="AR1271" s="56">
        <v>24537</v>
      </c>
      <c r="AS1271" t="s" s="53">
        <v>4807</v>
      </c>
      <c r="AT1271" t="s" s="53">
        <v>301</v>
      </c>
      <c r="AU1271" s="52"/>
      <c r="AV1271" s="52"/>
      <c r="AW1271" s="52"/>
      <c r="AX1271" s="52"/>
      <c r="AY1271" s="52"/>
      <c r="AZ1271" s="52"/>
      <c r="BA1271" s="52"/>
      <c r="BB1271" s="52"/>
      <c r="BC1271" s="52"/>
      <c r="BD1271" s="52"/>
      <c r="BE1271" s="52"/>
      <c r="BF1271" s="52"/>
      <c r="BG1271" s="52"/>
      <c r="BH1271" s="52"/>
      <c r="BI1271" s="52"/>
      <c r="BJ1271" s="52"/>
      <c r="BK1271" s="52"/>
      <c r="BL1271" s="52"/>
      <c r="BM1271" s="52"/>
      <c r="BN1271" s="52"/>
      <c r="BO1271" s="54"/>
      <c r="BP1271" s="8"/>
    </row>
    <row r="1272" ht="9" customHeight="1" hidden="1">
      <c r="A1272" t="s" s="47">
        <v>4808</v>
      </c>
      <c r="B1272" s="48"/>
      <c r="C1272" t="str" s="48" cm="1">
        <f t="array" ref="C1272">_xlfn.IFERROR((VLOOKUP(A1272,#REF!,2,FALSE)),"")</f>
      </c>
      <c r="D1272" s="48"/>
      <c r="E1272" t="s" s="49">
        <v>2974</v>
      </c>
      <c r="F1272" s="48"/>
      <c r="G1272" s="48"/>
      <c r="H1272" s="48"/>
      <c r="I1272" t="s" s="49">
        <v>82</v>
      </c>
      <c r="J1272" t="s" s="49">
        <v>82</v>
      </c>
      <c r="K1272" t="s" s="49">
        <v>82</v>
      </c>
      <c r="L1272" t="s" s="49">
        <v>76</v>
      </c>
      <c r="M1272" t="s" s="49">
        <v>77</v>
      </c>
      <c r="N1272" s="48"/>
      <c r="O1272" s="48"/>
      <c r="P1272" s="48"/>
      <c r="Q1272" t="s" s="49">
        <v>78</v>
      </c>
      <c r="R1272" t="s" s="49">
        <v>83</v>
      </c>
      <c r="S1272" s="48"/>
      <c r="T1272" s="48"/>
      <c r="U1272" s="48"/>
      <c r="V1272" t="s" s="49">
        <v>78</v>
      </c>
      <c r="W1272" s="48"/>
      <c r="X1272" t="s" s="49">
        <v>78</v>
      </c>
      <c r="Y1272" s="48"/>
      <c r="Z1272" t="s" s="49">
        <v>76</v>
      </c>
      <c r="AA1272" s="48"/>
      <c r="AB1272" t="s" s="49">
        <v>76</v>
      </c>
      <c r="AC1272" s="48"/>
      <c r="AD1272" s="48"/>
      <c r="AE1272" s="48"/>
      <c r="AF1272" s="48"/>
      <c r="AG1272" s="48"/>
      <c r="AH1272" s="48"/>
      <c r="AI1272" t="s" s="49">
        <v>76</v>
      </c>
      <c r="AJ1272" t="s" s="49">
        <v>76</v>
      </c>
      <c r="AK1272" t="s" s="49">
        <v>79</v>
      </c>
      <c r="AL1272" t="s" s="49">
        <v>293</v>
      </c>
      <c r="AM1272" t="s" s="49">
        <v>294</v>
      </c>
      <c r="AN1272" s="48"/>
      <c r="AO1272" s="55">
        <v>2</v>
      </c>
      <c r="AP1272" s="55">
        <v>1024</v>
      </c>
      <c r="AQ1272" s="55">
        <v>33874</v>
      </c>
      <c r="AR1272" s="55">
        <v>33874</v>
      </c>
      <c r="AS1272" s="48"/>
      <c r="AT1272" s="48"/>
      <c r="AU1272" s="48"/>
      <c r="AV1272" s="48"/>
      <c r="AW1272" s="48"/>
      <c r="AX1272" s="48"/>
      <c r="AY1272" s="48"/>
      <c r="AZ1272" s="48"/>
      <c r="BA1272" s="48"/>
      <c r="BB1272" s="48"/>
      <c r="BC1272" s="48"/>
      <c r="BD1272" s="48"/>
      <c r="BE1272" s="48"/>
      <c r="BF1272" s="48"/>
      <c r="BG1272" s="48"/>
      <c r="BH1272" s="48"/>
      <c r="BI1272" s="48"/>
      <c r="BJ1272" s="48"/>
      <c r="BK1272" s="48"/>
      <c r="BL1272" s="48"/>
      <c r="BM1272" s="48"/>
      <c r="BN1272" s="48"/>
      <c r="BO1272" s="50"/>
      <c r="BP1272" s="8"/>
    </row>
    <row r="1273" ht="9" customHeight="1" hidden="1">
      <c r="A1273" t="s" s="51">
        <v>4809</v>
      </c>
      <c r="B1273" s="52"/>
      <c r="C1273" t="str" s="52" cm="1">
        <f t="array" ref="C1273">_xlfn.IFERROR((VLOOKUP(A1273,#REF!,2,FALSE)),"")</f>
      </c>
      <c r="D1273" t="s" s="53">
        <v>70</v>
      </c>
      <c r="E1273" t="s" s="53">
        <v>195</v>
      </c>
      <c r="F1273" s="52"/>
      <c r="G1273" t="s" s="53">
        <v>4810</v>
      </c>
      <c r="H1273" t="s" s="53">
        <v>4811</v>
      </c>
      <c r="I1273" t="s" s="53">
        <v>73</v>
      </c>
      <c r="J1273" t="s" s="53">
        <v>74</v>
      </c>
      <c r="K1273" t="s" s="53">
        <v>113</v>
      </c>
      <c r="L1273" t="s" s="53">
        <v>76</v>
      </c>
      <c r="M1273" t="s" s="53">
        <v>77</v>
      </c>
      <c r="N1273" t="s" s="53">
        <v>4810</v>
      </c>
      <c r="O1273" t="s" s="53">
        <v>71</v>
      </c>
      <c r="P1273" s="52"/>
      <c r="Q1273" t="s" s="53">
        <v>78</v>
      </c>
      <c r="R1273" t="s" s="53">
        <v>339</v>
      </c>
      <c r="S1273" s="52"/>
      <c r="T1273" s="52"/>
      <c r="U1273" s="52"/>
      <c r="V1273" t="s" s="53">
        <v>69</v>
      </c>
      <c r="W1273" t="s" s="53">
        <v>4812</v>
      </c>
      <c r="X1273" t="s" s="53">
        <v>69</v>
      </c>
      <c r="Y1273" s="52"/>
      <c r="Z1273" t="s" s="53">
        <v>76</v>
      </c>
      <c r="AA1273" s="52"/>
      <c r="AB1273" t="s" s="53">
        <v>76</v>
      </c>
      <c r="AC1273" s="52"/>
      <c r="AD1273" s="52"/>
      <c r="AE1273" s="52"/>
      <c r="AF1273" s="52"/>
      <c r="AG1273" s="52"/>
      <c r="AH1273" t="s" s="53">
        <v>114</v>
      </c>
      <c r="AI1273" t="s" s="53">
        <v>76</v>
      </c>
      <c r="AJ1273" t="s" s="53">
        <v>76</v>
      </c>
      <c r="AK1273" t="s" s="53">
        <v>79</v>
      </c>
      <c r="AL1273" s="52"/>
      <c r="AM1273" t="s" s="53">
        <v>196</v>
      </c>
      <c r="AN1273" t="s" s="53">
        <v>116</v>
      </c>
      <c r="AO1273" s="52"/>
      <c r="AP1273" s="52"/>
      <c r="AQ1273" s="52"/>
      <c r="AR1273" s="52"/>
      <c r="AS1273" t="s" s="53">
        <v>4813</v>
      </c>
      <c r="AT1273" s="52"/>
      <c r="AU1273" s="52"/>
      <c r="AV1273" s="52"/>
      <c r="AW1273" s="52"/>
      <c r="AX1273" s="52"/>
      <c r="AY1273" s="52"/>
      <c r="AZ1273" s="52"/>
      <c r="BA1273" s="52"/>
      <c r="BB1273" s="52"/>
      <c r="BC1273" s="52"/>
      <c r="BD1273" t="s" s="53">
        <v>118</v>
      </c>
      <c r="BE1273" s="52"/>
      <c r="BF1273" s="52"/>
      <c r="BG1273" s="52"/>
      <c r="BH1273" s="52"/>
      <c r="BI1273" s="52"/>
      <c r="BJ1273" s="52"/>
      <c r="BK1273" s="52"/>
      <c r="BL1273" s="52"/>
      <c r="BM1273" s="52"/>
      <c r="BN1273" s="52"/>
      <c r="BO1273" s="54"/>
      <c r="BP1273" s="8"/>
    </row>
    <row r="1274" ht="9" customHeight="1" hidden="1">
      <c r="A1274" t="s" s="47">
        <v>4814</v>
      </c>
      <c r="B1274" s="48"/>
      <c r="C1274" t="str" s="48" cm="1">
        <f t="array" ref="C1274">_xlfn.IFERROR((VLOOKUP(A1274,#REF!,2,FALSE)),"")</f>
      </c>
      <c r="D1274" t="s" s="49">
        <v>70</v>
      </c>
      <c r="E1274" t="s" s="49">
        <v>108</v>
      </c>
      <c r="F1274" s="48"/>
      <c r="G1274" t="s" s="49">
        <v>4815</v>
      </c>
      <c r="H1274" t="s" s="49">
        <v>4816</v>
      </c>
      <c r="I1274" t="s" s="49">
        <v>111</v>
      </c>
      <c r="J1274" t="s" s="49">
        <v>112</v>
      </c>
      <c r="K1274" t="s" s="49">
        <v>113</v>
      </c>
      <c r="L1274" t="s" s="49">
        <v>76</v>
      </c>
      <c r="M1274" t="s" s="49">
        <v>77</v>
      </c>
      <c r="N1274" t="s" s="49">
        <v>4815</v>
      </c>
      <c r="O1274" s="48"/>
      <c r="P1274" s="48"/>
      <c r="Q1274" t="s" s="49">
        <v>78</v>
      </c>
      <c r="R1274" t="s" s="49">
        <v>83</v>
      </c>
      <c r="S1274" s="48"/>
      <c r="T1274" s="48"/>
      <c r="U1274" s="48"/>
      <c r="V1274" t="s" s="49">
        <v>69</v>
      </c>
      <c r="W1274" s="48"/>
      <c r="X1274" t="s" s="49">
        <v>69</v>
      </c>
      <c r="Y1274" s="48"/>
      <c r="Z1274" t="s" s="49">
        <v>76</v>
      </c>
      <c r="AA1274" s="48"/>
      <c r="AB1274" t="s" s="49">
        <v>76</v>
      </c>
      <c r="AC1274" s="48"/>
      <c r="AD1274" s="48"/>
      <c r="AE1274" s="48"/>
      <c r="AF1274" s="48"/>
      <c r="AG1274" s="48"/>
      <c r="AH1274" t="s" s="49">
        <v>114</v>
      </c>
      <c r="AI1274" t="s" s="49">
        <v>76</v>
      </c>
      <c r="AJ1274" t="s" s="49">
        <v>76</v>
      </c>
      <c r="AK1274" t="s" s="49">
        <v>79</v>
      </c>
      <c r="AL1274" s="48"/>
      <c r="AM1274" s="48"/>
      <c r="AN1274" t="s" s="49">
        <v>4817</v>
      </c>
      <c r="AO1274" s="48"/>
      <c r="AP1274" s="48"/>
      <c r="AQ1274" s="48"/>
      <c r="AR1274" s="48"/>
      <c r="AS1274" t="s" s="49">
        <v>4818</v>
      </c>
      <c r="AT1274" s="48"/>
      <c r="AU1274" s="48"/>
      <c r="AV1274" s="48"/>
      <c r="AW1274" s="48"/>
      <c r="AX1274" s="48"/>
      <c r="AY1274" s="48"/>
      <c r="AZ1274" s="48"/>
      <c r="BA1274" s="48"/>
      <c r="BB1274" s="48"/>
      <c r="BC1274" s="48"/>
      <c r="BD1274" t="s" s="49">
        <v>118</v>
      </c>
      <c r="BE1274" s="48"/>
      <c r="BF1274" s="48"/>
      <c r="BG1274" s="48"/>
      <c r="BH1274" s="48"/>
      <c r="BI1274" s="48"/>
      <c r="BJ1274" s="48"/>
      <c r="BK1274" s="48"/>
      <c r="BL1274" s="48"/>
      <c r="BM1274" s="48"/>
      <c r="BN1274" t="s" s="49">
        <v>78</v>
      </c>
      <c r="BO1274" s="50"/>
      <c r="BP1274" s="8"/>
    </row>
    <row r="1275" ht="9" customHeight="1" hidden="1">
      <c r="A1275" t="s" s="51">
        <v>4819</v>
      </c>
      <c r="B1275" s="52"/>
      <c r="C1275" t="str" s="52" cm="1">
        <f t="array" ref="C1275">_xlfn.IFERROR((VLOOKUP(A1275,#REF!,2,FALSE)),"")</f>
      </c>
      <c r="D1275" s="52"/>
      <c r="E1275" t="s" s="53">
        <v>2974</v>
      </c>
      <c r="F1275" s="52"/>
      <c r="G1275" t="s" s="53">
        <v>4820</v>
      </c>
      <c r="H1275" t="s" s="53">
        <v>4820</v>
      </c>
      <c r="I1275" t="s" s="53">
        <v>82</v>
      </c>
      <c r="J1275" t="s" s="53">
        <v>82</v>
      </c>
      <c r="K1275" t="s" s="53">
        <v>82</v>
      </c>
      <c r="L1275" t="s" s="53">
        <v>76</v>
      </c>
      <c r="M1275" t="s" s="53">
        <v>77</v>
      </c>
      <c r="N1275" s="52"/>
      <c r="O1275" s="52"/>
      <c r="P1275" s="52"/>
      <c r="Q1275" t="s" s="53">
        <v>78</v>
      </c>
      <c r="R1275" t="s" s="53">
        <v>83</v>
      </c>
      <c r="S1275" s="52"/>
      <c r="T1275" s="52"/>
      <c r="U1275" s="52"/>
      <c r="V1275" t="s" s="53">
        <v>78</v>
      </c>
      <c r="W1275" s="52"/>
      <c r="X1275" t="s" s="53">
        <v>78</v>
      </c>
      <c r="Y1275" s="52"/>
      <c r="Z1275" t="s" s="53">
        <v>76</v>
      </c>
      <c r="AA1275" s="52"/>
      <c r="AB1275" t="s" s="53">
        <v>76</v>
      </c>
      <c r="AC1275" s="52"/>
      <c r="AD1275" s="52"/>
      <c r="AE1275" s="52"/>
      <c r="AF1275" s="52"/>
      <c r="AG1275" s="52"/>
      <c r="AH1275" s="52"/>
      <c r="AI1275" t="s" s="53">
        <v>76</v>
      </c>
      <c r="AJ1275" t="s" s="53">
        <v>76</v>
      </c>
      <c r="AK1275" t="s" s="53">
        <v>79</v>
      </c>
      <c r="AL1275" t="s" s="53">
        <v>293</v>
      </c>
      <c r="AM1275" t="s" s="53">
        <v>294</v>
      </c>
      <c r="AN1275" s="52"/>
      <c r="AO1275" s="56">
        <v>2</v>
      </c>
      <c r="AP1275" s="56">
        <v>8192</v>
      </c>
      <c r="AQ1275" s="56">
        <v>214127</v>
      </c>
      <c r="AR1275" s="56">
        <v>185791</v>
      </c>
      <c r="AS1275" t="s" s="53">
        <v>4821</v>
      </c>
      <c r="AT1275" s="52"/>
      <c r="AU1275" s="52"/>
      <c r="AV1275" s="52"/>
      <c r="AW1275" s="52"/>
      <c r="AX1275" s="52"/>
      <c r="AY1275" s="52"/>
      <c r="AZ1275" s="52"/>
      <c r="BA1275" s="52"/>
      <c r="BB1275" s="52"/>
      <c r="BC1275" s="52"/>
      <c r="BD1275" s="52"/>
      <c r="BE1275" s="52"/>
      <c r="BF1275" s="52"/>
      <c r="BG1275" s="52"/>
      <c r="BH1275" s="52"/>
      <c r="BI1275" s="52"/>
      <c r="BJ1275" s="52"/>
      <c r="BK1275" s="52"/>
      <c r="BL1275" s="52"/>
      <c r="BM1275" s="52"/>
      <c r="BN1275" s="52"/>
      <c r="BO1275" s="54"/>
      <c r="BP1275" s="8"/>
    </row>
    <row r="1276" ht="9" customHeight="1" hidden="1">
      <c r="A1276" t="s" s="47">
        <v>4822</v>
      </c>
      <c r="B1276" s="48"/>
      <c r="C1276" t="str" s="48" cm="1">
        <f t="array" ref="C1276">_xlfn.IFERROR((VLOOKUP(A1276,#REF!,2,FALSE)),"")</f>
      </c>
      <c r="D1276" s="48"/>
      <c r="E1276" t="s" s="49">
        <v>2974</v>
      </c>
      <c r="F1276" s="48"/>
      <c r="G1276" t="s" s="49">
        <v>4823</v>
      </c>
      <c r="H1276" t="s" s="49">
        <v>4823</v>
      </c>
      <c r="I1276" t="s" s="49">
        <v>82</v>
      </c>
      <c r="J1276" t="s" s="49">
        <v>82</v>
      </c>
      <c r="K1276" t="s" s="49">
        <v>82</v>
      </c>
      <c r="L1276" t="s" s="49">
        <v>76</v>
      </c>
      <c r="M1276" t="s" s="49">
        <v>77</v>
      </c>
      <c r="N1276" s="48"/>
      <c r="O1276" s="48"/>
      <c r="P1276" s="48"/>
      <c r="Q1276" t="s" s="49">
        <v>78</v>
      </c>
      <c r="R1276" t="s" s="49">
        <v>83</v>
      </c>
      <c r="S1276" s="48"/>
      <c r="T1276" s="48"/>
      <c r="U1276" s="48"/>
      <c r="V1276" t="s" s="49">
        <v>78</v>
      </c>
      <c r="W1276" s="48"/>
      <c r="X1276" t="s" s="49">
        <v>78</v>
      </c>
      <c r="Y1276" s="48"/>
      <c r="Z1276" t="s" s="49">
        <v>76</v>
      </c>
      <c r="AA1276" s="48"/>
      <c r="AB1276" t="s" s="49">
        <v>76</v>
      </c>
      <c r="AC1276" s="48"/>
      <c r="AD1276" s="48"/>
      <c r="AE1276" s="48"/>
      <c r="AF1276" s="48"/>
      <c r="AG1276" s="48"/>
      <c r="AH1276" s="48"/>
      <c r="AI1276" t="s" s="49">
        <v>76</v>
      </c>
      <c r="AJ1276" t="s" s="49">
        <v>76</v>
      </c>
      <c r="AK1276" t="s" s="49">
        <v>79</v>
      </c>
      <c r="AL1276" t="s" s="49">
        <v>293</v>
      </c>
      <c r="AM1276" t="s" s="49">
        <v>294</v>
      </c>
      <c r="AN1276" s="48"/>
      <c r="AO1276" s="55">
        <v>8</v>
      </c>
      <c r="AP1276" s="55">
        <v>16384</v>
      </c>
      <c r="AQ1276" s="55">
        <v>1579104</v>
      </c>
      <c r="AR1276" s="55">
        <v>1559681</v>
      </c>
      <c r="AS1276" t="s" s="49">
        <v>4824</v>
      </c>
      <c r="AT1276" s="48"/>
      <c r="AU1276" s="48"/>
      <c r="AV1276" s="48"/>
      <c r="AW1276" s="48"/>
      <c r="AX1276" s="48"/>
      <c r="AY1276" s="48"/>
      <c r="AZ1276" s="48"/>
      <c r="BA1276" s="48"/>
      <c r="BB1276" s="48"/>
      <c r="BC1276" s="48"/>
      <c r="BD1276" s="48"/>
      <c r="BE1276" s="48"/>
      <c r="BF1276" s="48"/>
      <c r="BG1276" s="48"/>
      <c r="BH1276" s="48"/>
      <c r="BI1276" s="48"/>
      <c r="BJ1276" s="48"/>
      <c r="BK1276" s="48"/>
      <c r="BL1276" s="48"/>
      <c r="BM1276" s="48"/>
      <c r="BN1276" s="48"/>
      <c r="BO1276" s="50"/>
      <c r="BP1276" s="8"/>
    </row>
    <row r="1277" ht="9" customHeight="1" hidden="1">
      <c r="A1277" t="s" s="51">
        <v>4825</v>
      </c>
      <c r="B1277" s="52"/>
      <c r="C1277" t="str" s="52" cm="1">
        <f t="array" ref="C1277">_xlfn.IFERROR((VLOOKUP(A1277,#REF!,2,FALSE)),"")</f>
      </c>
      <c r="D1277" t="s" s="53">
        <v>70</v>
      </c>
      <c r="E1277" t="s" s="53">
        <v>195</v>
      </c>
      <c r="F1277" s="52"/>
      <c r="G1277" t="s" s="53">
        <v>108</v>
      </c>
      <c r="H1277" t="s" s="53">
        <v>108</v>
      </c>
      <c r="I1277" t="s" s="53">
        <v>73</v>
      </c>
      <c r="J1277" t="s" s="53">
        <v>74</v>
      </c>
      <c r="K1277" t="s" s="53">
        <v>113</v>
      </c>
      <c r="L1277" t="s" s="53">
        <v>76</v>
      </c>
      <c r="M1277" t="s" s="53">
        <v>77</v>
      </c>
      <c r="N1277" t="s" s="53">
        <v>108</v>
      </c>
      <c r="O1277" t="s" s="53">
        <v>71</v>
      </c>
      <c r="P1277" s="52"/>
      <c r="Q1277" t="s" s="53">
        <v>78</v>
      </c>
      <c r="R1277" t="s" s="53">
        <v>71</v>
      </c>
      <c r="S1277" s="52"/>
      <c r="T1277" s="52"/>
      <c r="U1277" s="52"/>
      <c r="V1277" t="s" s="53">
        <v>69</v>
      </c>
      <c r="W1277" t="s" s="53">
        <v>4826</v>
      </c>
      <c r="X1277" t="s" s="53">
        <v>78</v>
      </c>
      <c r="Y1277" s="52"/>
      <c r="Z1277" t="s" s="53">
        <v>76</v>
      </c>
      <c r="AA1277" s="52"/>
      <c r="AB1277" t="s" s="53">
        <v>76</v>
      </c>
      <c r="AC1277" s="52"/>
      <c r="AD1277" s="52"/>
      <c r="AE1277" s="52"/>
      <c r="AF1277" s="52"/>
      <c r="AG1277" s="52"/>
      <c r="AH1277" s="52"/>
      <c r="AI1277" t="s" s="53">
        <v>76</v>
      </c>
      <c r="AJ1277" t="s" s="53">
        <v>76</v>
      </c>
      <c r="AK1277" t="s" s="53">
        <v>79</v>
      </c>
      <c r="AL1277" s="52"/>
      <c r="AM1277" t="s" s="53">
        <v>196</v>
      </c>
      <c r="AN1277" t="s" s="53">
        <v>116</v>
      </c>
      <c r="AO1277" s="52"/>
      <c r="AP1277" s="52"/>
      <c r="AQ1277" s="52"/>
      <c r="AR1277" s="52"/>
      <c r="AS1277" t="s" s="53">
        <v>4827</v>
      </c>
      <c r="AT1277" s="52"/>
      <c r="AU1277" s="52"/>
      <c r="AV1277" s="52"/>
      <c r="AW1277" s="52"/>
      <c r="AX1277" s="52"/>
      <c r="AY1277" s="52"/>
      <c r="AZ1277" s="52"/>
      <c r="BA1277" s="52"/>
      <c r="BB1277" s="52"/>
      <c r="BC1277" s="52"/>
      <c r="BD1277" s="52"/>
      <c r="BE1277" s="52"/>
      <c r="BF1277" s="52"/>
      <c r="BG1277" s="52"/>
      <c r="BH1277" s="52"/>
      <c r="BI1277" s="52"/>
      <c r="BJ1277" s="52"/>
      <c r="BK1277" s="52"/>
      <c r="BL1277" s="52"/>
      <c r="BM1277" s="52"/>
      <c r="BN1277" s="52"/>
      <c r="BO1277" s="54"/>
      <c r="BP1277" s="8"/>
    </row>
    <row r="1278" ht="9" customHeight="1" hidden="1">
      <c r="A1278" t="s" s="47">
        <v>4828</v>
      </c>
      <c r="B1278" s="48"/>
      <c r="C1278" t="str" s="48" cm="1">
        <f t="array" ref="C1278">_xlfn.IFERROR((VLOOKUP(A1278,#REF!,2,FALSE)),"")</f>
      </c>
      <c r="D1278" s="48"/>
      <c r="E1278" t="s" s="49">
        <v>303</v>
      </c>
      <c r="F1278" s="48"/>
      <c r="G1278" t="s" s="49">
        <v>4829</v>
      </c>
      <c r="H1278" t="s" s="49">
        <v>4830</v>
      </c>
      <c r="I1278" t="s" s="49">
        <v>73</v>
      </c>
      <c r="J1278" t="s" s="49">
        <v>122</v>
      </c>
      <c r="K1278" t="s" s="49">
        <v>140</v>
      </c>
      <c r="L1278" t="s" s="49">
        <v>76</v>
      </c>
      <c r="M1278" t="s" s="49">
        <v>77</v>
      </c>
      <c r="N1278" t="s" s="49">
        <v>4829</v>
      </c>
      <c r="O1278" t="s" s="49">
        <v>71</v>
      </c>
      <c r="P1278" s="48"/>
      <c r="Q1278" t="s" s="49">
        <v>78</v>
      </c>
      <c r="R1278" t="s" s="49">
        <v>71</v>
      </c>
      <c r="S1278" s="48"/>
      <c r="T1278" s="48"/>
      <c r="U1278" s="48"/>
      <c r="V1278" t="s" s="49">
        <v>78</v>
      </c>
      <c r="W1278" t="s" s="49">
        <v>4828</v>
      </c>
      <c r="X1278" t="s" s="49">
        <v>69</v>
      </c>
      <c r="Y1278" s="48"/>
      <c r="Z1278" t="s" s="49">
        <v>76</v>
      </c>
      <c r="AA1278" s="48"/>
      <c r="AB1278" t="s" s="49">
        <v>76</v>
      </c>
      <c r="AC1278" s="48"/>
      <c r="AD1278" s="48"/>
      <c r="AE1278" s="48"/>
      <c r="AF1278" s="48"/>
      <c r="AG1278" s="48"/>
      <c r="AH1278" t="s" s="49">
        <v>106</v>
      </c>
      <c r="AI1278" t="s" s="49">
        <v>76</v>
      </c>
      <c r="AJ1278" t="s" s="49">
        <v>76</v>
      </c>
      <c r="AK1278" t="s" s="49">
        <v>79</v>
      </c>
      <c r="AL1278" s="48"/>
      <c r="AM1278" s="48"/>
      <c r="AN1278" s="48"/>
      <c r="AO1278" s="48"/>
      <c r="AP1278" s="48"/>
      <c r="AQ1278" s="48"/>
      <c r="AR1278" s="48"/>
      <c r="AS1278" s="48"/>
      <c r="AT1278" s="48"/>
      <c r="AU1278" s="48"/>
      <c r="AV1278" s="48"/>
      <c r="AW1278" s="48"/>
      <c r="AX1278" s="48"/>
      <c r="AY1278" s="48"/>
      <c r="AZ1278" s="48"/>
      <c r="BA1278" s="48"/>
      <c r="BB1278" s="48"/>
      <c r="BC1278" s="48"/>
      <c r="BD1278" s="48"/>
      <c r="BE1278" s="48"/>
      <c r="BF1278" s="48"/>
      <c r="BG1278" s="48"/>
      <c r="BH1278" s="48"/>
      <c r="BI1278" s="48"/>
      <c r="BJ1278" s="48"/>
      <c r="BK1278" s="48"/>
      <c r="BL1278" s="48"/>
      <c r="BM1278" s="48"/>
      <c r="BN1278" s="48"/>
      <c r="BO1278" s="50"/>
      <c r="BP1278" s="8"/>
    </row>
    <row r="1279" ht="9" customHeight="1" hidden="1">
      <c r="A1279" t="s" s="51">
        <v>4831</v>
      </c>
      <c r="B1279" s="52"/>
      <c r="C1279" t="str" s="52" cm="1">
        <f t="array" ref="C1279">_xlfn.IFERROR((VLOOKUP(A1279,#REF!,2,FALSE)),"")</f>
      </c>
      <c r="D1279" t="s" s="53">
        <v>70</v>
      </c>
      <c r="E1279" t="s" s="53">
        <v>108</v>
      </c>
      <c r="F1279" s="52"/>
      <c r="G1279" t="s" s="53">
        <v>4832</v>
      </c>
      <c r="H1279" t="s" s="53">
        <v>4832</v>
      </c>
      <c r="I1279" t="s" s="53">
        <v>111</v>
      </c>
      <c r="J1279" t="s" s="53">
        <v>122</v>
      </c>
      <c r="K1279" t="s" s="53">
        <v>113</v>
      </c>
      <c r="L1279" t="s" s="53">
        <v>76</v>
      </c>
      <c r="M1279" t="s" s="53">
        <v>77</v>
      </c>
      <c r="N1279" t="s" s="53">
        <v>4832</v>
      </c>
      <c r="O1279" s="52"/>
      <c r="P1279" s="52"/>
      <c r="Q1279" t="s" s="53">
        <v>78</v>
      </c>
      <c r="R1279" t="s" s="53">
        <v>83</v>
      </c>
      <c r="S1279" s="52"/>
      <c r="T1279" s="52"/>
      <c r="U1279" s="52"/>
      <c r="V1279" t="s" s="53">
        <v>69</v>
      </c>
      <c r="W1279" s="52"/>
      <c r="X1279" t="s" s="53">
        <v>69</v>
      </c>
      <c r="Y1279" s="52"/>
      <c r="Z1279" t="s" s="53">
        <v>76</v>
      </c>
      <c r="AA1279" s="52"/>
      <c r="AB1279" t="s" s="53">
        <v>76</v>
      </c>
      <c r="AC1279" s="52"/>
      <c r="AD1279" s="52"/>
      <c r="AE1279" s="52"/>
      <c r="AF1279" s="52"/>
      <c r="AG1279" s="52"/>
      <c r="AH1279" t="s" s="53">
        <v>114</v>
      </c>
      <c r="AI1279" t="s" s="53">
        <v>76</v>
      </c>
      <c r="AJ1279" t="s" s="53">
        <v>76</v>
      </c>
      <c r="AK1279" t="s" s="53">
        <v>79</v>
      </c>
      <c r="AL1279" s="52"/>
      <c r="AM1279" s="52"/>
      <c r="AN1279" t="s" s="53">
        <v>187</v>
      </c>
      <c r="AO1279" s="52"/>
      <c r="AP1279" s="52"/>
      <c r="AQ1279" s="52"/>
      <c r="AR1279" s="52"/>
      <c r="AS1279" t="s" s="53">
        <v>4833</v>
      </c>
      <c r="AT1279" s="52"/>
      <c r="AU1279" s="52"/>
      <c r="AV1279" s="52"/>
      <c r="AW1279" s="52"/>
      <c r="AX1279" s="52"/>
      <c r="AY1279" s="52"/>
      <c r="AZ1279" s="52"/>
      <c r="BA1279" s="52"/>
      <c r="BB1279" s="52"/>
      <c r="BC1279" s="52"/>
      <c r="BD1279" t="s" s="53">
        <v>118</v>
      </c>
      <c r="BE1279" s="52"/>
      <c r="BF1279" s="52"/>
      <c r="BG1279" s="52"/>
      <c r="BH1279" s="52"/>
      <c r="BI1279" s="52"/>
      <c r="BJ1279" s="52"/>
      <c r="BK1279" s="52"/>
      <c r="BL1279" s="52"/>
      <c r="BM1279" s="52"/>
      <c r="BN1279" t="s" s="53">
        <v>78</v>
      </c>
      <c r="BO1279" s="54"/>
      <c r="BP1279" s="8"/>
    </row>
    <row r="1280" ht="9" customHeight="1" hidden="1">
      <c r="A1280" t="s" s="47">
        <v>4834</v>
      </c>
      <c r="B1280" s="48"/>
      <c r="C1280" t="str" s="48" cm="1">
        <f t="array" ref="C1280">_xlfn.IFERROR((VLOOKUP(A1280,#REF!,2,FALSE)),"")</f>
      </c>
      <c r="D1280" s="48"/>
      <c r="E1280" t="s" s="49">
        <v>261</v>
      </c>
      <c r="F1280" s="48"/>
      <c r="G1280" t="s" s="49">
        <v>76</v>
      </c>
      <c r="H1280" t="s" s="49">
        <v>76</v>
      </c>
      <c r="I1280" t="s" s="49">
        <v>111</v>
      </c>
      <c r="J1280" t="s" s="49">
        <v>122</v>
      </c>
      <c r="K1280" t="s" s="49">
        <v>127</v>
      </c>
      <c r="L1280" t="s" s="49">
        <v>76</v>
      </c>
      <c r="M1280" t="s" s="49">
        <v>77</v>
      </c>
      <c r="N1280" s="48"/>
      <c r="O1280" s="48"/>
      <c r="P1280" s="48"/>
      <c r="Q1280" t="s" s="49">
        <v>69</v>
      </c>
      <c r="R1280" t="s" s="49">
        <v>83</v>
      </c>
      <c r="S1280" s="48"/>
      <c r="T1280" s="48"/>
      <c r="U1280" s="48"/>
      <c r="V1280" t="s" s="49">
        <v>69</v>
      </c>
      <c r="W1280" s="48"/>
      <c r="X1280" t="s" s="49">
        <v>78</v>
      </c>
      <c r="Y1280" s="48"/>
      <c r="Z1280" t="s" s="49">
        <v>76</v>
      </c>
      <c r="AA1280" s="48"/>
      <c r="AB1280" t="s" s="49">
        <v>76</v>
      </c>
      <c r="AC1280" t="s" s="49">
        <v>4834</v>
      </c>
      <c r="AD1280" s="48"/>
      <c r="AE1280" s="48"/>
      <c r="AF1280" s="48"/>
      <c r="AG1280" s="48"/>
      <c r="AH1280" s="48"/>
      <c r="AI1280" t="s" s="49">
        <v>76</v>
      </c>
      <c r="AJ1280" t="s" s="49">
        <v>76</v>
      </c>
      <c r="AK1280" t="s" s="49">
        <v>79</v>
      </c>
      <c r="AL1280" s="48"/>
      <c r="AM1280" s="48"/>
      <c r="AN1280" t="s" s="49">
        <v>128</v>
      </c>
      <c r="AO1280" s="48"/>
      <c r="AP1280" s="48"/>
      <c r="AQ1280" s="48"/>
      <c r="AR1280" s="48"/>
      <c r="AS1280" t="s" s="49">
        <v>4835</v>
      </c>
      <c r="AT1280" s="48"/>
      <c r="AU1280" s="48"/>
      <c r="AV1280" s="48"/>
      <c r="AW1280" s="48"/>
      <c r="AX1280" s="48"/>
      <c r="AY1280" s="48"/>
      <c r="AZ1280" s="48"/>
      <c r="BA1280" s="48"/>
      <c r="BB1280" s="48"/>
      <c r="BC1280" s="48"/>
      <c r="BD1280" s="48"/>
      <c r="BE1280" s="48"/>
      <c r="BF1280" s="48"/>
      <c r="BG1280" s="48"/>
      <c r="BH1280" s="48"/>
      <c r="BI1280" s="48"/>
      <c r="BJ1280" s="48"/>
      <c r="BK1280" s="48"/>
      <c r="BL1280" s="48"/>
      <c r="BM1280" s="48"/>
      <c r="BN1280" s="48"/>
      <c r="BO1280" s="50"/>
      <c r="BP1280" s="8"/>
    </row>
    <row r="1281" ht="9" customHeight="1" hidden="1">
      <c r="A1281" t="s" s="51">
        <v>4836</v>
      </c>
      <c r="B1281" s="52"/>
      <c r="C1281" t="str" s="52" cm="1">
        <f t="array" ref="C1281">_xlfn.IFERROR((VLOOKUP(A1281,#REF!,2,FALSE)),"")</f>
      </c>
      <c r="D1281" t="s" s="53">
        <v>70</v>
      </c>
      <c r="E1281" t="s" s="53">
        <v>126</v>
      </c>
      <c r="F1281" s="52"/>
      <c r="G1281" s="52"/>
      <c r="H1281" s="52"/>
      <c r="I1281" t="s" s="53">
        <v>111</v>
      </c>
      <c r="J1281" t="s" s="53">
        <v>122</v>
      </c>
      <c r="K1281" t="s" s="53">
        <v>127</v>
      </c>
      <c r="L1281" t="s" s="53">
        <v>76</v>
      </c>
      <c r="M1281" t="s" s="53">
        <v>77</v>
      </c>
      <c r="N1281" s="52"/>
      <c r="O1281" s="52"/>
      <c r="P1281" s="52"/>
      <c r="Q1281" t="s" s="53">
        <v>69</v>
      </c>
      <c r="R1281" t="s" s="53">
        <v>83</v>
      </c>
      <c r="S1281" s="52"/>
      <c r="T1281" s="52"/>
      <c r="U1281" s="52"/>
      <c r="V1281" t="s" s="53">
        <v>69</v>
      </c>
      <c r="W1281" s="52"/>
      <c r="X1281" t="s" s="53">
        <v>78</v>
      </c>
      <c r="Y1281" s="52"/>
      <c r="Z1281" t="s" s="53">
        <v>76</v>
      </c>
      <c r="AA1281" s="52"/>
      <c r="AB1281" t="s" s="53">
        <v>76</v>
      </c>
      <c r="AC1281" t="s" s="53">
        <v>4836</v>
      </c>
      <c r="AD1281" s="52"/>
      <c r="AE1281" s="52"/>
      <c r="AF1281" s="52"/>
      <c r="AG1281" s="52"/>
      <c r="AH1281" s="52"/>
      <c r="AI1281" t="s" s="53">
        <v>76</v>
      </c>
      <c r="AJ1281" t="s" s="53">
        <v>76</v>
      </c>
      <c r="AK1281" t="s" s="53">
        <v>79</v>
      </c>
      <c r="AL1281" s="52"/>
      <c r="AM1281" s="52"/>
      <c r="AN1281" t="s" s="53">
        <v>187</v>
      </c>
      <c r="AO1281" s="52"/>
      <c r="AP1281" s="52"/>
      <c r="AQ1281" s="52"/>
      <c r="AR1281" s="52"/>
      <c r="AS1281" t="s" s="53">
        <v>4837</v>
      </c>
      <c r="AT1281" s="52"/>
      <c r="AU1281" s="52"/>
      <c r="AV1281" s="52"/>
      <c r="AW1281" s="52"/>
      <c r="AX1281" s="52"/>
      <c r="AY1281" s="52"/>
      <c r="AZ1281" s="52"/>
      <c r="BA1281" s="52"/>
      <c r="BB1281" s="52"/>
      <c r="BC1281" s="52"/>
      <c r="BD1281" s="52"/>
      <c r="BE1281" s="52"/>
      <c r="BF1281" s="52"/>
      <c r="BG1281" s="52"/>
      <c r="BH1281" s="52"/>
      <c r="BI1281" s="52"/>
      <c r="BJ1281" s="52"/>
      <c r="BK1281" s="52"/>
      <c r="BL1281" s="52"/>
      <c r="BM1281" s="52"/>
      <c r="BN1281" t="s" s="53">
        <v>78</v>
      </c>
      <c r="BO1281" s="54"/>
      <c r="BP1281" s="8"/>
    </row>
    <row r="1282" ht="9" customHeight="1" hidden="1">
      <c r="A1282" t="s" s="47">
        <v>4838</v>
      </c>
      <c r="B1282" s="48"/>
      <c r="C1282" t="str" s="48" cm="1">
        <f t="array" ref="C1282">_xlfn.IFERROR((VLOOKUP(A1282,#REF!,2,FALSE)),"")</f>
      </c>
      <c r="D1282" t="s" s="49">
        <v>70</v>
      </c>
      <c r="E1282" t="s" s="49">
        <v>108</v>
      </c>
      <c r="F1282" s="48"/>
      <c r="G1282" t="s" s="49">
        <v>4839</v>
      </c>
      <c r="H1282" t="s" s="49">
        <v>4840</v>
      </c>
      <c r="I1282" t="s" s="49">
        <v>111</v>
      </c>
      <c r="J1282" t="s" s="49">
        <v>112</v>
      </c>
      <c r="K1282" t="s" s="49">
        <v>113</v>
      </c>
      <c r="L1282" t="s" s="49">
        <v>76</v>
      </c>
      <c r="M1282" t="s" s="49">
        <v>77</v>
      </c>
      <c r="N1282" t="s" s="49">
        <v>4839</v>
      </c>
      <c r="O1282" s="48"/>
      <c r="P1282" s="48"/>
      <c r="Q1282" t="s" s="49">
        <v>78</v>
      </c>
      <c r="R1282" t="s" s="49">
        <v>83</v>
      </c>
      <c r="S1282" s="48"/>
      <c r="T1282" s="48"/>
      <c r="U1282" s="48"/>
      <c r="V1282" t="s" s="49">
        <v>69</v>
      </c>
      <c r="W1282" s="48"/>
      <c r="X1282" t="s" s="49">
        <v>69</v>
      </c>
      <c r="Y1282" s="48"/>
      <c r="Z1282" t="s" s="49">
        <v>76</v>
      </c>
      <c r="AA1282" s="48"/>
      <c r="AB1282" t="s" s="49">
        <v>76</v>
      </c>
      <c r="AC1282" s="48"/>
      <c r="AD1282" s="48"/>
      <c r="AE1282" s="48"/>
      <c r="AF1282" s="48"/>
      <c r="AG1282" s="48"/>
      <c r="AH1282" t="s" s="49">
        <v>114</v>
      </c>
      <c r="AI1282" t="s" s="49">
        <v>76</v>
      </c>
      <c r="AJ1282" t="s" s="49">
        <v>76</v>
      </c>
      <c r="AK1282" t="s" s="49">
        <v>79</v>
      </c>
      <c r="AL1282" s="48"/>
      <c r="AM1282" s="48"/>
      <c r="AN1282" t="s" s="49">
        <v>1522</v>
      </c>
      <c r="AO1282" s="48"/>
      <c r="AP1282" s="48"/>
      <c r="AQ1282" s="48"/>
      <c r="AR1282" s="48"/>
      <c r="AS1282" t="s" s="49">
        <v>4841</v>
      </c>
      <c r="AT1282" s="48"/>
      <c r="AU1282" s="48"/>
      <c r="AV1282" s="48"/>
      <c r="AW1282" s="48"/>
      <c r="AX1282" s="48"/>
      <c r="AY1282" s="48"/>
      <c r="AZ1282" s="48"/>
      <c r="BA1282" s="48"/>
      <c r="BB1282" s="48"/>
      <c r="BC1282" s="48"/>
      <c r="BD1282" t="s" s="49">
        <v>118</v>
      </c>
      <c r="BE1282" s="48"/>
      <c r="BF1282" s="48"/>
      <c r="BG1282" s="48"/>
      <c r="BH1282" s="48"/>
      <c r="BI1282" s="48"/>
      <c r="BJ1282" s="48"/>
      <c r="BK1282" s="48"/>
      <c r="BL1282" s="48"/>
      <c r="BM1282" s="48"/>
      <c r="BN1282" t="s" s="49">
        <v>78</v>
      </c>
      <c r="BO1282" s="50"/>
      <c r="BP1282" s="8"/>
    </row>
    <row r="1283" ht="9" customHeight="1" hidden="1">
      <c r="A1283" t="s" s="51">
        <v>4842</v>
      </c>
      <c r="B1283" s="52"/>
      <c r="C1283" t="str" s="52" cm="1">
        <f t="array" ref="C1283">_xlfn.IFERROR((VLOOKUP(A1283,#REF!,2,FALSE)),"")</f>
      </c>
      <c r="D1283" t="s" s="53">
        <v>70</v>
      </c>
      <c r="E1283" t="s" s="53">
        <v>1181</v>
      </c>
      <c r="F1283" s="52"/>
      <c r="G1283" t="s" s="53">
        <v>4843</v>
      </c>
      <c r="H1283" t="s" s="53">
        <v>4843</v>
      </c>
      <c r="I1283" t="s" s="53">
        <v>111</v>
      </c>
      <c r="J1283" t="s" s="53">
        <v>122</v>
      </c>
      <c r="K1283" t="s" s="53">
        <v>113</v>
      </c>
      <c r="L1283" t="s" s="53">
        <v>76</v>
      </c>
      <c r="M1283" t="s" s="53">
        <v>77</v>
      </c>
      <c r="N1283" t="s" s="53">
        <v>4843</v>
      </c>
      <c r="O1283" s="52"/>
      <c r="P1283" s="52"/>
      <c r="Q1283" t="s" s="53">
        <v>78</v>
      </c>
      <c r="R1283" t="s" s="53">
        <v>83</v>
      </c>
      <c r="S1283" s="52"/>
      <c r="T1283" s="52"/>
      <c r="U1283" s="52"/>
      <c r="V1283" t="s" s="53">
        <v>69</v>
      </c>
      <c r="W1283" s="52"/>
      <c r="X1283" t="s" s="53">
        <v>78</v>
      </c>
      <c r="Y1283" s="52"/>
      <c r="Z1283" t="s" s="53">
        <v>76</v>
      </c>
      <c r="AA1283" s="52"/>
      <c r="AB1283" t="s" s="53">
        <v>76</v>
      </c>
      <c r="AC1283" s="52"/>
      <c r="AD1283" s="52"/>
      <c r="AE1283" s="52"/>
      <c r="AF1283" s="52"/>
      <c r="AG1283" s="52"/>
      <c r="AH1283" t="s" s="53">
        <v>106</v>
      </c>
      <c r="AI1283" t="s" s="53">
        <v>76</v>
      </c>
      <c r="AJ1283" t="s" s="53">
        <v>76</v>
      </c>
      <c r="AK1283" t="s" s="53">
        <v>79</v>
      </c>
      <c r="AL1283" s="52"/>
      <c r="AM1283" s="52"/>
      <c r="AN1283" t="s" s="53">
        <v>1651</v>
      </c>
      <c r="AO1283" s="52"/>
      <c r="AP1283" s="52"/>
      <c r="AQ1283" s="52"/>
      <c r="AR1283" s="52"/>
      <c r="AS1283" t="s" s="53">
        <v>4844</v>
      </c>
      <c r="AT1283" s="52"/>
      <c r="AU1283" s="52"/>
      <c r="AV1283" s="52"/>
      <c r="AW1283" s="52"/>
      <c r="AX1283" s="52"/>
      <c r="AY1283" s="52"/>
      <c r="AZ1283" s="52"/>
      <c r="BA1283" s="52"/>
      <c r="BB1283" s="52"/>
      <c r="BC1283" s="52"/>
      <c r="BD1283" s="52"/>
      <c r="BE1283" s="52"/>
      <c r="BF1283" s="52"/>
      <c r="BG1283" s="52"/>
      <c r="BH1283" s="52"/>
      <c r="BI1283" s="52"/>
      <c r="BJ1283" s="52"/>
      <c r="BK1283" s="52"/>
      <c r="BL1283" s="52"/>
      <c r="BM1283" s="52"/>
      <c r="BN1283" t="s" s="53">
        <v>78</v>
      </c>
      <c r="BO1283" s="54"/>
      <c r="BP1283" s="8"/>
    </row>
    <row r="1284" ht="9" customHeight="1" hidden="1">
      <c r="A1284" t="s" s="47">
        <v>4845</v>
      </c>
      <c r="B1284" s="48"/>
      <c r="C1284" t="str" s="48" cm="1">
        <f t="array" ref="C1284">_xlfn.IFERROR((VLOOKUP(A1284,#REF!,2,FALSE)),"")</f>
      </c>
      <c r="D1284" t="s" s="49">
        <v>70</v>
      </c>
      <c r="E1284" t="s" s="49">
        <v>1181</v>
      </c>
      <c r="F1284" s="48"/>
      <c r="G1284" t="s" s="49">
        <v>4846</v>
      </c>
      <c r="H1284" t="s" s="49">
        <v>4846</v>
      </c>
      <c r="I1284" t="s" s="49">
        <v>82</v>
      </c>
      <c r="J1284" t="s" s="49">
        <v>82</v>
      </c>
      <c r="K1284" t="s" s="49">
        <v>82</v>
      </c>
      <c r="L1284" t="s" s="49">
        <v>76</v>
      </c>
      <c r="M1284" t="s" s="49">
        <v>77</v>
      </c>
      <c r="N1284" t="s" s="49">
        <v>4846</v>
      </c>
      <c r="O1284" s="48"/>
      <c r="P1284" s="48"/>
      <c r="Q1284" t="s" s="49">
        <v>78</v>
      </c>
      <c r="R1284" t="s" s="49">
        <v>83</v>
      </c>
      <c r="S1284" s="48"/>
      <c r="T1284" s="48"/>
      <c r="U1284" s="48"/>
      <c r="V1284" t="s" s="49">
        <v>78</v>
      </c>
      <c r="W1284" s="48"/>
      <c r="X1284" t="s" s="49">
        <v>78</v>
      </c>
      <c r="Y1284" s="48"/>
      <c r="Z1284" t="s" s="49">
        <v>76</v>
      </c>
      <c r="AA1284" s="48"/>
      <c r="AB1284" t="s" s="49">
        <v>76</v>
      </c>
      <c r="AC1284" s="48"/>
      <c r="AD1284" s="48"/>
      <c r="AE1284" s="48"/>
      <c r="AF1284" s="48"/>
      <c r="AG1284" t="s" s="49">
        <v>299</v>
      </c>
      <c r="AH1284" t="s" s="49">
        <v>106</v>
      </c>
      <c r="AI1284" t="s" s="49">
        <v>76</v>
      </c>
      <c r="AJ1284" t="s" s="49">
        <v>76</v>
      </c>
      <c r="AK1284" t="s" s="49">
        <v>79</v>
      </c>
      <c r="AL1284" t="s" s="49">
        <v>293</v>
      </c>
      <c r="AM1284" t="s" s="49">
        <v>294</v>
      </c>
      <c r="AN1284" s="48"/>
      <c r="AO1284" s="55">
        <v>4</v>
      </c>
      <c r="AP1284" s="55">
        <v>4096</v>
      </c>
      <c r="AQ1284" s="55">
        <v>106604</v>
      </c>
      <c r="AR1284" s="55">
        <v>6738</v>
      </c>
      <c r="AS1284" t="s" s="49">
        <v>4847</v>
      </c>
      <c r="AT1284" t="s" s="49">
        <v>301</v>
      </c>
      <c r="AU1284" s="48"/>
      <c r="AV1284" s="48"/>
      <c r="AW1284" s="48"/>
      <c r="AX1284" s="48"/>
      <c r="AY1284" s="48"/>
      <c r="AZ1284" s="48"/>
      <c r="BA1284" s="48"/>
      <c r="BB1284" s="48"/>
      <c r="BC1284" s="48"/>
      <c r="BD1284" s="48"/>
      <c r="BE1284" s="48"/>
      <c r="BF1284" s="48"/>
      <c r="BG1284" s="48"/>
      <c r="BH1284" s="48"/>
      <c r="BI1284" s="48"/>
      <c r="BJ1284" s="48"/>
      <c r="BK1284" s="48"/>
      <c r="BL1284" s="48"/>
      <c r="BM1284" s="48"/>
      <c r="BN1284" s="48"/>
      <c r="BO1284" s="50"/>
      <c r="BP1284" s="8"/>
    </row>
    <row r="1285" ht="9" customHeight="1" hidden="1">
      <c r="A1285" t="s" s="51">
        <v>4848</v>
      </c>
      <c r="B1285" s="52"/>
      <c r="C1285" t="str" s="52" cm="1">
        <f t="array" ref="C1285">_xlfn.IFERROR((VLOOKUP(A1285,#REF!,2,FALSE)),"")</f>
      </c>
      <c r="D1285" t="s" s="53">
        <v>70</v>
      </c>
      <c r="E1285" t="s" s="53">
        <v>1181</v>
      </c>
      <c r="F1285" s="52"/>
      <c r="G1285" t="s" s="53">
        <v>4849</v>
      </c>
      <c r="H1285" t="s" s="53">
        <v>4849</v>
      </c>
      <c r="I1285" t="s" s="53">
        <v>82</v>
      </c>
      <c r="J1285" t="s" s="53">
        <v>82</v>
      </c>
      <c r="K1285" t="s" s="53">
        <v>82</v>
      </c>
      <c r="L1285" t="s" s="53">
        <v>76</v>
      </c>
      <c r="M1285" t="s" s="53">
        <v>77</v>
      </c>
      <c r="N1285" t="s" s="53">
        <v>4849</v>
      </c>
      <c r="O1285" s="52"/>
      <c r="P1285" s="52"/>
      <c r="Q1285" t="s" s="53">
        <v>78</v>
      </c>
      <c r="R1285" t="s" s="53">
        <v>83</v>
      </c>
      <c r="S1285" s="52"/>
      <c r="T1285" s="52"/>
      <c r="U1285" s="52"/>
      <c r="V1285" t="s" s="53">
        <v>78</v>
      </c>
      <c r="W1285" s="52"/>
      <c r="X1285" t="s" s="53">
        <v>78</v>
      </c>
      <c r="Y1285" s="52"/>
      <c r="Z1285" t="s" s="53">
        <v>76</v>
      </c>
      <c r="AA1285" s="52"/>
      <c r="AB1285" t="s" s="53">
        <v>76</v>
      </c>
      <c r="AC1285" s="52"/>
      <c r="AD1285" s="52"/>
      <c r="AE1285" s="52"/>
      <c r="AF1285" s="52"/>
      <c r="AG1285" s="52"/>
      <c r="AH1285" t="s" s="53">
        <v>106</v>
      </c>
      <c r="AI1285" t="s" s="53">
        <v>76</v>
      </c>
      <c r="AJ1285" t="s" s="53">
        <v>76</v>
      </c>
      <c r="AK1285" t="s" s="53">
        <v>79</v>
      </c>
      <c r="AL1285" s="52"/>
      <c r="AM1285" s="52"/>
      <c r="AN1285" s="52"/>
      <c r="AO1285" s="52"/>
      <c r="AP1285" s="52"/>
      <c r="AQ1285" s="52"/>
      <c r="AR1285" s="52"/>
      <c r="AS1285" s="52"/>
      <c r="AT1285" s="52"/>
      <c r="AU1285" s="52"/>
      <c r="AV1285" s="52"/>
      <c r="AW1285" s="52"/>
      <c r="AX1285" s="52"/>
      <c r="AY1285" s="52"/>
      <c r="AZ1285" s="52"/>
      <c r="BA1285" s="52"/>
      <c r="BB1285" s="52"/>
      <c r="BC1285" s="52"/>
      <c r="BD1285" s="52"/>
      <c r="BE1285" s="52"/>
      <c r="BF1285" s="52"/>
      <c r="BG1285" s="52"/>
      <c r="BH1285" s="52"/>
      <c r="BI1285" s="52"/>
      <c r="BJ1285" s="52"/>
      <c r="BK1285" s="52"/>
      <c r="BL1285" s="52"/>
      <c r="BM1285" s="52"/>
      <c r="BN1285" s="52"/>
      <c r="BO1285" s="54"/>
      <c r="BP1285" s="8"/>
    </row>
    <row r="1286" ht="9" customHeight="1" hidden="1">
      <c r="A1286" t="s" s="47">
        <v>4850</v>
      </c>
      <c r="B1286" s="48"/>
      <c r="C1286" t="str" s="48" cm="1">
        <f t="array" ref="C1286">_xlfn.IFERROR((VLOOKUP(A1286,#REF!,2,FALSE)),"")</f>
      </c>
      <c r="D1286" s="48"/>
      <c r="E1286" s="48"/>
      <c r="F1286" s="48"/>
      <c r="G1286" t="s" s="49">
        <v>4851</v>
      </c>
      <c r="H1286" t="s" s="49">
        <v>4851</v>
      </c>
      <c r="I1286" t="s" s="49">
        <v>73</v>
      </c>
      <c r="J1286" t="s" s="49">
        <v>74</v>
      </c>
      <c r="K1286" t="s" s="49">
        <v>105</v>
      </c>
      <c r="L1286" t="s" s="49">
        <v>76</v>
      </c>
      <c r="M1286" t="s" s="49">
        <v>77</v>
      </c>
      <c r="N1286" t="s" s="49">
        <v>4851</v>
      </c>
      <c r="O1286" t="s" s="49">
        <v>71</v>
      </c>
      <c r="P1286" s="48"/>
      <c r="Q1286" t="s" s="49">
        <v>78</v>
      </c>
      <c r="R1286" t="s" s="49">
        <v>71</v>
      </c>
      <c r="S1286" s="48"/>
      <c r="T1286" s="48"/>
      <c r="U1286" s="48"/>
      <c r="V1286" t="s" s="49">
        <v>78</v>
      </c>
      <c r="W1286" t="s" s="49">
        <v>4850</v>
      </c>
      <c r="X1286" t="s" s="49">
        <v>69</v>
      </c>
      <c r="Y1286" s="48"/>
      <c r="Z1286" t="s" s="49">
        <v>76</v>
      </c>
      <c r="AA1286" s="48"/>
      <c r="AB1286" t="s" s="49">
        <v>76</v>
      </c>
      <c r="AC1286" s="48"/>
      <c r="AD1286" s="48"/>
      <c r="AE1286" s="48"/>
      <c r="AF1286" s="48"/>
      <c r="AG1286" s="48"/>
      <c r="AH1286" t="s" s="49">
        <v>114</v>
      </c>
      <c r="AI1286" t="s" s="49">
        <v>76</v>
      </c>
      <c r="AJ1286" t="s" s="49">
        <v>76</v>
      </c>
      <c r="AK1286" t="s" s="49">
        <v>79</v>
      </c>
      <c r="AL1286" s="48"/>
      <c r="AM1286" s="48"/>
      <c r="AN1286" s="48"/>
      <c r="AO1286" s="48"/>
      <c r="AP1286" s="48"/>
      <c r="AQ1286" s="48"/>
      <c r="AR1286" s="48"/>
      <c r="AS1286" s="48"/>
      <c r="AT1286" s="48"/>
      <c r="AU1286" s="48"/>
      <c r="AV1286" s="48"/>
      <c r="AW1286" s="48"/>
      <c r="AX1286" s="48"/>
      <c r="AY1286" s="48"/>
      <c r="AZ1286" s="48"/>
      <c r="BA1286" s="48"/>
      <c r="BB1286" s="48"/>
      <c r="BC1286" s="48"/>
      <c r="BD1286" t="s" s="49">
        <v>118</v>
      </c>
      <c r="BE1286" s="48"/>
      <c r="BF1286" s="48"/>
      <c r="BG1286" s="48"/>
      <c r="BH1286" s="48"/>
      <c r="BI1286" s="48"/>
      <c r="BJ1286" s="48"/>
      <c r="BK1286" s="48"/>
      <c r="BL1286" s="48"/>
      <c r="BM1286" s="48"/>
      <c r="BN1286" s="48"/>
      <c r="BO1286" s="50"/>
      <c r="BP1286" s="8"/>
    </row>
    <row r="1287" ht="9" customHeight="1" hidden="1">
      <c r="A1287" t="s" s="51">
        <v>4852</v>
      </c>
      <c r="B1287" s="52"/>
      <c r="C1287" t="str" s="52" cm="1">
        <f t="array" ref="C1287">_xlfn.IFERROR((VLOOKUP(A1287,#REF!,2,FALSE)),"")</f>
      </c>
      <c r="D1287" s="52"/>
      <c r="E1287" t="s" s="53">
        <v>842</v>
      </c>
      <c r="F1287" s="52"/>
      <c r="G1287" t="s" s="53">
        <v>76</v>
      </c>
      <c r="H1287" t="s" s="53">
        <v>76</v>
      </c>
      <c r="I1287" t="s" s="53">
        <v>82</v>
      </c>
      <c r="J1287" t="s" s="53">
        <v>82</v>
      </c>
      <c r="K1287" t="s" s="53">
        <v>82</v>
      </c>
      <c r="L1287" t="s" s="53">
        <v>76</v>
      </c>
      <c r="M1287" t="s" s="53">
        <v>77</v>
      </c>
      <c r="N1287" s="52"/>
      <c r="O1287" s="52"/>
      <c r="P1287" s="52"/>
      <c r="Q1287" t="s" s="53">
        <v>78</v>
      </c>
      <c r="R1287" t="s" s="53">
        <v>83</v>
      </c>
      <c r="S1287" s="52"/>
      <c r="T1287" s="52"/>
      <c r="U1287" s="52"/>
      <c r="V1287" t="s" s="53">
        <v>78</v>
      </c>
      <c r="W1287" s="52"/>
      <c r="X1287" t="s" s="53">
        <v>78</v>
      </c>
      <c r="Y1287" s="52"/>
      <c r="Z1287" t="s" s="53">
        <v>76</v>
      </c>
      <c r="AA1287" s="52"/>
      <c r="AB1287" t="s" s="53">
        <v>76</v>
      </c>
      <c r="AC1287" s="52"/>
      <c r="AD1287" s="52"/>
      <c r="AE1287" s="52"/>
      <c r="AF1287" s="52"/>
      <c r="AG1287" s="52"/>
      <c r="AH1287" s="52"/>
      <c r="AI1287" t="s" s="53">
        <v>76</v>
      </c>
      <c r="AJ1287" t="s" s="53">
        <v>76</v>
      </c>
      <c r="AK1287" t="s" s="53">
        <v>79</v>
      </c>
      <c r="AL1287" t="s" s="53">
        <v>293</v>
      </c>
      <c r="AM1287" t="s" s="53">
        <v>294</v>
      </c>
      <c r="AN1287" s="52"/>
      <c r="AO1287" s="56">
        <v>8</v>
      </c>
      <c r="AP1287" s="56">
        <v>16384</v>
      </c>
      <c r="AQ1287" s="56">
        <v>246930</v>
      </c>
      <c r="AR1287" s="56">
        <v>246930</v>
      </c>
      <c r="AS1287" t="s" s="53">
        <v>4853</v>
      </c>
      <c r="AT1287" s="52"/>
      <c r="AU1287" s="52"/>
      <c r="AV1287" s="52"/>
      <c r="AW1287" s="52"/>
      <c r="AX1287" s="52"/>
      <c r="AY1287" s="52"/>
      <c r="AZ1287" s="52"/>
      <c r="BA1287" s="52"/>
      <c r="BB1287" s="52"/>
      <c r="BC1287" s="52"/>
      <c r="BD1287" s="52"/>
      <c r="BE1287" s="52"/>
      <c r="BF1287" s="52"/>
      <c r="BG1287" s="52"/>
      <c r="BH1287" s="52"/>
      <c r="BI1287" s="52"/>
      <c r="BJ1287" s="52"/>
      <c r="BK1287" s="52"/>
      <c r="BL1287" s="52"/>
      <c r="BM1287" s="52"/>
      <c r="BN1287" s="52"/>
      <c r="BO1287" s="54"/>
      <c r="BP1287" s="8"/>
    </row>
    <row r="1288" ht="9" customHeight="1" hidden="1">
      <c r="A1288" t="s" s="47">
        <v>4854</v>
      </c>
      <c r="B1288" s="48"/>
      <c r="C1288" t="str" s="48" cm="1">
        <f t="array" ref="C1288">_xlfn.IFERROR((VLOOKUP(A1288,#REF!,2,FALSE)),"")</f>
      </c>
      <c r="D1288" t="s" s="49">
        <v>70</v>
      </c>
      <c r="E1288" t="s" s="49">
        <v>108</v>
      </c>
      <c r="F1288" s="48"/>
      <c r="G1288" t="s" s="49">
        <v>4855</v>
      </c>
      <c r="H1288" t="s" s="49">
        <v>4856</v>
      </c>
      <c r="I1288" t="s" s="49">
        <v>111</v>
      </c>
      <c r="J1288" t="s" s="49">
        <v>122</v>
      </c>
      <c r="K1288" t="s" s="49">
        <v>113</v>
      </c>
      <c r="L1288" t="s" s="49">
        <v>76</v>
      </c>
      <c r="M1288" t="s" s="49">
        <v>77</v>
      </c>
      <c r="N1288" t="s" s="49">
        <v>4855</v>
      </c>
      <c r="O1288" s="48"/>
      <c r="P1288" s="48"/>
      <c r="Q1288" t="s" s="49">
        <v>78</v>
      </c>
      <c r="R1288" t="s" s="49">
        <v>339</v>
      </c>
      <c r="S1288" s="48"/>
      <c r="T1288" s="48"/>
      <c r="U1288" s="48"/>
      <c r="V1288" t="s" s="49">
        <v>69</v>
      </c>
      <c r="W1288" s="48"/>
      <c r="X1288" t="s" s="49">
        <v>69</v>
      </c>
      <c r="Y1288" s="48"/>
      <c r="Z1288" t="s" s="49">
        <v>76</v>
      </c>
      <c r="AA1288" s="48"/>
      <c r="AB1288" t="s" s="49">
        <v>76</v>
      </c>
      <c r="AC1288" s="48"/>
      <c r="AD1288" s="48"/>
      <c r="AE1288" s="48"/>
      <c r="AF1288" s="48"/>
      <c r="AG1288" s="48"/>
      <c r="AH1288" t="s" s="49">
        <v>114</v>
      </c>
      <c r="AI1288" t="s" s="49">
        <v>76</v>
      </c>
      <c r="AJ1288" t="s" s="49">
        <v>76</v>
      </c>
      <c r="AK1288" t="s" s="49">
        <v>79</v>
      </c>
      <c r="AL1288" s="48"/>
      <c r="AM1288" s="48"/>
      <c r="AN1288" t="s" s="49">
        <v>4857</v>
      </c>
      <c r="AO1288" s="48"/>
      <c r="AP1288" s="48"/>
      <c r="AQ1288" s="48"/>
      <c r="AR1288" s="48"/>
      <c r="AS1288" t="s" s="49">
        <v>4858</v>
      </c>
      <c r="AT1288" s="48"/>
      <c r="AU1288" s="48"/>
      <c r="AV1288" s="48"/>
      <c r="AW1288" s="48"/>
      <c r="AX1288" s="48"/>
      <c r="AY1288" s="48"/>
      <c r="AZ1288" s="48"/>
      <c r="BA1288" s="48"/>
      <c r="BB1288" s="48"/>
      <c r="BC1288" s="48"/>
      <c r="BD1288" t="s" s="49">
        <v>118</v>
      </c>
      <c r="BE1288" s="48"/>
      <c r="BF1288" s="48"/>
      <c r="BG1288" s="48"/>
      <c r="BH1288" s="48"/>
      <c r="BI1288" s="48"/>
      <c r="BJ1288" s="48"/>
      <c r="BK1288" s="48"/>
      <c r="BL1288" s="48"/>
      <c r="BM1288" s="48"/>
      <c r="BN1288" t="s" s="49">
        <v>78</v>
      </c>
      <c r="BO1288" s="50"/>
      <c r="BP1288" s="8"/>
    </row>
    <row r="1289" ht="9" customHeight="1" hidden="1">
      <c r="A1289" t="s" s="51">
        <v>4859</v>
      </c>
      <c r="B1289" s="52"/>
      <c r="C1289" t="str" s="52" cm="1">
        <f t="array" ref="C1289">_xlfn.IFERROR((VLOOKUP(A1289,#REF!,2,FALSE)),"")</f>
      </c>
      <c r="D1289" s="52"/>
      <c r="E1289" t="s" s="53">
        <v>842</v>
      </c>
      <c r="F1289" s="52"/>
      <c r="G1289" t="s" s="53">
        <v>76</v>
      </c>
      <c r="H1289" t="s" s="53">
        <v>76</v>
      </c>
      <c r="I1289" t="s" s="53">
        <v>82</v>
      </c>
      <c r="J1289" t="s" s="53">
        <v>82</v>
      </c>
      <c r="K1289" t="s" s="53">
        <v>82</v>
      </c>
      <c r="L1289" t="s" s="53">
        <v>76</v>
      </c>
      <c r="M1289" t="s" s="53">
        <v>77</v>
      </c>
      <c r="N1289" s="52"/>
      <c r="O1289" s="52"/>
      <c r="P1289" s="52"/>
      <c r="Q1289" t="s" s="53">
        <v>78</v>
      </c>
      <c r="R1289" t="s" s="53">
        <v>83</v>
      </c>
      <c r="S1289" s="52"/>
      <c r="T1289" s="52"/>
      <c r="U1289" s="52"/>
      <c r="V1289" t="s" s="53">
        <v>78</v>
      </c>
      <c r="W1289" s="52"/>
      <c r="X1289" t="s" s="53">
        <v>78</v>
      </c>
      <c r="Y1289" s="52"/>
      <c r="Z1289" t="s" s="53">
        <v>76</v>
      </c>
      <c r="AA1289" s="52"/>
      <c r="AB1289" t="s" s="53">
        <v>76</v>
      </c>
      <c r="AC1289" s="52"/>
      <c r="AD1289" s="52"/>
      <c r="AE1289" s="52"/>
      <c r="AF1289" s="52"/>
      <c r="AG1289" s="52"/>
      <c r="AH1289" s="52"/>
      <c r="AI1289" t="s" s="53">
        <v>76</v>
      </c>
      <c r="AJ1289" t="s" s="53">
        <v>76</v>
      </c>
      <c r="AK1289" t="s" s="53">
        <v>79</v>
      </c>
      <c r="AL1289" t="s" s="53">
        <v>293</v>
      </c>
      <c r="AM1289" t="s" s="53">
        <v>294</v>
      </c>
      <c r="AN1289" s="52"/>
      <c r="AO1289" s="56">
        <v>1</v>
      </c>
      <c r="AP1289" s="56">
        <v>256</v>
      </c>
      <c r="AQ1289" s="56">
        <v>8529</v>
      </c>
      <c r="AR1289" s="56">
        <v>8529</v>
      </c>
      <c r="AS1289" s="52"/>
      <c r="AT1289" s="52"/>
      <c r="AU1289" s="52"/>
      <c r="AV1289" s="52"/>
      <c r="AW1289" s="52"/>
      <c r="AX1289" s="52"/>
      <c r="AY1289" s="52"/>
      <c r="AZ1289" s="52"/>
      <c r="BA1289" s="52"/>
      <c r="BB1289" s="52"/>
      <c r="BC1289" s="52"/>
      <c r="BD1289" s="52"/>
      <c r="BE1289" s="52"/>
      <c r="BF1289" s="52"/>
      <c r="BG1289" s="52"/>
      <c r="BH1289" s="52"/>
      <c r="BI1289" s="52"/>
      <c r="BJ1289" s="52"/>
      <c r="BK1289" s="52"/>
      <c r="BL1289" s="52"/>
      <c r="BM1289" s="52"/>
      <c r="BN1289" s="52"/>
      <c r="BO1289" s="54"/>
      <c r="BP1289" s="8"/>
    </row>
    <row r="1290" ht="9" customHeight="1" hidden="1">
      <c r="A1290" t="s" s="47">
        <v>4860</v>
      </c>
      <c r="B1290" s="48"/>
      <c r="C1290" t="str" s="48" cm="1">
        <f t="array" ref="C1290">_xlfn.IFERROR((VLOOKUP(A1290,#REF!,2,FALSE)),"")</f>
      </c>
      <c r="D1290" s="48"/>
      <c r="E1290" t="s" s="49">
        <v>842</v>
      </c>
      <c r="F1290" s="48"/>
      <c r="G1290" t="s" s="49">
        <v>4861</v>
      </c>
      <c r="H1290" t="s" s="49">
        <v>4862</v>
      </c>
      <c r="I1290" t="s" s="49">
        <v>82</v>
      </c>
      <c r="J1290" t="s" s="49">
        <v>82</v>
      </c>
      <c r="K1290" t="s" s="49">
        <v>82</v>
      </c>
      <c r="L1290" t="s" s="49">
        <v>76</v>
      </c>
      <c r="M1290" t="s" s="49">
        <v>77</v>
      </c>
      <c r="N1290" s="48"/>
      <c r="O1290" s="48"/>
      <c r="P1290" s="48"/>
      <c r="Q1290" t="s" s="49">
        <v>78</v>
      </c>
      <c r="R1290" t="s" s="49">
        <v>83</v>
      </c>
      <c r="S1290" s="48"/>
      <c r="T1290" s="48"/>
      <c r="U1290" s="48"/>
      <c r="V1290" t="s" s="49">
        <v>69</v>
      </c>
      <c r="W1290" s="48"/>
      <c r="X1290" t="s" s="49">
        <v>78</v>
      </c>
      <c r="Y1290" s="48"/>
      <c r="Z1290" t="s" s="49">
        <v>76</v>
      </c>
      <c r="AA1290" s="48"/>
      <c r="AB1290" t="s" s="49">
        <v>76</v>
      </c>
      <c r="AC1290" s="48"/>
      <c r="AD1290" s="48"/>
      <c r="AE1290" s="48"/>
      <c r="AF1290" s="48"/>
      <c r="AG1290" s="48"/>
      <c r="AH1290" s="48"/>
      <c r="AI1290" t="s" s="49">
        <v>76</v>
      </c>
      <c r="AJ1290" t="s" s="49">
        <v>76</v>
      </c>
      <c r="AK1290" t="s" s="49">
        <v>79</v>
      </c>
      <c r="AL1290" s="48"/>
      <c r="AM1290" s="48"/>
      <c r="AN1290" t="s" s="49">
        <v>2639</v>
      </c>
      <c r="AO1290" s="48"/>
      <c r="AP1290" s="48"/>
      <c r="AQ1290" s="48"/>
      <c r="AR1290" s="48"/>
      <c r="AS1290" t="s" s="57">
        <v>4863</v>
      </c>
      <c r="AT1290" s="48"/>
      <c r="AU1290" s="48"/>
      <c r="AV1290" s="48"/>
      <c r="AW1290" s="48"/>
      <c r="AX1290" s="48"/>
      <c r="AY1290" s="48"/>
      <c r="AZ1290" s="48"/>
      <c r="BA1290" s="48"/>
      <c r="BB1290" s="48"/>
      <c r="BC1290" s="48"/>
      <c r="BD1290" s="48"/>
      <c r="BE1290" s="48"/>
      <c r="BF1290" s="48"/>
      <c r="BG1290" s="48"/>
      <c r="BH1290" s="48"/>
      <c r="BI1290" s="48"/>
      <c r="BJ1290" s="48"/>
      <c r="BK1290" s="48"/>
      <c r="BL1290" s="48"/>
      <c r="BM1290" s="48"/>
      <c r="BN1290" s="48"/>
      <c r="BO1290" s="50"/>
      <c r="BP1290" s="8"/>
    </row>
    <row r="1291" ht="9" customHeight="1" hidden="1">
      <c r="A1291" t="s" s="51">
        <v>4864</v>
      </c>
      <c r="B1291" s="52"/>
      <c r="C1291" t="str" s="52" cm="1">
        <f t="array" ref="C1291">_xlfn.IFERROR((VLOOKUP(A1291,#REF!,2,FALSE)),"")</f>
      </c>
      <c r="D1291" s="52"/>
      <c r="E1291" t="s" s="53">
        <v>71</v>
      </c>
      <c r="F1291" s="52"/>
      <c r="G1291" t="s" s="53">
        <v>4865</v>
      </c>
      <c r="H1291" t="s" s="53">
        <v>4866</v>
      </c>
      <c r="I1291" t="s" s="53">
        <v>82</v>
      </c>
      <c r="J1291" t="s" s="53">
        <v>82</v>
      </c>
      <c r="K1291" t="s" s="53">
        <v>82</v>
      </c>
      <c r="L1291" t="s" s="53">
        <v>76</v>
      </c>
      <c r="M1291" s="52"/>
      <c r="N1291" s="52"/>
      <c r="O1291" s="52"/>
      <c r="P1291" s="52"/>
      <c r="Q1291" t="s" s="53">
        <v>78</v>
      </c>
      <c r="R1291" t="s" s="53">
        <v>83</v>
      </c>
      <c r="S1291" s="52"/>
      <c r="T1291" s="52"/>
      <c r="U1291" s="52"/>
      <c r="V1291" t="s" s="53">
        <v>78</v>
      </c>
      <c r="W1291" s="52"/>
      <c r="X1291" t="s" s="53">
        <v>78</v>
      </c>
      <c r="Y1291" s="52"/>
      <c r="Z1291" t="s" s="53">
        <v>76</v>
      </c>
      <c r="AA1291" t="s" s="53">
        <v>4729</v>
      </c>
      <c r="AB1291" t="s" s="53">
        <v>76</v>
      </c>
      <c r="AC1291" s="52"/>
      <c r="AD1291" s="52"/>
      <c r="AE1291" s="52"/>
      <c r="AF1291" s="52"/>
      <c r="AG1291" t="s" s="53">
        <v>4715</v>
      </c>
      <c r="AH1291" t="s" s="53">
        <v>76</v>
      </c>
      <c r="AI1291" t="s" s="53">
        <v>76</v>
      </c>
      <c r="AJ1291" t="s" s="53">
        <v>76</v>
      </c>
      <c r="AK1291" t="s" s="53">
        <v>79</v>
      </c>
      <c r="AL1291" t="s" s="53">
        <v>293</v>
      </c>
      <c r="AM1291" t="s" s="53">
        <v>196</v>
      </c>
      <c r="AN1291" t="s" s="53">
        <v>4867</v>
      </c>
      <c r="AO1291" s="56">
        <v>2</v>
      </c>
      <c r="AP1291" s="56">
        <v>10</v>
      </c>
      <c r="AQ1291" s="56">
        <v>600</v>
      </c>
      <c r="AR1291" s="56">
        <v>216</v>
      </c>
      <c r="AS1291" t="s" s="53">
        <v>4868</v>
      </c>
      <c r="AT1291" t="s" s="53">
        <v>4720</v>
      </c>
      <c r="AU1291" t="s" s="53">
        <v>4721</v>
      </c>
      <c r="AV1291" t="s" s="53">
        <v>4869</v>
      </c>
      <c r="AW1291" s="52"/>
      <c r="AX1291" s="52"/>
      <c r="AY1291" s="52"/>
      <c r="AZ1291" s="52"/>
      <c r="BA1291" s="52"/>
      <c r="BB1291" s="52"/>
      <c r="BC1291" t="s" s="53">
        <v>4724</v>
      </c>
      <c r="BD1291" s="52"/>
      <c r="BE1291" s="52"/>
      <c r="BF1291" s="52"/>
      <c r="BG1291" s="52"/>
      <c r="BH1291" s="52"/>
      <c r="BI1291" s="52"/>
      <c r="BJ1291" s="52"/>
      <c r="BK1291" s="52"/>
      <c r="BL1291" s="52"/>
      <c r="BM1291" s="52"/>
      <c r="BN1291" s="52"/>
      <c r="BO1291" s="54"/>
      <c r="BP1291" s="8"/>
    </row>
    <row r="1292" ht="9" customHeight="1" hidden="1">
      <c r="A1292" t="s" s="47">
        <v>4870</v>
      </c>
      <c r="B1292" s="48"/>
      <c r="C1292" t="str" s="48" cm="1">
        <f t="array" ref="C1292">_xlfn.IFERROR((VLOOKUP(A1292,#REF!,2,FALSE)),"")</f>
      </c>
      <c r="D1292" s="48"/>
      <c r="E1292" t="s" s="49">
        <v>4871</v>
      </c>
      <c r="F1292" s="48"/>
      <c r="G1292" t="s" s="49">
        <v>4040</v>
      </c>
      <c r="H1292" t="s" s="49">
        <v>4040</v>
      </c>
      <c r="I1292" t="s" s="49">
        <v>82</v>
      </c>
      <c r="J1292" t="s" s="49">
        <v>82</v>
      </c>
      <c r="K1292" t="s" s="49">
        <v>82</v>
      </c>
      <c r="L1292" t="s" s="49">
        <v>76</v>
      </c>
      <c r="M1292" s="48"/>
      <c r="N1292" s="48"/>
      <c r="O1292" s="48"/>
      <c r="P1292" s="48"/>
      <c r="Q1292" t="s" s="49">
        <v>78</v>
      </c>
      <c r="R1292" t="s" s="49">
        <v>83</v>
      </c>
      <c r="S1292" s="48"/>
      <c r="T1292" s="48"/>
      <c r="U1292" s="48"/>
      <c r="V1292" t="s" s="49">
        <v>78</v>
      </c>
      <c r="W1292" s="48"/>
      <c r="X1292" t="s" s="49">
        <v>78</v>
      </c>
      <c r="Y1292" s="48"/>
      <c r="Z1292" t="s" s="49">
        <v>76</v>
      </c>
      <c r="AA1292" t="s" s="49">
        <v>4872</v>
      </c>
      <c r="AB1292" t="s" s="49">
        <v>76</v>
      </c>
      <c r="AC1292" s="48"/>
      <c r="AD1292" s="48"/>
      <c r="AE1292" s="48"/>
      <c r="AF1292" s="48"/>
      <c r="AG1292" t="s" s="49">
        <v>4715</v>
      </c>
      <c r="AH1292" t="s" s="49">
        <v>4716</v>
      </c>
      <c r="AI1292" t="s" s="49">
        <v>76</v>
      </c>
      <c r="AJ1292" t="s" s="49">
        <v>76</v>
      </c>
      <c r="AK1292" t="s" s="49">
        <v>4717</v>
      </c>
      <c r="AL1292" t="s" s="49">
        <v>293</v>
      </c>
      <c r="AM1292" t="s" s="49">
        <v>294</v>
      </c>
      <c r="AN1292" t="s" s="49">
        <v>4031</v>
      </c>
      <c r="AO1292" s="55">
        <v>4</v>
      </c>
      <c r="AP1292" s="55">
        <v>16</v>
      </c>
      <c r="AQ1292" s="55">
        <v>120</v>
      </c>
      <c r="AR1292" s="55">
        <v>83</v>
      </c>
      <c r="AS1292" t="s" s="49">
        <v>4773</v>
      </c>
      <c r="AT1292" t="s" s="49">
        <v>4720</v>
      </c>
      <c r="AU1292" t="s" s="49">
        <v>4721</v>
      </c>
      <c r="AV1292" t="s" s="49">
        <v>4873</v>
      </c>
      <c r="AW1292" s="48"/>
      <c r="AX1292" s="48"/>
      <c r="AY1292" s="48"/>
      <c r="AZ1292" s="48"/>
      <c r="BA1292" t="s" s="49">
        <v>1231</v>
      </c>
      <c r="BB1292" t="s" s="49">
        <v>4723</v>
      </c>
      <c r="BC1292" t="s" s="49">
        <v>4724</v>
      </c>
      <c r="BD1292" s="48"/>
      <c r="BE1292" s="48"/>
      <c r="BF1292" s="48"/>
      <c r="BG1292" s="48"/>
      <c r="BH1292" s="48"/>
      <c r="BI1292" s="48"/>
      <c r="BJ1292" s="48"/>
      <c r="BK1292" s="48"/>
      <c r="BL1292" s="48"/>
      <c r="BM1292" t="s" s="49">
        <v>1234</v>
      </c>
      <c r="BN1292" s="48"/>
      <c r="BO1292" s="50"/>
      <c r="BP1292" s="8"/>
    </row>
    <row r="1293" ht="9" customHeight="1" hidden="1">
      <c r="A1293" t="s" s="51">
        <v>4874</v>
      </c>
      <c r="B1293" s="52"/>
      <c r="C1293" t="str" s="52" cm="1">
        <f t="array" ref="C1293">_xlfn.IFERROR((VLOOKUP(A1293,#REF!,2,FALSE)),"")</f>
      </c>
      <c r="D1293" t="s" s="53">
        <v>70</v>
      </c>
      <c r="E1293" t="s" s="53">
        <v>261</v>
      </c>
      <c r="F1293" s="52"/>
      <c r="G1293" t="s" s="53">
        <v>4875</v>
      </c>
      <c r="H1293" t="s" s="53">
        <v>4876</v>
      </c>
      <c r="I1293" t="s" s="53">
        <v>111</v>
      </c>
      <c r="J1293" t="s" s="53">
        <v>122</v>
      </c>
      <c r="K1293" t="s" s="53">
        <v>140</v>
      </c>
      <c r="L1293" t="s" s="53">
        <v>76</v>
      </c>
      <c r="M1293" t="s" s="53">
        <v>77</v>
      </c>
      <c r="N1293" t="s" s="53">
        <v>4875</v>
      </c>
      <c r="O1293" s="52"/>
      <c r="P1293" s="52"/>
      <c r="Q1293" t="s" s="53">
        <v>69</v>
      </c>
      <c r="R1293" t="s" s="53">
        <v>83</v>
      </c>
      <c r="S1293" s="52"/>
      <c r="T1293" s="52"/>
      <c r="U1293" s="52"/>
      <c r="V1293" t="s" s="53">
        <v>69</v>
      </c>
      <c r="W1293" s="52"/>
      <c r="X1293" t="s" s="53">
        <v>69</v>
      </c>
      <c r="Y1293" s="52"/>
      <c r="Z1293" t="s" s="53">
        <v>76</v>
      </c>
      <c r="AA1293" s="52"/>
      <c r="AB1293" t="s" s="53">
        <v>76</v>
      </c>
      <c r="AC1293" t="s" s="53">
        <v>4874</v>
      </c>
      <c r="AD1293" s="52"/>
      <c r="AE1293" s="52"/>
      <c r="AF1293" s="52"/>
      <c r="AG1293" s="52"/>
      <c r="AH1293" t="s" s="53">
        <v>106</v>
      </c>
      <c r="AI1293" t="s" s="53">
        <v>76</v>
      </c>
      <c r="AJ1293" t="s" s="53">
        <v>76</v>
      </c>
      <c r="AK1293" t="s" s="53">
        <v>79</v>
      </c>
      <c r="AL1293" s="52"/>
      <c r="AM1293" s="52"/>
      <c r="AN1293" t="s" s="53">
        <v>187</v>
      </c>
      <c r="AO1293" s="52"/>
      <c r="AP1293" s="52"/>
      <c r="AQ1293" s="52"/>
      <c r="AR1293" s="52"/>
      <c r="AS1293" t="s" s="53">
        <v>4877</v>
      </c>
      <c r="AT1293" s="52"/>
      <c r="AU1293" s="52"/>
      <c r="AV1293" s="52"/>
      <c r="AW1293" s="52"/>
      <c r="AX1293" s="52"/>
      <c r="AY1293" s="52"/>
      <c r="AZ1293" s="52"/>
      <c r="BA1293" s="52"/>
      <c r="BB1293" s="52"/>
      <c r="BC1293" s="52"/>
      <c r="BD1293" s="52"/>
      <c r="BE1293" s="52"/>
      <c r="BF1293" s="52"/>
      <c r="BG1293" s="52"/>
      <c r="BH1293" s="52"/>
      <c r="BI1293" s="52"/>
      <c r="BJ1293" s="52"/>
      <c r="BK1293" s="52"/>
      <c r="BL1293" s="52"/>
      <c r="BM1293" s="52"/>
      <c r="BN1293" s="52"/>
      <c r="BO1293" s="54"/>
      <c r="BP1293" s="8"/>
    </row>
    <row r="1294" ht="9" customHeight="1" hidden="1">
      <c r="A1294" t="s" s="47">
        <v>4878</v>
      </c>
      <c r="B1294" s="48"/>
      <c r="C1294" t="str" s="48" cm="1">
        <f t="array" ref="C1294">_xlfn.IFERROR((VLOOKUP(A1294,#REF!,2,FALSE)),"")</f>
      </c>
      <c r="D1294" t="s" s="49">
        <v>70</v>
      </c>
      <c r="E1294" t="s" s="49">
        <v>261</v>
      </c>
      <c r="F1294" s="48"/>
      <c r="G1294" s="48"/>
      <c r="H1294" s="48"/>
      <c r="I1294" t="s" s="49">
        <v>111</v>
      </c>
      <c r="J1294" t="s" s="49">
        <v>122</v>
      </c>
      <c r="K1294" t="s" s="49">
        <v>127</v>
      </c>
      <c r="L1294" t="s" s="49">
        <v>76</v>
      </c>
      <c r="M1294" t="s" s="49">
        <v>77</v>
      </c>
      <c r="N1294" s="48"/>
      <c r="O1294" s="48"/>
      <c r="P1294" s="48"/>
      <c r="Q1294" t="s" s="49">
        <v>69</v>
      </c>
      <c r="R1294" t="s" s="49">
        <v>83</v>
      </c>
      <c r="S1294" s="48"/>
      <c r="T1294" s="48"/>
      <c r="U1294" s="48"/>
      <c r="V1294" t="s" s="49">
        <v>69</v>
      </c>
      <c r="W1294" s="48"/>
      <c r="X1294" t="s" s="49">
        <v>78</v>
      </c>
      <c r="Y1294" s="48"/>
      <c r="Z1294" t="s" s="49">
        <v>76</v>
      </c>
      <c r="AA1294" s="48"/>
      <c r="AB1294" t="s" s="49">
        <v>76</v>
      </c>
      <c r="AC1294" t="s" s="49">
        <v>4878</v>
      </c>
      <c r="AD1294" s="48"/>
      <c r="AE1294" s="48"/>
      <c r="AF1294" s="48"/>
      <c r="AG1294" s="48"/>
      <c r="AH1294" s="48"/>
      <c r="AI1294" t="s" s="49">
        <v>76</v>
      </c>
      <c r="AJ1294" t="s" s="49">
        <v>76</v>
      </c>
      <c r="AK1294" t="s" s="49">
        <v>79</v>
      </c>
      <c r="AL1294" s="48"/>
      <c r="AM1294" s="48"/>
      <c r="AN1294" t="s" s="49">
        <v>4879</v>
      </c>
      <c r="AO1294" s="48"/>
      <c r="AP1294" s="48"/>
      <c r="AQ1294" s="48"/>
      <c r="AR1294" s="48"/>
      <c r="AS1294" t="s" s="49">
        <v>4880</v>
      </c>
      <c r="AT1294" s="48"/>
      <c r="AU1294" s="48"/>
      <c r="AV1294" s="48"/>
      <c r="AW1294" s="48"/>
      <c r="AX1294" s="48"/>
      <c r="AY1294" s="48"/>
      <c r="AZ1294" s="48"/>
      <c r="BA1294" s="48"/>
      <c r="BB1294" s="48"/>
      <c r="BC1294" s="48"/>
      <c r="BD1294" s="48"/>
      <c r="BE1294" s="48"/>
      <c r="BF1294" s="48"/>
      <c r="BG1294" s="48"/>
      <c r="BH1294" s="48"/>
      <c r="BI1294" s="48"/>
      <c r="BJ1294" s="48"/>
      <c r="BK1294" s="48"/>
      <c r="BL1294" s="48"/>
      <c r="BM1294" s="48"/>
      <c r="BN1294" t="s" s="49">
        <v>78</v>
      </c>
      <c r="BO1294" s="50"/>
      <c r="BP1294" s="8"/>
    </row>
    <row r="1295" ht="9" customHeight="1" hidden="1">
      <c r="A1295" t="s" s="51">
        <v>4881</v>
      </c>
      <c r="B1295" s="52"/>
      <c r="C1295" t="str" s="52" cm="1">
        <f t="array" ref="C1295">_xlfn.IFERROR((VLOOKUP(A1295,#REF!,2,FALSE)),"")</f>
      </c>
      <c r="D1295" t="s" s="53">
        <v>70</v>
      </c>
      <c r="E1295" t="s" s="53">
        <v>261</v>
      </c>
      <c r="F1295" s="52"/>
      <c r="G1295" s="52"/>
      <c r="H1295" s="52"/>
      <c r="I1295" t="s" s="53">
        <v>111</v>
      </c>
      <c r="J1295" t="s" s="53">
        <v>122</v>
      </c>
      <c r="K1295" t="s" s="53">
        <v>105</v>
      </c>
      <c r="L1295" t="s" s="53">
        <v>76</v>
      </c>
      <c r="M1295" t="s" s="53">
        <v>77</v>
      </c>
      <c r="N1295" s="52"/>
      <c r="O1295" s="52"/>
      <c r="P1295" s="52"/>
      <c r="Q1295" t="s" s="53">
        <v>69</v>
      </c>
      <c r="R1295" t="s" s="53">
        <v>83</v>
      </c>
      <c r="S1295" s="52"/>
      <c r="T1295" s="52"/>
      <c r="U1295" s="52"/>
      <c r="V1295" t="s" s="53">
        <v>69</v>
      </c>
      <c r="W1295" s="52"/>
      <c r="X1295" t="s" s="53">
        <v>78</v>
      </c>
      <c r="Y1295" s="52"/>
      <c r="Z1295" t="s" s="53">
        <v>76</v>
      </c>
      <c r="AA1295" s="52"/>
      <c r="AB1295" t="s" s="53">
        <v>76</v>
      </c>
      <c r="AC1295" t="s" s="53">
        <v>4881</v>
      </c>
      <c r="AD1295" s="52"/>
      <c r="AE1295" s="52"/>
      <c r="AF1295" s="52"/>
      <c r="AG1295" s="52"/>
      <c r="AH1295" s="52"/>
      <c r="AI1295" t="s" s="53">
        <v>76</v>
      </c>
      <c r="AJ1295" t="s" s="53">
        <v>76</v>
      </c>
      <c r="AK1295" t="s" s="53">
        <v>79</v>
      </c>
      <c r="AL1295" s="52"/>
      <c r="AM1295" s="52"/>
      <c r="AN1295" t="s" s="53">
        <v>190</v>
      </c>
      <c r="AO1295" s="52"/>
      <c r="AP1295" s="52"/>
      <c r="AQ1295" s="52"/>
      <c r="AR1295" s="52"/>
      <c r="AS1295" t="s" s="53">
        <v>4882</v>
      </c>
      <c r="AT1295" s="52"/>
      <c r="AU1295" s="52"/>
      <c r="AV1295" s="52"/>
      <c r="AW1295" s="52"/>
      <c r="AX1295" s="52"/>
      <c r="AY1295" s="52"/>
      <c r="AZ1295" s="52"/>
      <c r="BA1295" s="52"/>
      <c r="BB1295" s="52"/>
      <c r="BC1295" s="52"/>
      <c r="BD1295" s="52"/>
      <c r="BE1295" s="52"/>
      <c r="BF1295" s="52"/>
      <c r="BG1295" s="52"/>
      <c r="BH1295" s="52"/>
      <c r="BI1295" s="52"/>
      <c r="BJ1295" s="52"/>
      <c r="BK1295" s="52"/>
      <c r="BL1295" s="52"/>
      <c r="BM1295" s="52"/>
      <c r="BN1295" t="s" s="53">
        <v>78</v>
      </c>
      <c r="BO1295" s="54"/>
      <c r="BP1295" s="8"/>
    </row>
    <row r="1296" ht="9" customHeight="1" hidden="1">
      <c r="A1296" t="s" s="47">
        <v>4883</v>
      </c>
      <c r="B1296" s="48"/>
      <c r="C1296" t="str" s="48" cm="1">
        <f t="array" ref="C1296">_xlfn.IFERROR((VLOOKUP(A1296,#REF!,2,FALSE)),"")</f>
      </c>
      <c r="D1296" s="48"/>
      <c r="E1296" s="48"/>
      <c r="F1296" s="48"/>
      <c r="G1296" t="s" s="49">
        <v>203</v>
      </c>
      <c r="H1296" t="s" s="49">
        <v>203</v>
      </c>
      <c r="I1296" t="s" s="49">
        <v>73</v>
      </c>
      <c r="J1296" t="s" s="49">
        <v>122</v>
      </c>
      <c r="K1296" t="s" s="49">
        <v>203</v>
      </c>
      <c r="L1296" t="s" s="49">
        <v>204</v>
      </c>
      <c r="M1296" t="s" s="49">
        <v>77</v>
      </c>
      <c r="N1296" t="s" s="49">
        <v>203</v>
      </c>
      <c r="O1296" t="s" s="49">
        <v>71</v>
      </c>
      <c r="P1296" s="48"/>
      <c r="Q1296" t="s" s="49">
        <v>78</v>
      </c>
      <c r="R1296" t="s" s="49">
        <v>71</v>
      </c>
      <c r="S1296" s="48"/>
      <c r="T1296" s="48"/>
      <c r="U1296" s="48"/>
      <c r="V1296" t="s" s="49">
        <v>78</v>
      </c>
      <c r="W1296" t="s" s="49">
        <v>4883</v>
      </c>
      <c r="X1296" t="s" s="49">
        <v>69</v>
      </c>
      <c r="Y1296" s="48"/>
      <c r="Z1296" t="s" s="49">
        <v>205</v>
      </c>
      <c r="AA1296" s="48"/>
      <c r="AB1296" t="s" s="49">
        <v>206</v>
      </c>
      <c r="AC1296" s="48"/>
      <c r="AD1296" s="48"/>
      <c r="AE1296" s="48"/>
      <c r="AF1296" s="48"/>
      <c r="AG1296" s="48"/>
      <c r="AH1296" t="s" s="49">
        <v>106</v>
      </c>
      <c r="AI1296" t="s" s="49">
        <v>76</v>
      </c>
      <c r="AJ1296" t="s" s="49">
        <v>76</v>
      </c>
      <c r="AK1296" t="s" s="49">
        <v>79</v>
      </c>
      <c r="AL1296" s="48"/>
      <c r="AM1296" s="48"/>
      <c r="AN1296" s="48"/>
      <c r="AO1296" s="48"/>
      <c r="AP1296" s="48"/>
      <c r="AQ1296" s="48"/>
      <c r="AR1296" s="48"/>
      <c r="AS1296" s="48"/>
      <c r="AT1296" s="48"/>
      <c r="AU1296" s="48"/>
      <c r="AV1296" s="48"/>
      <c r="AW1296" s="48"/>
      <c r="AX1296" s="48"/>
      <c r="AY1296" s="48"/>
      <c r="AZ1296" s="48"/>
      <c r="BA1296" s="48"/>
      <c r="BB1296" s="48"/>
      <c r="BC1296" s="48"/>
      <c r="BD1296" s="48"/>
      <c r="BE1296" s="48"/>
      <c r="BF1296" s="48"/>
      <c r="BG1296" s="48"/>
      <c r="BH1296" s="48"/>
      <c r="BI1296" s="48"/>
      <c r="BJ1296" s="48"/>
      <c r="BK1296" s="48"/>
      <c r="BL1296" s="48"/>
      <c r="BM1296" s="48"/>
      <c r="BN1296" s="48"/>
      <c r="BO1296" s="50"/>
      <c r="BP1296" s="8"/>
    </row>
    <row r="1297" ht="9" customHeight="1" hidden="1">
      <c r="A1297" t="s" s="51">
        <v>4884</v>
      </c>
      <c r="B1297" s="52"/>
      <c r="C1297" t="str" s="52" cm="1">
        <f t="array" ref="C1297">_xlfn.IFERROR((VLOOKUP(A1297,#REF!,2,FALSE)),"")</f>
      </c>
      <c r="D1297" t="s" s="53">
        <v>70</v>
      </c>
      <c r="E1297" t="s" s="53">
        <v>261</v>
      </c>
      <c r="F1297" s="52"/>
      <c r="G1297" s="52"/>
      <c r="H1297" s="52"/>
      <c r="I1297" t="s" s="53">
        <v>111</v>
      </c>
      <c r="J1297" t="s" s="53">
        <v>122</v>
      </c>
      <c r="K1297" t="s" s="53">
        <v>127</v>
      </c>
      <c r="L1297" t="s" s="53">
        <v>76</v>
      </c>
      <c r="M1297" t="s" s="53">
        <v>77</v>
      </c>
      <c r="N1297" s="52"/>
      <c r="O1297" s="52"/>
      <c r="P1297" s="52"/>
      <c r="Q1297" t="s" s="53">
        <v>69</v>
      </c>
      <c r="R1297" t="s" s="53">
        <v>83</v>
      </c>
      <c r="S1297" s="52"/>
      <c r="T1297" s="52"/>
      <c r="U1297" s="52"/>
      <c r="V1297" t="s" s="53">
        <v>69</v>
      </c>
      <c r="W1297" s="52"/>
      <c r="X1297" t="s" s="53">
        <v>78</v>
      </c>
      <c r="Y1297" s="52"/>
      <c r="Z1297" t="s" s="53">
        <v>76</v>
      </c>
      <c r="AA1297" s="52"/>
      <c r="AB1297" t="s" s="53">
        <v>76</v>
      </c>
      <c r="AC1297" t="s" s="53">
        <v>4884</v>
      </c>
      <c r="AD1297" s="52"/>
      <c r="AE1297" s="52"/>
      <c r="AF1297" s="52"/>
      <c r="AG1297" s="52"/>
      <c r="AH1297" s="52"/>
      <c r="AI1297" t="s" s="53">
        <v>76</v>
      </c>
      <c r="AJ1297" t="s" s="53">
        <v>76</v>
      </c>
      <c r="AK1297" t="s" s="53">
        <v>79</v>
      </c>
      <c r="AL1297" s="52"/>
      <c r="AM1297" s="52"/>
      <c r="AN1297" t="s" s="53">
        <v>128</v>
      </c>
      <c r="AO1297" s="52"/>
      <c r="AP1297" s="52"/>
      <c r="AQ1297" s="52"/>
      <c r="AR1297" s="52"/>
      <c r="AS1297" t="s" s="53">
        <v>4885</v>
      </c>
      <c r="AT1297" s="52"/>
      <c r="AU1297" s="52"/>
      <c r="AV1297" s="52"/>
      <c r="AW1297" s="52"/>
      <c r="AX1297" s="52"/>
      <c r="AY1297" s="52"/>
      <c r="AZ1297" s="52"/>
      <c r="BA1297" s="52"/>
      <c r="BB1297" s="52"/>
      <c r="BC1297" s="52"/>
      <c r="BD1297" s="52"/>
      <c r="BE1297" s="52"/>
      <c r="BF1297" s="52"/>
      <c r="BG1297" s="52"/>
      <c r="BH1297" s="52"/>
      <c r="BI1297" s="52"/>
      <c r="BJ1297" s="52"/>
      <c r="BK1297" s="52"/>
      <c r="BL1297" s="52"/>
      <c r="BM1297" s="52"/>
      <c r="BN1297" t="s" s="53">
        <v>78</v>
      </c>
      <c r="BO1297" s="54"/>
      <c r="BP1297" s="8"/>
    </row>
    <row r="1298" ht="9" customHeight="1" hidden="1">
      <c r="A1298" t="s" s="47">
        <v>4886</v>
      </c>
      <c r="B1298" s="48"/>
      <c r="C1298" t="str" s="48" cm="1">
        <f t="array" ref="C1298">_xlfn.IFERROR((VLOOKUP(A1298,#REF!,2,FALSE)),"")</f>
      </c>
      <c r="D1298" t="s" s="49">
        <v>70</v>
      </c>
      <c r="E1298" t="s" s="49">
        <v>261</v>
      </c>
      <c r="F1298" s="48"/>
      <c r="G1298" s="48"/>
      <c r="H1298" s="48"/>
      <c r="I1298" t="s" s="49">
        <v>111</v>
      </c>
      <c r="J1298" t="s" s="49">
        <v>112</v>
      </c>
      <c r="K1298" t="s" s="49">
        <v>127</v>
      </c>
      <c r="L1298" t="s" s="49">
        <v>76</v>
      </c>
      <c r="M1298" t="s" s="49">
        <v>77</v>
      </c>
      <c r="N1298" s="48"/>
      <c r="O1298" s="48"/>
      <c r="P1298" s="48"/>
      <c r="Q1298" t="s" s="49">
        <v>69</v>
      </c>
      <c r="R1298" t="s" s="49">
        <v>83</v>
      </c>
      <c r="S1298" s="48"/>
      <c r="T1298" s="48"/>
      <c r="U1298" s="48"/>
      <c r="V1298" t="s" s="49">
        <v>69</v>
      </c>
      <c r="W1298" s="48"/>
      <c r="X1298" t="s" s="49">
        <v>78</v>
      </c>
      <c r="Y1298" s="48"/>
      <c r="Z1298" t="s" s="49">
        <v>76</v>
      </c>
      <c r="AA1298" s="48"/>
      <c r="AB1298" t="s" s="49">
        <v>76</v>
      </c>
      <c r="AC1298" t="s" s="49">
        <v>4886</v>
      </c>
      <c r="AD1298" s="48"/>
      <c r="AE1298" s="48"/>
      <c r="AF1298" s="48"/>
      <c r="AG1298" s="48"/>
      <c r="AH1298" s="48"/>
      <c r="AI1298" t="s" s="49">
        <v>76</v>
      </c>
      <c r="AJ1298" t="s" s="49">
        <v>76</v>
      </c>
      <c r="AK1298" t="s" s="49">
        <v>79</v>
      </c>
      <c r="AL1298" s="48"/>
      <c r="AM1298" s="48"/>
      <c r="AN1298" t="s" s="49">
        <v>4879</v>
      </c>
      <c r="AO1298" s="48"/>
      <c r="AP1298" s="48"/>
      <c r="AQ1298" s="48"/>
      <c r="AR1298" s="48"/>
      <c r="AS1298" t="s" s="49">
        <v>4887</v>
      </c>
      <c r="AT1298" s="48"/>
      <c r="AU1298" s="48"/>
      <c r="AV1298" s="48"/>
      <c r="AW1298" s="48"/>
      <c r="AX1298" s="48"/>
      <c r="AY1298" s="48"/>
      <c r="AZ1298" s="48"/>
      <c r="BA1298" s="48"/>
      <c r="BB1298" s="48"/>
      <c r="BC1298" s="48"/>
      <c r="BD1298" s="48"/>
      <c r="BE1298" s="48"/>
      <c r="BF1298" s="48"/>
      <c r="BG1298" s="48"/>
      <c r="BH1298" s="48"/>
      <c r="BI1298" s="48"/>
      <c r="BJ1298" s="48"/>
      <c r="BK1298" s="48"/>
      <c r="BL1298" s="48"/>
      <c r="BM1298" s="48"/>
      <c r="BN1298" t="s" s="49">
        <v>78</v>
      </c>
      <c r="BO1298" s="50"/>
      <c r="BP1298" s="8"/>
    </row>
    <row r="1299" ht="9" customHeight="1" hidden="1">
      <c r="A1299" t="s" s="51">
        <v>4888</v>
      </c>
      <c r="B1299" s="52"/>
      <c r="C1299" t="str" s="52" cm="1">
        <f t="array" ref="C1299">_xlfn.IFERROR((VLOOKUP(A1299,#REF!,2,FALSE)),"")</f>
      </c>
      <c r="D1299" t="s" s="53">
        <v>70</v>
      </c>
      <c r="E1299" t="s" s="53">
        <v>261</v>
      </c>
      <c r="F1299" s="52"/>
      <c r="G1299" s="52"/>
      <c r="H1299" s="52"/>
      <c r="I1299" t="s" s="53">
        <v>111</v>
      </c>
      <c r="J1299" t="s" s="53">
        <v>122</v>
      </c>
      <c r="K1299" t="s" s="53">
        <v>210</v>
      </c>
      <c r="L1299" t="s" s="53">
        <v>76</v>
      </c>
      <c r="M1299" t="s" s="53">
        <v>77</v>
      </c>
      <c r="N1299" s="52"/>
      <c r="O1299" s="52"/>
      <c r="P1299" s="52"/>
      <c r="Q1299" t="s" s="53">
        <v>69</v>
      </c>
      <c r="R1299" t="s" s="53">
        <v>83</v>
      </c>
      <c r="S1299" s="52"/>
      <c r="T1299" s="52"/>
      <c r="U1299" s="52"/>
      <c r="V1299" t="s" s="53">
        <v>69</v>
      </c>
      <c r="W1299" s="52"/>
      <c r="X1299" t="s" s="53">
        <v>78</v>
      </c>
      <c r="Y1299" s="52"/>
      <c r="Z1299" t="s" s="53">
        <v>76</v>
      </c>
      <c r="AA1299" s="52"/>
      <c r="AB1299" t="s" s="53">
        <v>76</v>
      </c>
      <c r="AC1299" t="s" s="53">
        <v>4888</v>
      </c>
      <c r="AD1299" s="52"/>
      <c r="AE1299" s="52"/>
      <c r="AF1299" s="52"/>
      <c r="AG1299" s="52"/>
      <c r="AH1299" s="52"/>
      <c r="AI1299" t="s" s="53">
        <v>76</v>
      </c>
      <c r="AJ1299" t="s" s="53">
        <v>76</v>
      </c>
      <c r="AK1299" t="s" s="53">
        <v>79</v>
      </c>
      <c r="AL1299" s="52"/>
      <c r="AM1299" s="52"/>
      <c r="AN1299" t="s" s="53">
        <v>128</v>
      </c>
      <c r="AO1299" s="52"/>
      <c r="AP1299" s="52"/>
      <c r="AQ1299" s="52"/>
      <c r="AR1299" s="52"/>
      <c r="AS1299" t="s" s="53">
        <v>4889</v>
      </c>
      <c r="AT1299" s="52"/>
      <c r="AU1299" s="52"/>
      <c r="AV1299" s="52"/>
      <c r="AW1299" s="52"/>
      <c r="AX1299" s="52"/>
      <c r="AY1299" s="52"/>
      <c r="AZ1299" s="52"/>
      <c r="BA1299" s="52"/>
      <c r="BB1299" s="52"/>
      <c r="BC1299" s="52"/>
      <c r="BD1299" s="52"/>
      <c r="BE1299" s="52"/>
      <c r="BF1299" s="52"/>
      <c r="BG1299" s="52"/>
      <c r="BH1299" s="52"/>
      <c r="BI1299" s="52"/>
      <c r="BJ1299" s="52"/>
      <c r="BK1299" s="52"/>
      <c r="BL1299" s="52"/>
      <c r="BM1299" s="52"/>
      <c r="BN1299" t="s" s="53">
        <v>78</v>
      </c>
      <c r="BO1299" s="54"/>
      <c r="BP1299" s="8"/>
    </row>
    <row r="1300" ht="9" customHeight="1" hidden="1">
      <c r="A1300" t="s" s="47">
        <v>4890</v>
      </c>
      <c r="B1300" s="48"/>
      <c r="C1300" t="str" s="48" cm="1">
        <f t="array" ref="C1300">_xlfn.IFERROR((VLOOKUP(A1300,#REF!,2,FALSE)),"")</f>
      </c>
      <c r="D1300" s="48"/>
      <c r="E1300" t="s" s="49">
        <v>4891</v>
      </c>
      <c r="F1300" s="48"/>
      <c r="G1300" t="s" s="49">
        <v>4890</v>
      </c>
      <c r="H1300" t="s" s="49">
        <v>4890</v>
      </c>
      <c r="I1300" t="s" s="49">
        <v>111</v>
      </c>
      <c r="J1300" t="s" s="49">
        <v>122</v>
      </c>
      <c r="K1300" t="s" s="49">
        <v>825</v>
      </c>
      <c r="L1300" t="s" s="49">
        <v>76</v>
      </c>
      <c r="M1300" t="s" s="49">
        <v>77</v>
      </c>
      <c r="N1300" t="s" s="49">
        <v>4890</v>
      </c>
      <c r="O1300" t="s" s="49">
        <v>71</v>
      </c>
      <c r="P1300" s="48"/>
      <c r="Q1300" t="s" s="49">
        <v>78</v>
      </c>
      <c r="R1300" t="s" s="49">
        <v>83</v>
      </c>
      <c r="S1300" s="48"/>
      <c r="T1300" s="48"/>
      <c r="U1300" s="48"/>
      <c r="V1300" t="s" s="49">
        <v>78</v>
      </c>
      <c r="W1300" s="48"/>
      <c r="X1300" t="s" s="49">
        <v>69</v>
      </c>
      <c r="Y1300" s="48"/>
      <c r="Z1300" t="s" s="49">
        <v>76</v>
      </c>
      <c r="AA1300" s="48"/>
      <c r="AB1300" t="s" s="49">
        <v>76</v>
      </c>
      <c r="AC1300" s="48"/>
      <c r="AD1300" s="48"/>
      <c r="AE1300" s="48"/>
      <c r="AF1300" s="48"/>
      <c r="AG1300" s="48"/>
      <c r="AH1300" t="s" s="49">
        <v>114</v>
      </c>
      <c r="AI1300" t="s" s="49">
        <v>76</v>
      </c>
      <c r="AJ1300" t="s" s="49">
        <v>76</v>
      </c>
      <c r="AK1300" t="s" s="49">
        <v>79</v>
      </c>
      <c r="AL1300" s="48"/>
      <c r="AM1300" s="48"/>
      <c r="AN1300" s="48"/>
      <c r="AO1300" s="48"/>
      <c r="AP1300" s="48"/>
      <c r="AQ1300" s="48"/>
      <c r="AR1300" s="48"/>
      <c r="AS1300" s="48"/>
      <c r="AT1300" s="48"/>
      <c r="AU1300" s="48"/>
      <c r="AV1300" s="48"/>
      <c r="AW1300" s="48"/>
      <c r="AX1300" s="48"/>
      <c r="AY1300" s="48"/>
      <c r="AZ1300" s="48"/>
      <c r="BA1300" s="48"/>
      <c r="BB1300" s="48"/>
      <c r="BC1300" s="48"/>
      <c r="BD1300" t="s" s="49">
        <v>118</v>
      </c>
      <c r="BE1300" s="48"/>
      <c r="BF1300" s="48"/>
      <c r="BG1300" s="48"/>
      <c r="BH1300" s="48"/>
      <c r="BI1300" s="48"/>
      <c r="BJ1300" s="48"/>
      <c r="BK1300" s="48"/>
      <c r="BL1300" s="48"/>
      <c r="BM1300" s="48"/>
      <c r="BN1300" t="s" s="49">
        <v>78</v>
      </c>
      <c r="BO1300" s="50"/>
      <c r="BP1300" s="8"/>
    </row>
    <row r="1301" ht="9" customHeight="1" hidden="1">
      <c r="A1301" t="s" s="51">
        <v>4892</v>
      </c>
      <c r="B1301" s="52"/>
      <c r="C1301" t="str" s="52" cm="1">
        <f t="array" ref="C1301">_xlfn.IFERROR((VLOOKUP(A1301,#REF!,2,FALSE)),"")</f>
      </c>
      <c r="D1301" s="52"/>
      <c r="E1301" t="s" s="53">
        <v>71</v>
      </c>
      <c r="F1301" s="52"/>
      <c r="G1301" s="52"/>
      <c r="H1301" s="52"/>
      <c r="I1301" t="s" s="53">
        <v>73</v>
      </c>
      <c r="J1301" t="s" s="53">
        <v>122</v>
      </c>
      <c r="K1301" t="s" s="53">
        <v>113</v>
      </c>
      <c r="L1301" t="s" s="53">
        <v>76</v>
      </c>
      <c r="M1301" t="s" s="53">
        <v>77</v>
      </c>
      <c r="N1301" s="58"/>
      <c r="O1301" t="s" s="53">
        <v>71</v>
      </c>
      <c r="P1301" s="52"/>
      <c r="Q1301" t="s" s="53">
        <v>78</v>
      </c>
      <c r="R1301" t="s" s="53">
        <v>71</v>
      </c>
      <c r="S1301" s="52"/>
      <c r="T1301" s="52"/>
      <c r="U1301" s="52"/>
      <c r="V1301" t="s" s="53">
        <v>78</v>
      </c>
      <c r="W1301" t="s" s="53">
        <v>4893</v>
      </c>
      <c r="X1301" t="s" s="53">
        <v>78</v>
      </c>
      <c r="Y1301" s="52"/>
      <c r="Z1301" t="s" s="53">
        <v>76</v>
      </c>
      <c r="AA1301" s="52"/>
      <c r="AB1301" t="s" s="53">
        <v>76</v>
      </c>
      <c r="AC1301" s="52"/>
      <c r="AD1301" s="52"/>
      <c r="AE1301" s="52"/>
      <c r="AF1301" s="52"/>
      <c r="AG1301" s="52"/>
      <c r="AH1301" s="52"/>
      <c r="AI1301" t="s" s="53">
        <v>76</v>
      </c>
      <c r="AJ1301" t="s" s="53">
        <v>76</v>
      </c>
      <c r="AK1301" t="s" s="53">
        <v>79</v>
      </c>
      <c r="AL1301" t="s" s="53">
        <v>293</v>
      </c>
      <c r="AM1301" t="s" s="53">
        <v>294</v>
      </c>
      <c r="AN1301" s="52"/>
      <c r="AO1301" s="56">
        <v>4</v>
      </c>
      <c r="AP1301" s="56">
        <v>6144</v>
      </c>
      <c r="AQ1301" s="56">
        <v>303197</v>
      </c>
      <c r="AR1301" s="56">
        <v>220197</v>
      </c>
      <c r="AS1301" s="52"/>
      <c r="AT1301" s="52"/>
      <c r="AU1301" s="52"/>
      <c r="AV1301" s="52"/>
      <c r="AW1301" s="52"/>
      <c r="AX1301" s="52"/>
      <c r="AY1301" s="52"/>
      <c r="AZ1301" s="52"/>
      <c r="BA1301" s="52"/>
      <c r="BB1301" s="52"/>
      <c r="BC1301" s="52"/>
      <c r="BD1301" s="52"/>
      <c r="BE1301" s="52"/>
      <c r="BF1301" s="52"/>
      <c r="BG1301" s="52"/>
      <c r="BH1301" s="52"/>
      <c r="BI1301" s="52"/>
      <c r="BJ1301" s="52"/>
      <c r="BK1301" s="52"/>
      <c r="BL1301" s="52"/>
      <c r="BM1301" s="52"/>
      <c r="BN1301" s="52"/>
      <c r="BO1301" s="54"/>
      <c r="BP1301" s="8"/>
    </row>
    <row r="1302" ht="9" customHeight="1" hidden="1">
      <c r="A1302" t="s" s="47">
        <v>4894</v>
      </c>
      <c r="B1302" s="48"/>
      <c r="C1302" t="str" s="48" cm="1">
        <f t="array" ref="C1302">_xlfn.IFERROR((VLOOKUP(A1302,#REF!,2,FALSE)),"")</f>
      </c>
      <c r="D1302" s="48"/>
      <c r="E1302" t="s" s="49">
        <v>842</v>
      </c>
      <c r="F1302" s="48"/>
      <c r="G1302" t="s" s="49">
        <v>76</v>
      </c>
      <c r="H1302" t="s" s="49">
        <v>76</v>
      </c>
      <c r="I1302" t="s" s="49">
        <v>82</v>
      </c>
      <c r="J1302" t="s" s="49">
        <v>82</v>
      </c>
      <c r="K1302" t="s" s="49">
        <v>82</v>
      </c>
      <c r="L1302" t="s" s="49">
        <v>76</v>
      </c>
      <c r="M1302" t="s" s="49">
        <v>77</v>
      </c>
      <c r="N1302" s="59"/>
      <c r="O1302" s="48"/>
      <c r="P1302" s="48"/>
      <c r="Q1302" t="s" s="49">
        <v>78</v>
      </c>
      <c r="R1302" t="s" s="49">
        <v>83</v>
      </c>
      <c r="S1302" s="48"/>
      <c r="T1302" s="48"/>
      <c r="U1302" s="48"/>
      <c r="V1302" t="s" s="49">
        <v>78</v>
      </c>
      <c r="W1302" s="48"/>
      <c r="X1302" t="s" s="49">
        <v>78</v>
      </c>
      <c r="Y1302" s="48"/>
      <c r="Z1302" t="s" s="49">
        <v>76</v>
      </c>
      <c r="AA1302" s="48"/>
      <c r="AB1302" t="s" s="49">
        <v>76</v>
      </c>
      <c r="AC1302" s="48"/>
      <c r="AD1302" s="48"/>
      <c r="AE1302" s="48"/>
      <c r="AF1302" s="48"/>
      <c r="AG1302" s="48"/>
      <c r="AH1302" s="48"/>
      <c r="AI1302" t="s" s="49">
        <v>76</v>
      </c>
      <c r="AJ1302" t="s" s="49">
        <v>76</v>
      </c>
      <c r="AK1302" t="s" s="49">
        <v>79</v>
      </c>
      <c r="AL1302" t="s" s="49">
        <v>293</v>
      </c>
      <c r="AM1302" t="s" s="49">
        <v>294</v>
      </c>
      <c r="AN1302" s="48"/>
      <c r="AO1302" s="55">
        <v>2</v>
      </c>
      <c r="AP1302" s="55">
        <v>8192</v>
      </c>
      <c r="AQ1302" s="55">
        <v>90197</v>
      </c>
      <c r="AR1302" s="55">
        <v>90197</v>
      </c>
      <c r="AS1302" t="s" s="49">
        <v>4895</v>
      </c>
      <c r="AT1302" s="48"/>
      <c r="AU1302" s="48"/>
      <c r="AV1302" s="48"/>
      <c r="AW1302" s="48"/>
      <c r="AX1302" s="48"/>
      <c r="AY1302" s="48"/>
      <c r="AZ1302" s="48"/>
      <c r="BA1302" s="48"/>
      <c r="BB1302" s="48"/>
      <c r="BC1302" s="48"/>
      <c r="BD1302" s="48"/>
      <c r="BE1302" s="48"/>
      <c r="BF1302" s="48"/>
      <c r="BG1302" s="48"/>
      <c r="BH1302" s="48"/>
      <c r="BI1302" s="48"/>
      <c r="BJ1302" s="48"/>
      <c r="BK1302" s="48"/>
      <c r="BL1302" s="48"/>
      <c r="BM1302" s="48"/>
      <c r="BN1302" s="48"/>
      <c r="BO1302" s="50"/>
      <c r="BP1302" s="8"/>
    </row>
    <row r="1303" ht="9" customHeight="1" hidden="1">
      <c r="A1303" t="s" s="51">
        <v>4896</v>
      </c>
      <c r="B1303" s="52"/>
      <c r="C1303" t="s" s="53">
        <v>4897</v>
      </c>
      <c r="D1303" s="52"/>
      <c r="E1303" t="s" s="53">
        <v>4898</v>
      </c>
      <c r="F1303" s="52"/>
      <c r="G1303" t="s" s="53">
        <v>127</v>
      </c>
      <c r="H1303" t="s" s="53">
        <v>127</v>
      </c>
      <c r="I1303" t="s" s="53">
        <v>83</v>
      </c>
      <c r="J1303" t="s" s="53">
        <v>83</v>
      </c>
      <c r="K1303" s="52"/>
      <c r="L1303" t="s" s="53">
        <v>83</v>
      </c>
      <c r="M1303" s="52"/>
      <c r="N1303" s="52"/>
      <c r="O1303" t="s" s="53">
        <v>286</v>
      </c>
      <c r="P1303" s="52"/>
      <c r="Q1303" s="52"/>
      <c r="R1303" s="52"/>
      <c r="S1303" s="52"/>
      <c r="T1303" s="52"/>
      <c r="U1303" s="52"/>
      <c r="V1303" s="52"/>
      <c r="W1303" s="52"/>
      <c r="X1303" s="52"/>
      <c r="Y1303" s="52"/>
      <c r="Z1303" t="s" s="53">
        <v>83</v>
      </c>
      <c r="AA1303" s="52"/>
      <c r="AB1303" t="s" s="53">
        <v>83</v>
      </c>
      <c r="AC1303" s="52"/>
      <c r="AD1303" s="52"/>
      <c r="AE1303" s="52"/>
      <c r="AF1303" s="52"/>
      <c r="AG1303" t="s" s="53">
        <v>299</v>
      </c>
      <c r="AH1303" t="s" s="53">
        <v>114</v>
      </c>
      <c r="AI1303" t="s" s="53">
        <v>83</v>
      </c>
      <c r="AJ1303" t="s" s="53">
        <v>83</v>
      </c>
      <c r="AK1303" t="s" s="53">
        <v>79</v>
      </c>
      <c r="AL1303" s="52"/>
      <c r="AM1303" s="52"/>
      <c r="AN1303" s="52"/>
      <c r="AO1303" s="52"/>
      <c r="AP1303" s="52"/>
      <c r="AQ1303" s="52"/>
      <c r="AR1303" s="52"/>
      <c r="AS1303" s="52"/>
      <c r="AT1303" s="52"/>
      <c r="AU1303" s="52"/>
      <c r="AV1303" s="52"/>
      <c r="AW1303" s="52"/>
      <c r="AX1303" s="52"/>
      <c r="AY1303" s="52"/>
      <c r="AZ1303" s="52"/>
      <c r="BA1303" s="52"/>
      <c r="BB1303" s="52"/>
      <c r="BC1303" s="52"/>
      <c r="BD1303" s="52"/>
      <c r="BE1303" s="52"/>
      <c r="BF1303" s="52"/>
      <c r="BG1303" s="52"/>
      <c r="BH1303" s="52"/>
      <c r="BI1303" s="52"/>
      <c r="BJ1303" s="52"/>
      <c r="BK1303" s="52"/>
      <c r="BL1303" s="52"/>
      <c r="BM1303" s="52"/>
      <c r="BN1303" s="52"/>
      <c r="BO1303" s="54"/>
      <c r="BP1303" s="8"/>
    </row>
    <row r="1304" ht="13.55" customHeight="1">
      <c r="A1304" s="60" cm="1">
        <f t="array" ref="A1304">SUBTOTAL(103,A3:A1303)</f>
        <v>150</v>
      </c>
      <c r="B1304" s="61"/>
      <c r="C1304" s="61"/>
      <c r="D1304" s="61"/>
      <c r="E1304" s="61"/>
      <c r="F1304" s="61"/>
      <c r="G1304" s="61"/>
      <c r="H1304" s="61"/>
      <c r="I1304" s="61"/>
      <c r="J1304" s="61"/>
      <c r="K1304" s="61"/>
      <c r="L1304" s="61"/>
      <c r="M1304" s="61"/>
      <c r="N1304" s="61"/>
      <c r="O1304" s="61"/>
      <c r="P1304" s="61"/>
      <c r="Q1304" s="61"/>
      <c r="R1304" s="61"/>
      <c r="S1304" s="61"/>
      <c r="T1304" s="61"/>
      <c r="U1304" s="61"/>
      <c r="V1304" s="61"/>
      <c r="W1304" s="61"/>
      <c r="X1304" s="61"/>
      <c r="Y1304" s="61"/>
      <c r="Z1304" s="61"/>
      <c r="AA1304" s="61"/>
      <c r="AB1304" s="61"/>
      <c r="AC1304" s="61"/>
      <c r="AD1304" s="61"/>
      <c r="AE1304" s="61"/>
      <c r="AF1304" s="61"/>
      <c r="AG1304" s="61"/>
      <c r="AH1304" s="61"/>
      <c r="AI1304" s="61"/>
      <c r="AJ1304" s="61"/>
      <c r="AK1304" s="61"/>
      <c r="AL1304" s="61"/>
      <c r="AM1304" s="61"/>
      <c r="AN1304" s="61"/>
      <c r="AO1304" s="62" cm="1">
        <f t="array" ref="AO1304">SUBTOTAL(109,AO3:AO1303)</f>
        <v>758</v>
      </c>
      <c r="AP1304" s="62" cm="1">
        <f t="array" ref="AP1304">SUBTOTAL(109,AP3:AP1303)</f>
        <v>2364964</v>
      </c>
      <c r="AQ1304" s="62" cm="1">
        <f t="array" ref="AQ1304">SUBTOTAL(109,AQ3:AQ1303)</f>
        <v>64879917</v>
      </c>
      <c r="AR1304" s="62" cm="1">
        <f t="array" ref="AR1304">SUBTOTAL(109,AR3:AR1303)</f>
        <v>47455081</v>
      </c>
      <c r="AS1304" s="61"/>
      <c r="AT1304" s="61"/>
      <c r="AU1304" s="61"/>
      <c r="AV1304" s="61"/>
      <c r="AW1304" s="61"/>
      <c r="AX1304" s="61"/>
      <c r="AY1304" s="61"/>
      <c r="AZ1304" s="61"/>
      <c r="BA1304" s="61"/>
      <c r="BB1304" s="61"/>
      <c r="BC1304" s="61"/>
      <c r="BD1304" s="61"/>
      <c r="BE1304" s="61"/>
      <c r="BF1304" s="62" cm="1">
        <f t="array" ref="BF1304">SUBTOTAL(109,BF3:BF1303)</f>
        <v>750</v>
      </c>
      <c r="BG1304" s="62" cm="1">
        <f t="array" ref="BG1304">SUBTOTAL(109,BG3:BG1303)</f>
        <v>2504</v>
      </c>
      <c r="BH1304" s="61"/>
      <c r="BI1304" s="61"/>
      <c r="BJ1304" s="61"/>
      <c r="BK1304" s="61"/>
      <c r="BL1304" s="61"/>
      <c r="BM1304" s="61"/>
      <c r="BN1304" s="62" cm="1">
        <f t="array" ref="BN1304">SUBTOTAL(103,BN3:BN1303)</f>
        <v>150</v>
      </c>
      <c r="BO1304" s="63"/>
      <c r="BP1304" s="8"/>
    </row>
    <row r="1305" ht="13.55" customHeight="1">
      <c r="A1305" s="64"/>
      <c r="B1305" s="64"/>
      <c r="C1305" s="64"/>
      <c r="D1305" s="64"/>
      <c r="E1305" s="64"/>
      <c r="F1305" s="64"/>
      <c r="G1305" s="64"/>
      <c r="H1305" s="64"/>
      <c r="I1305" s="64"/>
      <c r="J1305" s="64"/>
      <c r="K1305" s="64"/>
      <c r="L1305" s="64"/>
      <c r="M1305" s="64"/>
      <c r="N1305" s="64"/>
      <c r="O1305" s="64"/>
      <c r="P1305" s="64"/>
      <c r="Q1305" s="64"/>
      <c r="R1305" s="64"/>
      <c r="S1305" s="64"/>
      <c r="T1305" s="64"/>
      <c r="U1305" s="64"/>
      <c r="V1305" s="64"/>
      <c r="W1305" s="64"/>
      <c r="X1305" s="64"/>
      <c r="Y1305" s="64"/>
      <c r="Z1305" s="64"/>
      <c r="AA1305" s="64"/>
      <c r="AB1305" s="64"/>
      <c r="AC1305" s="64"/>
      <c r="AD1305" s="64"/>
      <c r="AE1305" s="64"/>
      <c r="AF1305" s="64"/>
      <c r="AG1305" s="64"/>
      <c r="AH1305" s="64"/>
      <c r="AI1305" s="64"/>
      <c r="AJ1305" s="64"/>
      <c r="AK1305" s="64"/>
      <c r="AL1305" s="64"/>
      <c r="AM1305" s="64"/>
      <c r="AN1305" s="64"/>
      <c r="AO1305" s="64"/>
      <c r="AP1305" s="64"/>
      <c r="AQ1305" s="64"/>
      <c r="AR1305" s="64"/>
      <c r="AS1305" s="64"/>
      <c r="AT1305" s="64"/>
      <c r="AU1305" s="64"/>
      <c r="AV1305" s="64"/>
      <c r="AW1305" s="64"/>
      <c r="AX1305" s="64"/>
      <c r="AY1305" s="64"/>
      <c r="AZ1305" s="64"/>
      <c r="BA1305" s="64"/>
      <c r="BB1305" s="64"/>
      <c r="BC1305" s="64"/>
      <c r="BD1305" s="64"/>
      <c r="BE1305" s="64"/>
      <c r="BF1305" s="64"/>
      <c r="BG1305" s="64"/>
      <c r="BH1305" s="64"/>
      <c r="BI1305" s="64"/>
      <c r="BJ1305" s="64"/>
      <c r="BK1305" s="64"/>
      <c r="BL1305" s="64"/>
      <c r="BM1305" s="64"/>
      <c r="BN1305" s="64"/>
      <c r="BO1305" s="64"/>
      <c r="BP1305" s="4"/>
    </row>
  </sheetData>
  <dataValidations count="6">
    <dataValidation type="list" allowBlank="1" showInputMessage="1" showErrorMessage="1" sqref="B3:B1303">
      <formula1>"Yes,No"</formula1>
    </dataValidation>
    <dataValidation type="list" allowBlank="1" showInputMessage="1" showErrorMessage="1" sqref="O3:O690 T3:U17 O694 O698:O710 O712:O734 O736:O804 O806:O916 O918:O1237 T1235:U1237 O1255:O1303">
      <formula1>"Prod,Test,Dev,Staging,UIT,UAT,DR,VDI,Decommissioned,Contingency,Other"</formula1>
    </dataValidation>
    <dataValidation type="list" allowBlank="1" showInputMessage="1" showErrorMessage="1" sqref="AK3:AK1286">
      <formula1>"Replicate and Move Network,Replicate and Re-IP,No Migration; New Build Replacement,No Migration,Consolidate with another server,D1,TBD"</formula1>
    </dataValidation>
    <dataValidation type="list" allowBlank="1" showInputMessage="1" showErrorMessage="1" sqref="AL3:AL1303">
      <formula1>"Virtual Server,Virtual Desktop,Physical Server"</formula1>
    </dataValidation>
    <dataValidation type="list" allowBlank="1" showInputMessage="1" showErrorMessage="1" sqref="O691:O693 O695 O711 O805 O917">
      <formula1>"Prod,Test,Dev,Staging,UIT,UAT,DR,VDI,Decommissioned,Contingency,Other,STAGING"</formula1>
    </dataValidation>
    <dataValidation type="list" allowBlank="1" showInputMessage="1" showErrorMessage="1" sqref="O696:O697 O735">
      <formula1>"Prod,Test,Dev,Staging,UIT,UAT,DR,VDI,Decommissioned,Contingency,Other,TBD"</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